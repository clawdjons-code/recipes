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worksheets/sheet9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Config" sheetId="2" state="visible" r:id="rId2"/>
    <sheet name="Daily Log" sheetId="3" state="visible" r:id="rId3"/>
    <sheet name="Workout Log" sheetId="4" state="visible" r:id="rId4"/>
    <sheet name="Exercise Library" sheetId="5" state="visible" r:id="rId5"/>
    <sheet name="PRs" sheetId="6" state="visible" r:id="rId6"/>
    <sheet name="Body Measurements" sheetId="7" state="visible" r:id="rId7"/>
    <sheet name="Dashboard" sheetId="8" state="visible" r:id="rId8"/>
    <sheet name="Exercise Lookup" sheetId="9" state="visible" r:id="rId9"/>
  </sheets>
  <definedNames>
    <definedName name="Cfg_Units">Config!$B$2</definedName>
    <definedName name="Cfg_StartWeight">Config!$B$6</definedName>
    <definedName name="Cfg_StartDate">Config!$B$7</definedName>
    <definedName name="Cfg_GoalWeight">Config!$B$8</definedName>
    <definedName name="Cfg_TDEE">Config!$B$14</definedName>
    <definedName name="Cfg_TargetDeficit">Config!$B$15</definedName>
    <definedName name="Cfg_FatConstant">Config!$B$18</definedName>
    <definedName name="DL_Date">'Daily Log'!$A$2:$A$1001</definedName>
    <definedName name="DL_Weight">'Daily Log'!$B$2:$B$1001</definedName>
    <definedName name="WL_Date">'Workout Log'!$A$2:$A$5001</definedName>
    <definedName name="WL_Exercise">'Workout Log'!$B$2:$B$5001</definedName>
    <definedName name="WL_Set">'Workout Log'!$C$2:$C$5001</definedName>
    <definedName name="WL_Reps">'Workout Log'!$D$2:$D$5001</definedName>
    <definedName name="WL_Weight">'Workout Log'!$E$2:$E$5001</definedName>
    <definedName name="WL_RPE">'Workout Log'!$F$2:$F$5001</definedName>
    <definedName name="WL_Volume">'Workout Log'!$H$2:$H$5001</definedName>
    <definedName name="WL_e1RM">'Workout Log'!$I$2:$I$5001</definedName>
    <definedName name="Lib_Exercise">'Exercise Library'!$A$2:$A$201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0.0"/>
    <numFmt numFmtId="166" formatCode="+0.00;-0.00;0"/>
    <numFmt numFmtId="167" formatCode="0.0%"/>
  </numFmts>
  <fonts count="6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  <font>
      <b val="1"/>
    </font>
    <font>
      <i val="1"/>
      <color rgb="00666666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0" fillId="0" borderId="1" pivotButton="0" quotePrefix="0" xfId="0"/>
    <xf numFmtId="0" fontId="4" fillId="0" borderId="1" pivotButton="0" quotePrefix="0" xfId="0"/>
    <xf numFmtId="164" fontId="0" fillId="0" borderId="1" pivotButton="0" quotePrefix="0" xfId="0"/>
    <xf numFmtId="164" fontId="0" fillId="0" borderId="0" pivotButton="0" quotePrefix="0" xfId="0"/>
    <xf numFmtId="165" fontId="0" fillId="0" borderId="0" pivotButton="0" quotePrefix="0" xfId="0"/>
    <xf numFmtId="2" fontId="0" fillId="0" borderId="0" pivotButton="0" quotePrefix="0" xfId="0"/>
    <xf numFmtId="166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/>
    </xf>
  </cellXfs>
  <cellStyles count="1">
    <cellStyle name="Normal" xfId="0" builtinId="0" hidden="0"/>
  </cellStyles>
  <dxfs count="2">
    <dxf>
      <font>
        <color rgb="00006100"/>
      </font>
      <fill>
        <patternFill patternType="solid">
          <fgColor rgb="00C6EFCE"/>
        </patternFill>
      </fill>
    </dxf>
    <dxf>
      <font>
        <color rgb="009C0006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Weight: Actual vs Theoretical</a:t>
            </a:r>
          </a:p>
        </rich>
      </tx>
    </title>
    <plotArea>
      <lineChart>
        <grouping val="standard"/>
        <ser>
          <idx val="0"/>
          <order val="0"/>
          <tx>
            <strRef>
              <f>'Daily Log'!B1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'Daily Log'!$A$2:$A$1001</f>
            </numRef>
          </cat>
          <val>
            <numRef>
              <f>'Daily Log'!$B$2:$B$1001</f>
            </numRef>
          </val>
        </ser>
        <ser>
          <idx val="1"/>
          <order val="1"/>
          <tx>
            <strRef>
              <f>'Daily Log'!H1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'Daily Log'!$A$2:$A$1001</f>
            </numRef>
          </cat>
          <val>
            <numRef>
              <f>'Daily Log'!$H$2:$H$1001</f>
            </numRef>
          </val>
        </ser>
        <ser>
          <idx val="2"/>
          <order val="2"/>
          <tx>
            <strRef>
              <f>'Daily Log'!K1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'Daily Log'!$A$2:$A$1001</f>
            </numRef>
          </cat>
          <val>
            <numRef>
              <f>'Daily Log'!$K$2:$K$1001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Weight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Cumulative Calorie Deficit</a:t>
            </a:r>
          </a:p>
        </rich>
      </tx>
    </title>
    <plotArea>
      <lineChart>
        <grouping val="standard"/>
        <ser>
          <idx val="0"/>
          <order val="0"/>
          <tx>
            <strRef>
              <f>'Daily Log'!F1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'Daily Log'!$A$2:$A$1001</f>
            </numRef>
          </cat>
          <val>
            <numRef>
              <f>'Daily Log'!$F$2:$F$1001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kcal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Daily Calories In</a:t>
            </a:r>
          </a:p>
        </rich>
      </tx>
    </title>
    <plotArea>
      <lineChart>
        <grouping val="standard"/>
        <ser>
          <idx val="0"/>
          <order val="0"/>
          <tx>
            <strRef>
              <f>'Daily Log'!C1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'Daily Log'!$A$2:$A$1001</f>
            </numRef>
          </cat>
          <val>
            <numRef>
              <f>'Daily Log'!$C$2:$C$1001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kcal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Workout Volume (last 90 days)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'Dashboard'!Q1</f>
            </strRef>
          </tx>
          <spPr>
            <a:ln>
              <a:prstDash val="solid"/>
            </a:ln>
          </spPr>
          <cat>
            <numRef>
              <f>'Dashboard'!$P$2:$P$91</f>
            </numRef>
          </cat>
          <val>
            <numRef>
              <f>'Dashboard'!$Q$2:$Q$91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Total Volume (reps × weight)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Progression (selected exercise)</a:t>
            </a:r>
          </a:p>
        </rich>
      </tx>
    </title>
    <plotArea>
      <lineChart>
        <grouping val="standard"/>
        <ser>
          <idx val="0"/>
          <order val="0"/>
          <tx>
            <strRef>
              <f>'Exercise Lookup'!K9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'Exercise Lookup'!$J$10:$J$69</f>
            </numRef>
          </cat>
          <val>
            <numRef>
              <f>'Exercise Lookup'!$K$10:$K$69</f>
            </numRef>
          </val>
        </ser>
        <ser>
          <idx val="1"/>
          <order val="1"/>
          <tx>
            <strRef>
              <f>'Exercise Lookup'!L9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'Exercise Lookup'!$J$10:$J$69</f>
            </numRef>
          </cat>
          <val>
            <numRef>
              <f>'Exercise Lookup'!$L$10:$L$69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Weight / e1RM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72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25</row>
      <rowOff>0</rowOff>
    </from>
    <ext cx="720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47</row>
      <rowOff>0</rowOff>
    </from>
    <ext cx="720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69</row>
      <rowOff>0</rowOff>
    </from>
    <ext cx="720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Fitness Tracker — Setup &amp; Usage</t>
        </is>
      </c>
    </row>
    <row r="2">
      <c r="A2" t="inlineStr"/>
    </row>
    <row r="3">
      <c r="A3" t="inlineStr">
        <is>
          <t>STEP 1 — Upload this .xlsx to Google Drive, then open it and choose</t>
        </is>
      </c>
    </row>
    <row r="4">
      <c r="A4" t="inlineStr">
        <is>
          <t xml:space="preserve">         File → Save as Google Sheets. Work from the Sheets version.</t>
        </is>
      </c>
    </row>
    <row r="5">
      <c r="A5" t="inlineStr"/>
    </row>
    <row r="6">
      <c r="A6" t="inlineStr">
        <is>
          <t>STEP 2 — Fill in the Config tab (units, starting weight, goal, height,</t>
        </is>
      </c>
    </row>
    <row r="7">
      <c r="A7" t="inlineStr">
        <is>
          <t xml:space="preserve">         age, sex, activity level, target deficit). Everything else</t>
        </is>
      </c>
    </row>
    <row r="8">
      <c r="A8" t="inlineStr">
        <is>
          <t xml:space="preserve">         reads from Config — do not hardcode values anywhere else.</t>
        </is>
      </c>
    </row>
    <row r="9">
      <c r="A9" t="inlineStr"/>
    </row>
    <row r="10">
      <c r="A10" t="inlineStr">
        <is>
          <t>STEP 3 — Point the Telegram (Hermes) agent at the two append schemas</t>
        </is>
      </c>
    </row>
    <row r="11">
      <c r="A11" t="inlineStr">
        <is>
          <t xml:space="preserve">         below. The agent should append one row per logged event.</t>
        </is>
      </c>
    </row>
    <row r="12">
      <c r="A12" t="inlineStr"/>
    </row>
    <row r="13">
      <c r="A13" t="inlineStr">
        <is>
          <t>APPEND SCHEMAS (column order matters):</t>
        </is>
      </c>
    </row>
    <row r="14">
      <c r="A14" t="inlineStr"/>
    </row>
    <row r="15">
      <c r="A15" t="inlineStr">
        <is>
          <t>Daily Log:</t>
        </is>
      </c>
    </row>
    <row r="16">
      <c r="A16" t="inlineStr">
        <is>
          <t xml:space="preserve">  Date | Weight | Kcal In | Kcal Burned (exercise) | &lt;leave rest blank&gt;</t>
        </is>
      </c>
    </row>
    <row r="17">
      <c r="A17" t="inlineStr">
        <is>
          <t xml:space="preserve">  The remaining columns (Net Kcal, Cumulative Deficit, Theoretical Fat</t>
        </is>
      </c>
    </row>
    <row r="18">
      <c r="A18" t="inlineStr">
        <is>
          <t xml:space="preserve">  Lost, Theoretical Weight, Actual Δ, Divergence, 7-day Avg, Notes)</t>
        </is>
      </c>
    </row>
    <row r="19">
      <c r="A19" t="inlineStr">
        <is>
          <t xml:space="preserve">  are filled by formulas. The agent only writes the first 4 + Notes.</t>
        </is>
      </c>
    </row>
    <row r="20">
      <c r="A20" t="inlineStr"/>
    </row>
    <row r="21">
      <c r="A21" t="inlineStr">
        <is>
          <t>Workout Log:</t>
        </is>
      </c>
    </row>
    <row r="22">
      <c r="A22" t="inlineStr">
        <is>
          <t xml:space="preserve">  Date | Exercise | Set | Reps | Weight | RPE | Notes</t>
        </is>
      </c>
    </row>
    <row r="23">
      <c r="A23" t="inlineStr">
        <is>
          <t xml:space="preserve">  The Volume, e1RM, and Is PR columns are formula-driven.</t>
        </is>
      </c>
    </row>
    <row r="24">
      <c r="A24" t="inlineStr"/>
    </row>
    <row r="25">
      <c r="A25" t="inlineStr">
        <is>
          <t>TABS:</t>
        </is>
      </c>
    </row>
    <row r="26">
      <c r="A26" t="inlineStr">
        <is>
          <t xml:space="preserve">  Config             — your settings; edit these.</t>
        </is>
      </c>
    </row>
    <row r="27">
      <c r="A27" t="inlineStr">
        <is>
          <t xml:space="preserve">  Daily Log          — daily weigh-ins + calories. Agent appends here.</t>
        </is>
      </c>
    </row>
    <row r="28">
      <c r="A28" t="inlineStr">
        <is>
          <t xml:space="preserve">  Workout Log        — every set you do. Agent appends here.</t>
        </is>
      </c>
    </row>
    <row r="29">
      <c r="A29" t="inlineStr">
        <is>
          <t xml:space="preserve">  Exercise Library   — list of exercises, auto-updates PR &amp; last session.</t>
        </is>
      </c>
    </row>
    <row r="30">
      <c r="A30" t="inlineStr">
        <is>
          <t xml:space="preserve">  PRs                — best weight + best e1RM per exercise.</t>
        </is>
      </c>
    </row>
    <row r="31">
      <c r="A31" t="inlineStr">
        <is>
          <t xml:space="preserve">  Body Measurements  — optional weekly measurements.</t>
        </is>
      </c>
    </row>
    <row r="32">
      <c r="A32" t="inlineStr">
        <is>
          <t xml:space="preserve">  Dashboard          — charts.</t>
        </is>
      </c>
    </row>
    <row r="33">
      <c r="A33" t="inlineStr">
        <is>
          <t xml:space="preserve">  Exercise Lookup    — pick an exercise from the dropdown to see your</t>
        </is>
      </c>
    </row>
    <row r="34">
      <c r="A34" t="inlineStr">
        <is>
          <t xml:space="preserve">                       full history and a progression chart.</t>
        </is>
      </c>
    </row>
    <row r="35">
      <c r="A35" t="inlineStr"/>
    </row>
    <row r="36">
      <c r="A36" t="inlineStr">
        <is>
          <t>FORMULAS USED (work in both Excel 365 and Google Sheets):</t>
        </is>
      </c>
    </row>
    <row r="37">
      <c r="A37" t="inlineStr">
        <is>
          <t xml:space="preserve">  Mifflin-St Jeor BMR, FILTER, XLOOKUP, MAXIFS, AVERAGEIFS, TEXTJOIN.</t>
        </is>
      </c>
    </row>
    <row r="38">
      <c r="A38" t="inlineStr"/>
    </row>
    <row r="39">
      <c r="A39" t="inlineStr">
        <is>
          <t>THEORETICAL FAT LOSS:</t>
        </is>
      </c>
    </row>
    <row r="40">
      <c r="A40" t="inlineStr">
        <is>
          <t xml:space="preserve">  cumulative deficit ÷ (3500 kcal/lb or 7700 kcal/kg, per Config units).</t>
        </is>
      </c>
    </row>
    <row r="41">
      <c r="A41" t="inlineStr">
        <is>
          <t xml:space="preserve">  This is a model, not a measurement. Reality lags or leads it; the</t>
        </is>
      </c>
    </row>
    <row r="42">
      <c r="A42" t="inlineStr">
        <is>
          <t xml:space="preserve">  Divergence column shows the gap.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50" customWidth="1" min="3" max="3"/>
  </cols>
  <sheetData>
    <row r="1">
      <c r="A1" s="2" t="inlineStr">
        <is>
          <t>Setting</t>
        </is>
      </c>
      <c r="B1" s="2" t="inlineStr">
        <is>
          <t>Value</t>
        </is>
      </c>
      <c r="C1" s="2" t="inlineStr">
        <is>
          <t>Notes</t>
        </is>
      </c>
    </row>
    <row r="2">
      <c r="A2" s="3" t="inlineStr">
        <is>
          <t>Units</t>
        </is>
      </c>
      <c r="B2" s="4" t="inlineStr">
        <is>
          <t>lbs/in</t>
        </is>
      </c>
      <c r="C2" s="5" t="inlineStr">
        <is>
          <t>Type 'lbs/in' or 'kg/cm'</t>
        </is>
      </c>
    </row>
    <row r="3">
      <c r="A3" s="3" t="inlineStr">
        <is>
          <t>Sex</t>
        </is>
      </c>
      <c r="B3" s="4" t="inlineStr">
        <is>
          <t>M</t>
        </is>
      </c>
      <c r="C3" s="5" t="inlineStr">
        <is>
          <t>'M' or 'F' (Mifflin-St Jeor)</t>
        </is>
      </c>
    </row>
    <row r="4">
      <c r="A4" s="3" t="inlineStr">
        <is>
          <t>Age</t>
        </is>
      </c>
      <c r="B4" s="4" t="n">
        <v>30</v>
      </c>
      <c r="C4" s="5" t="inlineStr">
        <is>
          <t>years</t>
        </is>
      </c>
    </row>
    <row r="5">
      <c r="A5" s="3" t="inlineStr">
        <is>
          <t>Height</t>
        </is>
      </c>
      <c r="B5" s="4" t="n">
        <v>70</v>
      </c>
      <c r="C5" s="5" t="inlineStr">
        <is>
          <t>inches if lbs/in, cm if kg/cm</t>
        </is>
      </c>
    </row>
    <row r="6">
      <c r="A6" s="3" t="inlineStr">
        <is>
          <t>Starting Weight</t>
        </is>
      </c>
      <c r="B6" s="4" t="n">
        <v>200</v>
      </c>
      <c r="C6" s="5" t="inlineStr">
        <is>
          <t>lbs or kg, per Units</t>
        </is>
      </c>
    </row>
    <row r="7">
      <c r="A7" s="3" t="inlineStr">
        <is>
          <t>Starting Date</t>
        </is>
      </c>
      <c r="B7" s="6" t="n">
        <v>46156</v>
      </c>
      <c r="C7" s="5" t="inlineStr">
        <is>
          <t>first day you're tracking</t>
        </is>
      </c>
    </row>
    <row r="8">
      <c r="A8" s="3" t="inlineStr">
        <is>
          <t>Goal Weight</t>
        </is>
      </c>
      <c r="B8" s="4" t="n">
        <v>175</v>
      </c>
      <c r="C8" s="5" t="inlineStr">
        <is>
          <t>lbs or kg</t>
        </is>
      </c>
    </row>
    <row r="9">
      <c r="A9" s="3" t="inlineStr">
        <is>
          <t>Activity Level</t>
        </is>
      </c>
      <c r="B9" s="4" t="inlineStr">
        <is>
          <t>Moderate</t>
        </is>
      </c>
      <c r="C9" s="5" t="inlineStr">
        <is>
          <t>Sedentary / Light / Moderate / Active / Very Active</t>
        </is>
      </c>
    </row>
    <row r="10">
      <c r="A10" s="3" t="inlineStr">
        <is>
          <t>Activity Multiplier</t>
        </is>
      </c>
      <c r="B10" s="4">
        <f>IFERROR(VLOOKUP(B9,{"Sedentary",1.2;"Light",1.375;"Moderate",1.55;"Active",1.725;"Very Active",1.9},2,FALSE),1.55)</f>
        <v/>
      </c>
      <c r="C10" s="5" t="inlineStr">
        <is>
          <t>auto from Activity Level</t>
        </is>
      </c>
    </row>
    <row r="11">
      <c r="A11" s="3" t="inlineStr">
        <is>
          <t>Weight (kg)</t>
        </is>
      </c>
      <c r="B11" s="4">
        <f>IF(B2="kg/cm",B6,B6/2.2046226218)</f>
        <v/>
      </c>
      <c r="C11" s="5" t="inlineStr">
        <is>
          <t>auto</t>
        </is>
      </c>
    </row>
    <row r="12">
      <c r="A12" s="3" t="inlineStr">
        <is>
          <t>Height (cm)</t>
        </is>
      </c>
      <c r="B12" s="4">
        <f>IF(B2="kg/cm",B5,B5*2.54)</f>
        <v/>
      </c>
      <c r="C12" s="5" t="inlineStr">
        <is>
          <t>auto</t>
        </is>
      </c>
    </row>
    <row r="13">
      <c r="A13" s="3" t="inlineStr">
        <is>
          <t>BMR (kcal/day)</t>
        </is>
      </c>
      <c r="B13" s="4">
        <f>IF(B3="M",10*B11+6.25*B12-5*B4+5,10*B11+6.25*B12-5*B4-161)</f>
        <v/>
      </c>
      <c r="C13" s="5" t="inlineStr">
        <is>
          <t>Mifflin-St Jeor</t>
        </is>
      </c>
    </row>
    <row r="14">
      <c r="A14" s="3" t="inlineStr">
        <is>
          <t>TDEE (kcal/day)</t>
        </is>
      </c>
      <c r="B14" s="4">
        <f>B13*B10</f>
        <v/>
      </c>
      <c r="C14" s="5" t="inlineStr">
        <is>
          <t>BMR × activity</t>
        </is>
      </c>
    </row>
    <row r="15">
      <c r="A15" s="3" t="inlineStr">
        <is>
          <t>Target Daily Deficit</t>
        </is>
      </c>
      <c r="B15" s="4" t="n">
        <v>500</v>
      </c>
      <c r="C15" s="5" t="inlineStr">
        <is>
          <t>kcal below TDEE</t>
        </is>
      </c>
    </row>
    <row r="16">
      <c r="A16" s="3" t="inlineStr">
        <is>
          <t>Kcal per lb fat</t>
        </is>
      </c>
      <c r="B16" s="4" t="n">
        <v>3500</v>
      </c>
      <c r="C16" s="5" t="inlineStr">
        <is>
          <t>constant</t>
        </is>
      </c>
    </row>
    <row r="17">
      <c r="A17" s="3" t="inlineStr">
        <is>
          <t>Kcal per kg fat</t>
        </is>
      </c>
      <c r="B17" s="4" t="n">
        <v>7700</v>
      </c>
      <c r="C17" s="5" t="inlineStr">
        <is>
          <t>constant</t>
        </is>
      </c>
    </row>
    <row r="18">
      <c r="A18" s="3" t="inlineStr">
        <is>
          <t>Fat constant (active)</t>
        </is>
      </c>
      <c r="B18" s="4">
        <f>IF(B2="kg/cm",B17,B16)</f>
        <v/>
      </c>
      <c r="C18" s="5" t="inlineStr">
        <is>
          <t>auto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12" customWidth="1" min="4" max="4"/>
    <col width="11" customWidth="1" min="5" max="5"/>
    <col width="16" customWidth="1" min="6" max="6"/>
    <col width="18" customWidth="1" min="7" max="7"/>
    <col width="16" customWidth="1" min="8" max="8"/>
    <col width="11" customWidth="1" min="9" max="9"/>
    <col width="12" customWidth="1" min="10" max="10"/>
    <col width="16" customWidth="1" min="11" max="11"/>
    <col width="30" customWidth="1" min="12" max="12"/>
  </cols>
  <sheetData>
    <row r="1">
      <c r="A1" s="2" t="inlineStr">
        <is>
          <t>Date</t>
        </is>
      </c>
      <c r="B1" s="2" t="inlineStr">
        <is>
          <t>Weight</t>
        </is>
      </c>
      <c r="C1" s="2" t="inlineStr">
        <is>
          <t>Kcal In</t>
        </is>
      </c>
      <c r="D1" s="2" t="inlineStr">
        <is>
          <t>Kcal Burned</t>
        </is>
      </c>
      <c r="E1" s="2" t="inlineStr">
        <is>
          <t>Net Kcal</t>
        </is>
      </c>
      <c r="F1" s="2" t="inlineStr">
        <is>
          <t>Cumulative Deficit</t>
        </is>
      </c>
      <c r="G1" s="2" t="inlineStr">
        <is>
          <t>Theoretical Fat Lost</t>
        </is>
      </c>
      <c r="H1" s="2" t="inlineStr">
        <is>
          <t>Theoretical Weight</t>
        </is>
      </c>
      <c r="I1" s="2" t="inlineStr">
        <is>
          <t>Actual Δ</t>
        </is>
      </c>
      <c r="J1" s="2" t="inlineStr">
        <is>
          <t>Divergence</t>
        </is>
      </c>
      <c r="K1" s="2" t="inlineStr">
        <is>
          <t>7-day Avg Weight</t>
        </is>
      </c>
      <c r="L1" s="2" t="inlineStr">
        <is>
          <t>Notes</t>
        </is>
      </c>
    </row>
    <row r="2">
      <c r="A2" s="7" t="n"/>
      <c r="B2" s="8" t="n"/>
      <c r="E2">
        <f>IF(C2="","",C2-Cfg_TDEE-IFERROR(D2,0))</f>
        <v/>
      </c>
      <c r="F2">
        <f>IF(E2="","",-E2)</f>
        <v/>
      </c>
      <c r="G2" s="9">
        <f>IF(F2="","",F2/Cfg_FatConstant)</f>
        <v/>
      </c>
      <c r="H2" s="8">
        <f>IF(G2="","",Cfg_StartWeight-G2)</f>
        <v/>
      </c>
      <c r="I2" s="8">
        <f>IF(B2="","",Cfg_StartWeight-B2)</f>
        <v/>
      </c>
      <c r="J2" s="10">
        <f>IF(OR(B2="",G2=""),"",I2-G2)</f>
        <v/>
      </c>
      <c r="K2" s="9">
        <f>IF(B2="","",IFERROR(AVERAGEIFS($B$2:$B$1001,$A$2:$A$1001,"&gt;="&amp;A2-6,$A$2:$A$1001,"&lt;="&amp;A2),""))</f>
        <v/>
      </c>
    </row>
    <row r="3">
      <c r="A3" s="7" t="n"/>
      <c r="B3" s="8" t="n"/>
      <c r="E3">
        <f>IF(C3="","",C3-Cfg_TDEE-IFERROR(D3,0))</f>
        <v/>
      </c>
      <c r="F3">
        <f>IF(E3="","",IFERROR(F2,0)+(-E3))</f>
        <v/>
      </c>
      <c r="G3" s="9">
        <f>IF(F3="","",F3/Cfg_FatConstant)</f>
        <v/>
      </c>
      <c r="H3" s="8">
        <f>IF(G3="","",Cfg_StartWeight-G3)</f>
        <v/>
      </c>
      <c r="I3" s="8">
        <f>IF(B3="","",Cfg_StartWeight-B3)</f>
        <v/>
      </c>
      <c r="J3" s="10">
        <f>IF(OR(B3="",G3=""),"",I3-G3)</f>
        <v/>
      </c>
      <c r="K3" s="9">
        <f>IF(B3="","",IFERROR(AVERAGEIFS($B$2:$B$1001,$A$2:$A$1001,"&gt;="&amp;A3-6,$A$2:$A$1001,"&lt;="&amp;A3),""))</f>
        <v/>
      </c>
    </row>
    <row r="4">
      <c r="A4" s="7" t="n"/>
      <c r="B4" s="8" t="n"/>
      <c r="E4">
        <f>IF(C4="","",C4-Cfg_TDEE-IFERROR(D4,0))</f>
        <v/>
      </c>
      <c r="F4">
        <f>IF(E4="","",IFERROR(F3,0)+(-E4))</f>
        <v/>
      </c>
      <c r="G4" s="9">
        <f>IF(F4="","",F4/Cfg_FatConstant)</f>
        <v/>
      </c>
      <c r="H4" s="8">
        <f>IF(G4="","",Cfg_StartWeight-G4)</f>
        <v/>
      </c>
      <c r="I4" s="8">
        <f>IF(B4="","",Cfg_StartWeight-B4)</f>
        <v/>
      </c>
      <c r="J4" s="10">
        <f>IF(OR(B4="",G4=""),"",I4-G4)</f>
        <v/>
      </c>
      <c r="K4" s="9">
        <f>IF(B4="","",IFERROR(AVERAGEIFS($B$2:$B$1001,$A$2:$A$1001,"&gt;="&amp;A4-6,$A$2:$A$1001,"&lt;="&amp;A4),""))</f>
        <v/>
      </c>
    </row>
    <row r="5">
      <c r="A5" s="7" t="n"/>
      <c r="B5" s="8" t="n"/>
      <c r="E5">
        <f>IF(C5="","",C5-Cfg_TDEE-IFERROR(D5,0))</f>
        <v/>
      </c>
      <c r="F5">
        <f>IF(E5="","",IFERROR(F4,0)+(-E5))</f>
        <v/>
      </c>
      <c r="G5" s="9">
        <f>IF(F5="","",F5/Cfg_FatConstant)</f>
        <v/>
      </c>
      <c r="H5" s="8">
        <f>IF(G5="","",Cfg_StartWeight-G5)</f>
        <v/>
      </c>
      <c r="I5" s="8">
        <f>IF(B5="","",Cfg_StartWeight-B5)</f>
        <v/>
      </c>
      <c r="J5" s="10">
        <f>IF(OR(B5="",G5=""),"",I5-G5)</f>
        <v/>
      </c>
      <c r="K5" s="9">
        <f>IF(B5="","",IFERROR(AVERAGEIFS($B$2:$B$1001,$A$2:$A$1001,"&gt;="&amp;A5-6,$A$2:$A$1001,"&lt;="&amp;A5),""))</f>
        <v/>
      </c>
    </row>
    <row r="6">
      <c r="A6" s="7" t="n"/>
      <c r="B6" s="8" t="n"/>
      <c r="E6">
        <f>IF(C6="","",C6-Cfg_TDEE-IFERROR(D6,0))</f>
        <v/>
      </c>
      <c r="F6">
        <f>IF(E6="","",IFERROR(F5,0)+(-E6))</f>
        <v/>
      </c>
      <c r="G6" s="9">
        <f>IF(F6="","",F6/Cfg_FatConstant)</f>
        <v/>
      </c>
      <c r="H6" s="8">
        <f>IF(G6="","",Cfg_StartWeight-G6)</f>
        <v/>
      </c>
      <c r="I6" s="8">
        <f>IF(B6="","",Cfg_StartWeight-B6)</f>
        <v/>
      </c>
      <c r="J6" s="10">
        <f>IF(OR(B6="",G6=""),"",I6-G6)</f>
        <v/>
      </c>
      <c r="K6" s="9">
        <f>IF(B6="","",IFERROR(AVERAGEIFS($B$2:$B$1001,$A$2:$A$1001,"&gt;="&amp;A6-6,$A$2:$A$1001,"&lt;="&amp;A6),""))</f>
        <v/>
      </c>
    </row>
    <row r="7">
      <c r="A7" s="7" t="n"/>
      <c r="B7" s="8" t="n"/>
      <c r="E7">
        <f>IF(C7="","",C7-Cfg_TDEE-IFERROR(D7,0))</f>
        <v/>
      </c>
      <c r="F7">
        <f>IF(E7="","",IFERROR(F6,0)+(-E7))</f>
        <v/>
      </c>
      <c r="G7" s="9">
        <f>IF(F7="","",F7/Cfg_FatConstant)</f>
        <v/>
      </c>
      <c r="H7" s="8">
        <f>IF(G7="","",Cfg_StartWeight-G7)</f>
        <v/>
      </c>
      <c r="I7" s="8">
        <f>IF(B7="","",Cfg_StartWeight-B7)</f>
        <v/>
      </c>
      <c r="J7" s="10">
        <f>IF(OR(B7="",G7=""),"",I7-G7)</f>
        <v/>
      </c>
      <c r="K7" s="9">
        <f>IF(B7="","",IFERROR(AVERAGEIFS($B$2:$B$1001,$A$2:$A$1001,"&gt;="&amp;A7-6,$A$2:$A$1001,"&lt;="&amp;A7),""))</f>
        <v/>
      </c>
    </row>
    <row r="8">
      <c r="A8" s="7" t="n"/>
      <c r="B8" s="8" t="n"/>
      <c r="E8">
        <f>IF(C8="","",C8-Cfg_TDEE-IFERROR(D8,0))</f>
        <v/>
      </c>
      <c r="F8">
        <f>IF(E8="","",IFERROR(F7,0)+(-E8))</f>
        <v/>
      </c>
      <c r="G8" s="9">
        <f>IF(F8="","",F8/Cfg_FatConstant)</f>
        <v/>
      </c>
      <c r="H8" s="8">
        <f>IF(G8="","",Cfg_StartWeight-G8)</f>
        <v/>
      </c>
      <c r="I8" s="8">
        <f>IF(B8="","",Cfg_StartWeight-B8)</f>
        <v/>
      </c>
      <c r="J8" s="10">
        <f>IF(OR(B8="",G8=""),"",I8-G8)</f>
        <v/>
      </c>
      <c r="K8" s="9">
        <f>IF(B8="","",IFERROR(AVERAGEIFS($B$2:$B$1001,$A$2:$A$1001,"&gt;="&amp;A8-6,$A$2:$A$1001,"&lt;="&amp;A8),""))</f>
        <v/>
      </c>
    </row>
    <row r="9">
      <c r="A9" s="7" t="n"/>
      <c r="B9" s="8" t="n"/>
      <c r="E9">
        <f>IF(C9="","",C9-Cfg_TDEE-IFERROR(D9,0))</f>
        <v/>
      </c>
      <c r="F9">
        <f>IF(E9="","",IFERROR(F8,0)+(-E9))</f>
        <v/>
      </c>
      <c r="G9" s="9">
        <f>IF(F9="","",F9/Cfg_FatConstant)</f>
        <v/>
      </c>
      <c r="H9" s="8">
        <f>IF(G9="","",Cfg_StartWeight-G9)</f>
        <v/>
      </c>
      <c r="I9" s="8">
        <f>IF(B9="","",Cfg_StartWeight-B9)</f>
        <v/>
      </c>
      <c r="J9" s="10">
        <f>IF(OR(B9="",G9=""),"",I9-G9)</f>
        <v/>
      </c>
      <c r="K9" s="9">
        <f>IF(B9="","",IFERROR(AVERAGEIFS($B$2:$B$1001,$A$2:$A$1001,"&gt;="&amp;A9-6,$A$2:$A$1001,"&lt;="&amp;A9),""))</f>
        <v/>
      </c>
    </row>
    <row r="10">
      <c r="A10" s="7" t="n"/>
      <c r="B10" s="8" t="n"/>
      <c r="E10">
        <f>IF(C10="","",C10-Cfg_TDEE-IFERROR(D10,0))</f>
        <v/>
      </c>
      <c r="F10">
        <f>IF(E10="","",IFERROR(F9,0)+(-E10))</f>
        <v/>
      </c>
      <c r="G10" s="9">
        <f>IF(F10="","",F10/Cfg_FatConstant)</f>
        <v/>
      </c>
      <c r="H10" s="8">
        <f>IF(G10="","",Cfg_StartWeight-G10)</f>
        <v/>
      </c>
      <c r="I10" s="8">
        <f>IF(B10="","",Cfg_StartWeight-B10)</f>
        <v/>
      </c>
      <c r="J10" s="10">
        <f>IF(OR(B10="",G10=""),"",I10-G10)</f>
        <v/>
      </c>
      <c r="K10" s="9">
        <f>IF(B10="","",IFERROR(AVERAGEIFS($B$2:$B$1001,$A$2:$A$1001,"&gt;="&amp;A10-6,$A$2:$A$1001,"&lt;="&amp;A10),""))</f>
        <v/>
      </c>
    </row>
    <row r="11">
      <c r="A11" s="7" t="n"/>
      <c r="B11" s="8" t="n"/>
      <c r="E11">
        <f>IF(C11="","",C11-Cfg_TDEE-IFERROR(D11,0))</f>
        <v/>
      </c>
      <c r="F11">
        <f>IF(E11="","",IFERROR(F10,0)+(-E11))</f>
        <v/>
      </c>
      <c r="G11" s="9">
        <f>IF(F11="","",F11/Cfg_FatConstant)</f>
        <v/>
      </c>
      <c r="H11" s="8">
        <f>IF(G11="","",Cfg_StartWeight-G11)</f>
        <v/>
      </c>
      <c r="I11" s="8">
        <f>IF(B11="","",Cfg_StartWeight-B11)</f>
        <v/>
      </c>
      <c r="J11" s="10">
        <f>IF(OR(B11="",G11=""),"",I11-G11)</f>
        <v/>
      </c>
      <c r="K11" s="9">
        <f>IF(B11="","",IFERROR(AVERAGEIFS($B$2:$B$1001,$A$2:$A$1001,"&gt;="&amp;A11-6,$A$2:$A$1001,"&lt;="&amp;A11),""))</f>
        <v/>
      </c>
    </row>
    <row r="12">
      <c r="A12" s="7" t="n"/>
      <c r="B12" s="8" t="n"/>
      <c r="E12">
        <f>IF(C12="","",C12-Cfg_TDEE-IFERROR(D12,0))</f>
        <v/>
      </c>
      <c r="F12">
        <f>IF(E12="","",IFERROR(F11,0)+(-E12))</f>
        <v/>
      </c>
      <c r="G12" s="9">
        <f>IF(F12="","",F12/Cfg_FatConstant)</f>
        <v/>
      </c>
      <c r="H12" s="8">
        <f>IF(G12="","",Cfg_StartWeight-G12)</f>
        <v/>
      </c>
      <c r="I12" s="8">
        <f>IF(B12="","",Cfg_StartWeight-B12)</f>
        <v/>
      </c>
      <c r="J12" s="10">
        <f>IF(OR(B12="",G12=""),"",I12-G12)</f>
        <v/>
      </c>
      <c r="K12" s="9">
        <f>IF(B12="","",IFERROR(AVERAGEIFS($B$2:$B$1001,$A$2:$A$1001,"&gt;="&amp;A12-6,$A$2:$A$1001,"&lt;="&amp;A12),""))</f>
        <v/>
      </c>
    </row>
    <row r="13">
      <c r="A13" s="7" t="n"/>
      <c r="B13" s="8" t="n"/>
      <c r="E13">
        <f>IF(C13="","",C13-Cfg_TDEE-IFERROR(D13,0))</f>
        <v/>
      </c>
      <c r="F13">
        <f>IF(E13="","",IFERROR(F12,0)+(-E13))</f>
        <v/>
      </c>
      <c r="G13" s="9">
        <f>IF(F13="","",F13/Cfg_FatConstant)</f>
        <v/>
      </c>
      <c r="H13" s="8">
        <f>IF(G13="","",Cfg_StartWeight-G13)</f>
        <v/>
      </c>
      <c r="I13" s="8">
        <f>IF(B13="","",Cfg_StartWeight-B13)</f>
        <v/>
      </c>
      <c r="J13" s="10">
        <f>IF(OR(B13="",G13=""),"",I13-G13)</f>
        <v/>
      </c>
      <c r="K13" s="9">
        <f>IF(B13="","",IFERROR(AVERAGEIFS($B$2:$B$1001,$A$2:$A$1001,"&gt;="&amp;A13-6,$A$2:$A$1001,"&lt;="&amp;A13),""))</f>
        <v/>
      </c>
    </row>
    <row r="14">
      <c r="A14" s="7" t="n"/>
      <c r="B14" s="8" t="n"/>
      <c r="E14">
        <f>IF(C14="","",C14-Cfg_TDEE-IFERROR(D14,0))</f>
        <v/>
      </c>
      <c r="F14">
        <f>IF(E14="","",IFERROR(F13,0)+(-E14))</f>
        <v/>
      </c>
      <c r="G14" s="9">
        <f>IF(F14="","",F14/Cfg_FatConstant)</f>
        <v/>
      </c>
      <c r="H14" s="8">
        <f>IF(G14="","",Cfg_StartWeight-G14)</f>
        <v/>
      </c>
      <c r="I14" s="8">
        <f>IF(B14="","",Cfg_StartWeight-B14)</f>
        <v/>
      </c>
      <c r="J14" s="10">
        <f>IF(OR(B14="",G14=""),"",I14-G14)</f>
        <v/>
      </c>
      <c r="K14" s="9">
        <f>IF(B14="","",IFERROR(AVERAGEIFS($B$2:$B$1001,$A$2:$A$1001,"&gt;="&amp;A14-6,$A$2:$A$1001,"&lt;="&amp;A14),""))</f>
        <v/>
      </c>
    </row>
    <row r="15">
      <c r="A15" s="7" t="n"/>
      <c r="B15" s="8" t="n"/>
      <c r="E15">
        <f>IF(C15="","",C15-Cfg_TDEE-IFERROR(D15,0))</f>
        <v/>
      </c>
      <c r="F15">
        <f>IF(E15="","",IFERROR(F14,0)+(-E15))</f>
        <v/>
      </c>
      <c r="G15" s="9">
        <f>IF(F15="","",F15/Cfg_FatConstant)</f>
        <v/>
      </c>
      <c r="H15" s="8">
        <f>IF(G15="","",Cfg_StartWeight-G15)</f>
        <v/>
      </c>
      <c r="I15" s="8">
        <f>IF(B15="","",Cfg_StartWeight-B15)</f>
        <v/>
      </c>
      <c r="J15" s="10">
        <f>IF(OR(B15="",G15=""),"",I15-G15)</f>
        <v/>
      </c>
      <c r="K15" s="9">
        <f>IF(B15="","",IFERROR(AVERAGEIFS($B$2:$B$1001,$A$2:$A$1001,"&gt;="&amp;A15-6,$A$2:$A$1001,"&lt;="&amp;A15),""))</f>
        <v/>
      </c>
    </row>
    <row r="16">
      <c r="A16" s="7" t="n"/>
      <c r="B16" s="8" t="n"/>
      <c r="E16">
        <f>IF(C16="","",C16-Cfg_TDEE-IFERROR(D16,0))</f>
        <v/>
      </c>
      <c r="F16">
        <f>IF(E16="","",IFERROR(F15,0)+(-E16))</f>
        <v/>
      </c>
      <c r="G16" s="9">
        <f>IF(F16="","",F16/Cfg_FatConstant)</f>
        <v/>
      </c>
      <c r="H16" s="8">
        <f>IF(G16="","",Cfg_StartWeight-G16)</f>
        <v/>
      </c>
      <c r="I16" s="8">
        <f>IF(B16="","",Cfg_StartWeight-B16)</f>
        <v/>
      </c>
      <c r="J16" s="10">
        <f>IF(OR(B16="",G16=""),"",I16-G16)</f>
        <v/>
      </c>
      <c r="K16" s="9">
        <f>IF(B16="","",IFERROR(AVERAGEIFS($B$2:$B$1001,$A$2:$A$1001,"&gt;="&amp;A16-6,$A$2:$A$1001,"&lt;="&amp;A16),""))</f>
        <v/>
      </c>
    </row>
    <row r="17">
      <c r="A17" s="7" t="n"/>
      <c r="B17" s="8" t="n"/>
      <c r="E17">
        <f>IF(C17="","",C17-Cfg_TDEE-IFERROR(D17,0))</f>
        <v/>
      </c>
      <c r="F17">
        <f>IF(E17="","",IFERROR(F16,0)+(-E17))</f>
        <v/>
      </c>
      <c r="G17" s="9">
        <f>IF(F17="","",F17/Cfg_FatConstant)</f>
        <v/>
      </c>
      <c r="H17" s="8">
        <f>IF(G17="","",Cfg_StartWeight-G17)</f>
        <v/>
      </c>
      <c r="I17" s="8">
        <f>IF(B17="","",Cfg_StartWeight-B17)</f>
        <v/>
      </c>
      <c r="J17" s="10">
        <f>IF(OR(B17="",G17=""),"",I17-G17)</f>
        <v/>
      </c>
      <c r="K17" s="9">
        <f>IF(B17="","",IFERROR(AVERAGEIFS($B$2:$B$1001,$A$2:$A$1001,"&gt;="&amp;A17-6,$A$2:$A$1001,"&lt;="&amp;A17),""))</f>
        <v/>
      </c>
    </row>
    <row r="18">
      <c r="A18" s="7" t="n"/>
      <c r="B18" s="8" t="n"/>
      <c r="E18">
        <f>IF(C18="","",C18-Cfg_TDEE-IFERROR(D18,0))</f>
        <v/>
      </c>
      <c r="F18">
        <f>IF(E18="","",IFERROR(F17,0)+(-E18))</f>
        <v/>
      </c>
      <c r="G18" s="9">
        <f>IF(F18="","",F18/Cfg_FatConstant)</f>
        <v/>
      </c>
      <c r="H18" s="8">
        <f>IF(G18="","",Cfg_StartWeight-G18)</f>
        <v/>
      </c>
      <c r="I18" s="8">
        <f>IF(B18="","",Cfg_StartWeight-B18)</f>
        <v/>
      </c>
      <c r="J18" s="10">
        <f>IF(OR(B18="",G18=""),"",I18-G18)</f>
        <v/>
      </c>
      <c r="K18" s="9">
        <f>IF(B18="","",IFERROR(AVERAGEIFS($B$2:$B$1001,$A$2:$A$1001,"&gt;="&amp;A18-6,$A$2:$A$1001,"&lt;="&amp;A18),""))</f>
        <v/>
      </c>
    </row>
    <row r="19">
      <c r="A19" s="7" t="n"/>
      <c r="B19" s="8" t="n"/>
      <c r="E19">
        <f>IF(C19="","",C19-Cfg_TDEE-IFERROR(D19,0))</f>
        <v/>
      </c>
      <c r="F19">
        <f>IF(E19="","",IFERROR(F18,0)+(-E19))</f>
        <v/>
      </c>
      <c r="G19" s="9">
        <f>IF(F19="","",F19/Cfg_FatConstant)</f>
        <v/>
      </c>
      <c r="H19" s="8">
        <f>IF(G19="","",Cfg_StartWeight-G19)</f>
        <v/>
      </c>
      <c r="I19" s="8">
        <f>IF(B19="","",Cfg_StartWeight-B19)</f>
        <v/>
      </c>
      <c r="J19" s="10">
        <f>IF(OR(B19="",G19=""),"",I19-G19)</f>
        <v/>
      </c>
      <c r="K19" s="9">
        <f>IF(B19="","",IFERROR(AVERAGEIFS($B$2:$B$1001,$A$2:$A$1001,"&gt;="&amp;A19-6,$A$2:$A$1001,"&lt;="&amp;A19),""))</f>
        <v/>
      </c>
    </row>
    <row r="20">
      <c r="A20" s="7" t="n"/>
      <c r="B20" s="8" t="n"/>
      <c r="E20">
        <f>IF(C20="","",C20-Cfg_TDEE-IFERROR(D20,0))</f>
        <v/>
      </c>
      <c r="F20">
        <f>IF(E20="","",IFERROR(F19,0)+(-E20))</f>
        <v/>
      </c>
      <c r="G20" s="9">
        <f>IF(F20="","",F20/Cfg_FatConstant)</f>
        <v/>
      </c>
      <c r="H20" s="8">
        <f>IF(G20="","",Cfg_StartWeight-G20)</f>
        <v/>
      </c>
      <c r="I20" s="8">
        <f>IF(B20="","",Cfg_StartWeight-B20)</f>
        <v/>
      </c>
      <c r="J20" s="10">
        <f>IF(OR(B20="",G20=""),"",I20-G20)</f>
        <v/>
      </c>
      <c r="K20" s="9">
        <f>IF(B20="","",IFERROR(AVERAGEIFS($B$2:$B$1001,$A$2:$A$1001,"&gt;="&amp;A20-6,$A$2:$A$1001,"&lt;="&amp;A20),""))</f>
        <v/>
      </c>
    </row>
    <row r="21">
      <c r="A21" s="7" t="n"/>
      <c r="B21" s="8" t="n"/>
      <c r="E21">
        <f>IF(C21="","",C21-Cfg_TDEE-IFERROR(D21,0))</f>
        <v/>
      </c>
      <c r="F21">
        <f>IF(E21="","",IFERROR(F20,0)+(-E21))</f>
        <v/>
      </c>
      <c r="G21" s="9">
        <f>IF(F21="","",F21/Cfg_FatConstant)</f>
        <v/>
      </c>
      <c r="H21" s="8">
        <f>IF(G21="","",Cfg_StartWeight-G21)</f>
        <v/>
      </c>
      <c r="I21" s="8">
        <f>IF(B21="","",Cfg_StartWeight-B21)</f>
        <v/>
      </c>
      <c r="J21" s="10">
        <f>IF(OR(B21="",G21=""),"",I21-G21)</f>
        <v/>
      </c>
      <c r="K21" s="9">
        <f>IF(B21="","",IFERROR(AVERAGEIFS($B$2:$B$1001,$A$2:$A$1001,"&gt;="&amp;A21-6,$A$2:$A$1001,"&lt;="&amp;A21),""))</f>
        <v/>
      </c>
    </row>
    <row r="22">
      <c r="A22" s="7" t="n"/>
      <c r="B22" s="8" t="n"/>
      <c r="E22">
        <f>IF(C22="","",C22-Cfg_TDEE-IFERROR(D22,0))</f>
        <v/>
      </c>
      <c r="F22">
        <f>IF(E22="","",IFERROR(F21,0)+(-E22))</f>
        <v/>
      </c>
      <c r="G22" s="9">
        <f>IF(F22="","",F22/Cfg_FatConstant)</f>
        <v/>
      </c>
      <c r="H22" s="8">
        <f>IF(G22="","",Cfg_StartWeight-G22)</f>
        <v/>
      </c>
      <c r="I22" s="8">
        <f>IF(B22="","",Cfg_StartWeight-B22)</f>
        <v/>
      </c>
      <c r="J22" s="10">
        <f>IF(OR(B22="",G22=""),"",I22-G22)</f>
        <v/>
      </c>
      <c r="K22" s="9">
        <f>IF(B22="","",IFERROR(AVERAGEIFS($B$2:$B$1001,$A$2:$A$1001,"&gt;="&amp;A22-6,$A$2:$A$1001,"&lt;="&amp;A22),""))</f>
        <v/>
      </c>
    </row>
    <row r="23">
      <c r="A23" s="7" t="n"/>
      <c r="B23" s="8" t="n"/>
      <c r="E23">
        <f>IF(C23="","",C23-Cfg_TDEE-IFERROR(D23,0))</f>
        <v/>
      </c>
      <c r="F23">
        <f>IF(E23="","",IFERROR(F22,0)+(-E23))</f>
        <v/>
      </c>
      <c r="G23" s="9">
        <f>IF(F23="","",F23/Cfg_FatConstant)</f>
        <v/>
      </c>
      <c r="H23" s="8">
        <f>IF(G23="","",Cfg_StartWeight-G23)</f>
        <v/>
      </c>
      <c r="I23" s="8">
        <f>IF(B23="","",Cfg_StartWeight-B23)</f>
        <v/>
      </c>
      <c r="J23" s="10">
        <f>IF(OR(B23="",G23=""),"",I23-G23)</f>
        <v/>
      </c>
      <c r="K23" s="9">
        <f>IF(B23="","",IFERROR(AVERAGEIFS($B$2:$B$1001,$A$2:$A$1001,"&gt;="&amp;A23-6,$A$2:$A$1001,"&lt;="&amp;A23),""))</f>
        <v/>
      </c>
    </row>
    <row r="24">
      <c r="A24" s="7" t="n"/>
      <c r="B24" s="8" t="n"/>
      <c r="E24">
        <f>IF(C24="","",C24-Cfg_TDEE-IFERROR(D24,0))</f>
        <v/>
      </c>
      <c r="F24">
        <f>IF(E24="","",IFERROR(F23,0)+(-E24))</f>
        <v/>
      </c>
      <c r="G24" s="9">
        <f>IF(F24="","",F24/Cfg_FatConstant)</f>
        <v/>
      </c>
      <c r="H24" s="8">
        <f>IF(G24="","",Cfg_StartWeight-G24)</f>
        <v/>
      </c>
      <c r="I24" s="8">
        <f>IF(B24="","",Cfg_StartWeight-B24)</f>
        <v/>
      </c>
      <c r="J24" s="10">
        <f>IF(OR(B24="",G24=""),"",I24-G24)</f>
        <v/>
      </c>
      <c r="K24" s="9">
        <f>IF(B24="","",IFERROR(AVERAGEIFS($B$2:$B$1001,$A$2:$A$1001,"&gt;="&amp;A24-6,$A$2:$A$1001,"&lt;="&amp;A24),""))</f>
        <v/>
      </c>
    </row>
    <row r="25">
      <c r="A25" s="7" t="n"/>
      <c r="B25" s="8" t="n"/>
      <c r="E25">
        <f>IF(C25="","",C25-Cfg_TDEE-IFERROR(D25,0))</f>
        <v/>
      </c>
      <c r="F25">
        <f>IF(E25="","",IFERROR(F24,0)+(-E25))</f>
        <v/>
      </c>
      <c r="G25" s="9">
        <f>IF(F25="","",F25/Cfg_FatConstant)</f>
        <v/>
      </c>
      <c r="H25" s="8">
        <f>IF(G25="","",Cfg_StartWeight-G25)</f>
        <v/>
      </c>
      <c r="I25" s="8">
        <f>IF(B25="","",Cfg_StartWeight-B25)</f>
        <v/>
      </c>
      <c r="J25" s="10">
        <f>IF(OR(B25="",G25=""),"",I25-G25)</f>
        <v/>
      </c>
      <c r="K25" s="9">
        <f>IF(B25="","",IFERROR(AVERAGEIFS($B$2:$B$1001,$A$2:$A$1001,"&gt;="&amp;A25-6,$A$2:$A$1001,"&lt;="&amp;A25),""))</f>
        <v/>
      </c>
    </row>
    <row r="26">
      <c r="A26" s="7" t="n"/>
      <c r="B26" s="8" t="n"/>
      <c r="E26">
        <f>IF(C26="","",C26-Cfg_TDEE-IFERROR(D26,0))</f>
        <v/>
      </c>
      <c r="F26">
        <f>IF(E26="","",IFERROR(F25,0)+(-E26))</f>
        <v/>
      </c>
      <c r="G26" s="9">
        <f>IF(F26="","",F26/Cfg_FatConstant)</f>
        <v/>
      </c>
      <c r="H26" s="8">
        <f>IF(G26="","",Cfg_StartWeight-G26)</f>
        <v/>
      </c>
      <c r="I26" s="8">
        <f>IF(B26="","",Cfg_StartWeight-B26)</f>
        <v/>
      </c>
      <c r="J26" s="10">
        <f>IF(OR(B26="",G26=""),"",I26-G26)</f>
        <v/>
      </c>
      <c r="K26" s="9">
        <f>IF(B26="","",IFERROR(AVERAGEIFS($B$2:$B$1001,$A$2:$A$1001,"&gt;="&amp;A26-6,$A$2:$A$1001,"&lt;="&amp;A26),""))</f>
        <v/>
      </c>
    </row>
    <row r="27">
      <c r="A27" s="7" t="n"/>
      <c r="B27" s="8" t="n"/>
      <c r="E27">
        <f>IF(C27="","",C27-Cfg_TDEE-IFERROR(D27,0))</f>
        <v/>
      </c>
      <c r="F27">
        <f>IF(E27="","",IFERROR(F26,0)+(-E27))</f>
        <v/>
      </c>
      <c r="G27" s="9">
        <f>IF(F27="","",F27/Cfg_FatConstant)</f>
        <v/>
      </c>
      <c r="H27" s="8">
        <f>IF(G27="","",Cfg_StartWeight-G27)</f>
        <v/>
      </c>
      <c r="I27" s="8">
        <f>IF(B27="","",Cfg_StartWeight-B27)</f>
        <v/>
      </c>
      <c r="J27" s="10">
        <f>IF(OR(B27="",G27=""),"",I27-G27)</f>
        <v/>
      </c>
      <c r="K27" s="9">
        <f>IF(B27="","",IFERROR(AVERAGEIFS($B$2:$B$1001,$A$2:$A$1001,"&gt;="&amp;A27-6,$A$2:$A$1001,"&lt;="&amp;A27),""))</f>
        <v/>
      </c>
    </row>
    <row r="28">
      <c r="A28" s="7" t="n"/>
      <c r="B28" s="8" t="n"/>
      <c r="E28">
        <f>IF(C28="","",C28-Cfg_TDEE-IFERROR(D28,0))</f>
        <v/>
      </c>
      <c r="F28">
        <f>IF(E28="","",IFERROR(F27,0)+(-E28))</f>
        <v/>
      </c>
      <c r="G28" s="9">
        <f>IF(F28="","",F28/Cfg_FatConstant)</f>
        <v/>
      </c>
      <c r="H28" s="8">
        <f>IF(G28="","",Cfg_StartWeight-G28)</f>
        <v/>
      </c>
      <c r="I28" s="8">
        <f>IF(B28="","",Cfg_StartWeight-B28)</f>
        <v/>
      </c>
      <c r="J28" s="10">
        <f>IF(OR(B28="",G28=""),"",I28-G28)</f>
        <v/>
      </c>
      <c r="K28" s="9">
        <f>IF(B28="","",IFERROR(AVERAGEIFS($B$2:$B$1001,$A$2:$A$1001,"&gt;="&amp;A28-6,$A$2:$A$1001,"&lt;="&amp;A28),""))</f>
        <v/>
      </c>
    </row>
    <row r="29">
      <c r="A29" s="7" t="n"/>
      <c r="B29" s="8" t="n"/>
      <c r="E29">
        <f>IF(C29="","",C29-Cfg_TDEE-IFERROR(D29,0))</f>
        <v/>
      </c>
      <c r="F29">
        <f>IF(E29="","",IFERROR(F28,0)+(-E29))</f>
        <v/>
      </c>
      <c r="G29" s="9">
        <f>IF(F29="","",F29/Cfg_FatConstant)</f>
        <v/>
      </c>
      <c r="H29" s="8">
        <f>IF(G29="","",Cfg_StartWeight-G29)</f>
        <v/>
      </c>
      <c r="I29" s="8">
        <f>IF(B29="","",Cfg_StartWeight-B29)</f>
        <v/>
      </c>
      <c r="J29" s="10">
        <f>IF(OR(B29="",G29=""),"",I29-G29)</f>
        <v/>
      </c>
      <c r="K29" s="9">
        <f>IF(B29="","",IFERROR(AVERAGEIFS($B$2:$B$1001,$A$2:$A$1001,"&gt;="&amp;A29-6,$A$2:$A$1001,"&lt;="&amp;A29),""))</f>
        <v/>
      </c>
    </row>
    <row r="30">
      <c r="A30" s="7" t="n"/>
      <c r="B30" s="8" t="n"/>
      <c r="E30">
        <f>IF(C30="","",C30-Cfg_TDEE-IFERROR(D30,0))</f>
        <v/>
      </c>
      <c r="F30">
        <f>IF(E30="","",IFERROR(F29,0)+(-E30))</f>
        <v/>
      </c>
      <c r="G30" s="9">
        <f>IF(F30="","",F30/Cfg_FatConstant)</f>
        <v/>
      </c>
      <c r="H30" s="8">
        <f>IF(G30="","",Cfg_StartWeight-G30)</f>
        <v/>
      </c>
      <c r="I30" s="8">
        <f>IF(B30="","",Cfg_StartWeight-B30)</f>
        <v/>
      </c>
      <c r="J30" s="10">
        <f>IF(OR(B30="",G30=""),"",I30-G30)</f>
        <v/>
      </c>
      <c r="K30" s="9">
        <f>IF(B30="","",IFERROR(AVERAGEIFS($B$2:$B$1001,$A$2:$A$1001,"&gt;="&amp;A30-6,$A$2:$A$1001,"&lt;="&amp;A30),""))</f>
        <v/>
      </c>
    </row>
    <row r="31">
      <c r="A31" s="7" t="n"/>
      <c r="B31" s="8" t="n"/>
      <c r="E31">
        <f>IF(C31="","",C31-Cfg_TDEE-IFERROR(D31,0))</f>
        <v/>
      </c>
      <c r="F31">
        <f>IF(E31="","",IFERROR(F30,0)+(-E31))</f>
        <v/>
      </c>
      <c r="G31" s="9">
        <f>IF(F31="","",F31/Cfg_FatConstant)</f>
        <v/>
      </c>
      <c r="H31" s="8">
        <f>IF(G31="","",Cfg_StartWeight-G31)</f>
        <v/>
      </c>
      <c r="I31" s="8">
        <f>IF(B31="","",Cfg_StartWeight-B31)</f>
        <v/>
      </c>
      <c r="J31" s="10">
        <f>IF(OR(B31="",G31=""),"",I31-G31)</f>
        <v/>
      </c>
      <c r="K31" s="9">
        <f>IF(B31="","",IFERROR(AVERAGEIFS($B$2:$B$1001,$A$2:$A$1001,"&gt;="&amp;A31-6,$A$2:$A$1001,"&lt;="&amp;A31),""))</f>
        <v/>
      </c>
    </row>
    <row r="32">
      <c r="A32" s="7" t="n"/>
      <c r="B32" s="8" t="n"/>
      <c r="E32">
        <f>IF(C32="","",C32-Cfg_TDEE-IFERROR(D32,0))</f>
        <v/>
      </c>
      <c r="F32">
        <f>IF(E32="","",IFERROR(F31,0)+(-E32))</f>
        <v/>
      </c>
      <c r="G32" s="9">
        <f>IF(F32="","",F32/Cfg_FatConstant)</f>
        <v/>
      </c>
      <c r="H32" s="8">
        <f>IF(G32="","",Cfg_StartWeight-G32)</f>
        <v/>
      </c>
      <c r="I32" s="8">
        <f>IF(B32="","",Cfg_StartWeight-B32)</f>
        <v/>
      </c>
      <c r="J32" s="10">
        <f>IF(OR(B32="",G32=""),"",I32-G32)</f>
        <v/>
      </c>
      <c r="K32" s="9">
        <f>IF(B32="","",IFERROR(AVERAGEIFS($B$2:$B$1001,$A$2:$A$1001,"&gt;="&amp;A32-6,$A$2:$A$1001,"&lt;="&amp;A32),""))</f>
        <v/>
      </c>
    </row>
    <row r="33">
      <c r="A33" s="7" t="n"/>
      <c r="B33" s="8" t="n"/>
      <c r="E33">
        <f>IF(C33="","",C33-Cfg_TDEE-IFERROR(D33,0))</f>
        <v/>
      </c>
      <c r="F33">
        <f>IF(E33="","",IFERROR(F32,0)+(-E33))</f>
        <v/>
      </c>
      <c r="G33" s="9">
        <f>IF(F33="","",F33/Cfg_FatConstant)</f>
        <v/>
      </c>
      <c r="H33" s="8">
        <f>IF(G33="","",Cfg_StartWeight-G33)</f>
        <v/>
      </c>
      <c r="I33" s="8">
        <f>IF(B33="","",Cfg_StartWeight-B33)</f>
        <v/>
      </c>
      <c r="J33" s="10">
        <f>IF(OR(B33="",G33=""),"",I33-G33)</f>
        <v/>
      </c>
      <c r="K33" s="9">
        <f>IF(B33="","",IFERROR(AVERAGEIFS($B$2:$B$1001,$A$2:$A$1001,"&gt;="&amp;A33-6,$A$2:$A$1001,"&lt;="&amp;A33),""))</f>
        <v/>
      </c>
    </row>
    <row r="34">
      <c r="A34" s="7" t="n"/>
      <c r="B34" s="8" t="n"/>
      <c r="E34">
        <f>IF(C34="","",C34-Cfg_TDEE-IFERROR(D34,0))</f>
        <v/>
      </c>
      <c r="F34">
        <f>IF(E34="","",IFERROR(F33,0)+(-E34))</f>
        <v/>
      </c>
      <c r="G34" s="9">
        <f>IF(F34="","",F34/Cfg_FatConstant)</f>
        <v/>
      </c>
      <c r="H34" s="8">
        <f>IF(G34="","",Cfg_StartWeight-G34)</f>
        <v/>
      </c>
      <c r="I34" s="8">
        <f>IF(B34="","",Cfg_StartWeight-B34)</f>
        <v/>
      </c>
      <c r="J34" s="10">
        <f>IF(OR(B34="",G34=""),"",I34-G34)</f>
        <v/>
      </c>
      <c r="K34" s="9">
        <f>IF(B34="","",IFERROR(AVERAGEIFS($B$2:$B$1001,$A$2:$A$1001,"&gt;="&amp;A34-6,$A$2:$A$1001,"&lt;="&amp;A34),""))</f>
        <v/>
      </c>
    </row>
    <row r="35">
      <c r="A35" s="7" t="n"/>
      <c r="B35" s="8" t="n"/>
      <c r="E35">
        <f>IF(C35="","",C35-Cfg_TDEE-IFERROR(D35,0))</f>
        <v/>
      </c>
      <c r="F35">
        <f>IF(E35="","",IFERROR(F34,0)+(-E35))</f>
        <v/>
      </c>
      <c r="G35" s="9">
        <f>IF(F35="","",F35/Cfg_FatConstant)</f>
        <v/>
      </c>
      <c r="H35" s="8">
        <f>IF(G35="","",Cfg_StartWeight-G35)</f>
        <v/>
      </c>
      <c r="I35" s="8">
        <f>IF(B35="","",Cfg_StartWeight-B35)</f>
        <v/>
      </c>
      <c r="J35" s="10">
        <f>IF(OR(B35="",G35=""),"",I35-G35)</f>
        <v/>
      </c>
      <c r="K35" s="9">
        <f>IF(B35="","",IFERROR(AVERAGEIFS($B$2:$B$1001,$A$2:$A$1001,"&gt;="&amp;A35-6,$A$2:$A$1001,"&lt;="&amp;A35),""))</f>
        <v/>
      </c>
    </row>
    <row r="36">
      <c r="A36" s="7" t="n"/>
      <c r="B36" s="8" t="n"/>
      <c r="E36">
        <f>IF(C36="","",C36-Cfg_TDEE-IFERROR(D36,0))</f>
        <v/>
      </c>
      <c r="F36">
        <f>IF(E36="","",IFERROR(F35,0)+(-E36))</f>
        <v/>
      </c>
      <c r="G36" s="9">
        <f>IF(F36="","",F36/Cfg_FatConstant)</f>
        <v/>
      </c>
      <c r="H36" s="8">
        <f>IF(G36="","",Cfg_StartWeight-G36)</f>
        <v/>
      </c>
      <c r="I36" s="8">
        <f>IF(B36="","",Cfg_StartWeight-B36)</f>
        <v/>
      </c>
      <c r="J36" s="10">
        <f>IF(OR(B36="",G36=""),"",I36-G36)</f>
        <v/>
      </c>
      <c r="K36" s="9">
        <f>IF(B36="","",IFERROR(AVERAGEIFS($B$2:$B$1001,$A$2:$A$1001,"&gt;="&amp;A36-6,$A$2:$A$1001,"&lt;="&amp;A36),""))</f>
        <v/>
      </c>
    </row>
    <row r="37">
      <c r="A37" s="7" t="n"/>
      <c r="B37" s="8" t="n"/>
      <c r="E37">
        <f>IF(C37="","",C37-Cfg_TDEE-IFERROR(D37,0))</f>
        <v/>
      </c>
      <c r="F37">
        <f>IF(E37="","",IFERROR(F36,0)+(-E37))</f>
        <v/>
      </c>
      <c r="G37" s="9">
        <f>IF(F37="","",F37/Cfg_FatConstant)</f>
        <v/>
      </c>
      <c r="H37" s="8">
        <f>IF(G37="","",Cfg_StartWeight-G37)</f>
        <v/>
      </c>
      <c r="I37" s="8">
        <f>IF(B37="","",Cfg_StartWeight-B37)</f>
        <v/>
      </c>
      <c r="J37" s="10">
        <f>IF(OR(B37="",G37=""),"",I37-G37)</f>
        <v/>
      </c>
      <c r="K37" s="9">
        <f>IF(B37="","",IFERROR(AVERAGEIFS($B$2:$B$1001,$A$2:$A$1001,"&gt;="&amp;A37-6,$A$2:$A$1001,"&lt;="&amp;A37),""))</f>
        <v/>
      </c>
    </row>
    <row r="38">
      <c r="A38" s="7" t="n"/>
      <c r="B38" s="8" t="n"/>
      <c r="E38">
        <f>IF(C38="","",C38-Cfg_TDEE-IFERROR(D38,0))</f>
        <v/>
      </c>
      <c r="F38">
        <f>IF(E38="","",IFERROR(F37,0)+(-E38))</f>
        <v/>
      </c>
      <c r="G38" s="9">
        <f>IF(F38="","",F38/Cfg_FatConstant)</f>
        <v/>
      </c>
      <c r="H38" s="8">
        <f>IF(G38="","",Cfg_StartWeight-G38)</f>
        <v/>
      </c>
      <c r="I38" s="8">
        <f>IF(B38="","",Cfg_StartWeight-B38)</f>
        <v/>
      </c>
      <c r="J38" s="10">
        <f>IF(OR(B38="",G38=""),"",I38-G38)</f>
        <v/>
      </c>
      <c r="K38" s="9">
        <f>IF(B38="","",IFERROR(AVERAGEIFS($B$2:$B$1001,$A$2:$A$1001,"&gt;="&amp;A38-6,$A$2:$A$1001,"&lt;="&amp;A38),""))</f>
        <v/>
      </c>
    </row>
    <row r="39">
      <c r="A39" s="7" t="n"/>
      <c r="B39" s="8" t="n"/>
      <c r="E39">
        <f>IF(C39="","",C39-Cfg_TDEE-IFERROR(D39,0))</f>
        <v/>
      </c>
      <c r="F39">
        <f>IF(E39="","",IFERROR(F38,0)+(-E39))</f>
        <v/>
      </c>
      <c r="G39" s="9">
        <f>IF(F39="","",F39/Cfg_FatConstant)</f>
        <v/>
      </c>
      <c r="H39" s="8">
        <f>IF(G39="","",Cfg_StartWeight-G39)</f>
        <v/>
      </c>
      <c r="I39" s="8">
        <f>IF(B39="","",Cfg_StartWeight-B39)</f>
        <v/>
      </c>
      <c r="J39" s="10">
        <f>IF(OR(B39="",G39=""),"",I39-G39)</f>
        <v/>
      </c>
      <c r="K39" s="9">
        <f>IF(B39="","",IFERROR(AVERAGEIFS($B$2:$B$1001,$A$2:$A$1001,"&gt;="&amp;A39-6,$A$2:$A$1001,"&lt;="&amp;A39),""))</f>
        <v/>
      </c>
    </row>
    <row r="40">
      <c r="A40" s="7" t="n"/>
      <c r="B40" s="8" t="n"/>
      <c r="E40">
        <f>IF(C40="","",C40-Cfg_TDEE-IFERROR(D40,0))</f>
        <v/>
      </c>
      <c r="F40">
        <f>IF(E40="","",IFERROR(F39,0)+(-E40))</f>
        <v/>
      </c>
      <c r="G40" s="9">
        <f>IF(F40="","",F40/Cfg_FatConstant)</f>
        <v/>
      </c>
      <c r="H40" s="8">
        <f>IF(G40="","",Cfg_StartWeight-G40)</f>
        <v/>
      </c>
      <c r="I40" s="8">
        <f>IF(B40="","",Cfg_StartWeight-B40)</f>
        <v/>
      </c>
      <c r="J40" s="10">
        <f>IF(OR(B40="",G40=""),"",I40-G40)</f>
        <v/>
      </c>
      <c r="K40" s="9">
        <f>IF(B40="","",IFERROR(AVERAGEIFS($B$2:$B$1001,$A$2:$A$1001,"&gt;="&amp;A40-6,$A$2:$A$1001,"&lt;="&amp;A40),""))</f>
        <v/>
      </c>
    </row>
    <row r="41">
      <c r="A41" s="7" t="n"/>
      <c r="B41" s="8" t="n"/>
      <c r="E41">
        <f>IF(C41="","",C41-Cfg_TDEE-IFERROR(D41,0))</f>
        <v/>
      </c>
      <c r="F41">
        <f>IF(E41="","",IFERROR(F40,0)+(-E41))</f>
        <v/>
      </c>
      <c r="G41" s="9">
        <f>IF(F41="","",F41/Cfg_FatConstant)</f>
        <v/>
      </c>
      <c r="H41" s="8">
        <f>IF(G41="","",Cfg_StartWeight-G41)</f>
        <v/>
      </c>
      <c r="I41" s="8">
        <f>IF(B41="","",Cfg_StartWeight-B41)</f>
        <v/>
      </c>
      <c r="J41" s="10">
        <f>IF(OR(B41="",G41=""),"",I41-G41)</f>
        <v/>
      </c>
      <c r="K41" s="9">
        <f>IF(B41="","",IFERROR(AVERAGEIFS($B$2:$B$1001,$A$2:$A$1001,"&gt;="&amp;A41-6,$A$2:$A$1001,"&lt;="&amp;A41),""))</f>
        <v/>
      </c>
    </row>
    <row r="42">
      <c r="A42" s="7" t="n"/>
      <c r="B42" s="8" t="n"/>
      <c r="E42">
        <f>IF(C42="","",C42-Cfg_TDEE-IFERROR(D42,0))</f>
        <v/>
      </c>
      <c r="F42">
        <f>IF(E42="","",IFERROR(F41,0)+(-E42))</f>
        <v/>
      </c>
      <c r="G42" s="9">
        <f>IF(F42="","",F42/Cfg_FatConstant)</f>
        <v/>
      </c>
      <c r="H42" s="8">
        <f>IF(G42="","",Cfg_StartWeight-G42)</f>
        <v/>
      </c>
      <c r="I42" s="8">
        <f>IF(B42="","",Cfg_StartWeight-B42)</f>
        <v/>
      </c>
      <c r="J42" s="10">
        <f>IF(OR(B42="",G42=""),"",I42-G42)</f>
        <v/>
      </c>
      <c r="K42" s="9">
        <f>IF(B42="","",IFERROR(AVERAGEIFS($B$2:$B$1001,$A$2:$A$1001,"&gt;="&amp;A42-6,$A$2:$A$1001,"&lt;="&amp;A42),""))</f>
        <v/>
      </c>
    </row>
    <row r="43">
      <c r="A43" s="7" t="n"/>
      <c r="B43" s="8" t="n"/>
      <c r="E43">
        <f>IF(C43="","",C43-Cfg_TDEE-IFERROR(D43,0))</f>
        <v/>
      </c>
      <c r="F43">
        <f>IF(E43="","",IFERROR(F42,0)+(-E43))</f>
        <v/>
      </c>
      <c r="G43" s="9">
        <f>IF(F43="","",F43/Cfg_FatConstant)</f>
        <v/>
      </c>
      <c r="H43" s="8">
        <f>IF(G43="","",Cfg_StartWeight-G43)</f>
        <v/>
      </c>
      <c r="I43" s="8">
        <f>IF(B43="","",Cfg_StartWeight-B43)</f>
        <v/>
      </c>
      <c r="J43" s="10">
        <f>IF(OR(B43="",G43=""),"",I43-G43)</f>
        <v/>
      </c>
      <c r="K43" s="9">
        <f>IF(B43="","",IFERROR(AVERAGEIFS($B$2:$B$1001,$A$2:$A$1001,"&gt;="&amp;A43-6,$A$2:$A$1001,"&lt;="&amp;A43),""))</f>
        <v/>
      </c>
    </row>
    <row r="44">
      <c r="A44" s="7" t="n"/>
      <c r="B44" s="8" t="n"/>
      <c r="E44">
        <f>IF(C44="","",C44-Cfg_TDEE-IFERROR(D44,0))</f>
        <v/>
      </c>
      <c r="F44">
        <f>IF(E44="","",IFERROR(F43,0)+(-E44))</f>
        <v/>
      </c>
      <c r="G44" s="9">
        <f>IF(F44="","",F44/Cfg_FatConstant)</f>
        <v/>
      </c>
      <c r="H44" s="8">
        <f>IF(G44="","",Cfg_StartWeight-G44)</f>
        <v/>
      </c>
      <c r="I44" s="8">
        <f>IF(B44="","",Cfg_StartWeight-B44)</f>
        <v/>
      </c>
      <c r="J44" s="10">
        <f>IF(OR(B44="",G44=""),"",I44-G44)</f>
        <v/>
      </c>
      <c r="K44" s="9">
        <f>IF(B44="","",IFERROR(AVERAGEIFS($B$2:$B$1001,$A$2:$A$1001,"&gt;="&amp;A44-6,$A$2:$A$1001,"&lt;="&amp;A44),""))</f>
        <v/>
      </c>
    </row>
    <row r="45">
      <c r="A45" s="7" t="n"/>
      <c r="B45" s="8" t="n"/>
      <c r="E45">
        <f>IF(C45="","",C45-Cfg_TDEE-IFERROR(D45,0))</f>
        <v/>
      </c>
      <c r="F45">
        <f>IF(E45="","",IFERROR(F44,0)+(-E45))</f>
        <v/>
      </c>
      <c r="G45" s="9">
        <f>IF(F45="","",F45/Cfg_FatConstant)</f>
        <v/>
      </c>
      <c r="H45" s="8">
        <f>IF(G45="","",Cfg_StartWeight-G45)</f>
        <v/>
      </c>
      <c r="I45" s="8">
        <f>IF(B45="","",Cfg_StartWeight-B45)</f>
        <v/>
      </c>
      <c r="J45" s="10">
        <f>IF(OR(B45="",G45=""),"",I45-G45)</f>
        <v/>
      </c>
      <c r="K45" s="9">
        <f>IF(B45="","",IFERROR(AVERAGEIFS($B$2:$B$1001,$A$2:$A$1001,"&gt;="&amp;A45-6,$A$2:$A$1001,"&lt;="&amp;A45),""))</f>
        <v/>
      </c>
    </row>
    <row r="46">
      <c r="A46" s="7" t="n"/>
      <c r="B46" s="8" t="n"/>
      <c r="E46">
        <f>IF(C46="","",C46-Cfg_TDEE-IFERROR(D46,0))</f>
        <v/>
      </c>
      <c r="F46">
        <f>IF(E46="","",IFERROR(F45,0)+(-E46))</f>
        <v/>
      </c>
      <c r="G46" s="9">
        <f>IF(F46="","",F46/Cfg_FatConstant)</f>
        <v/>
      </c>
      <c r="H46" s="8">
        <f>IF(G46="","",Cfg_StartWeight-G46)</f>
        <v/>
      </c>
      <c r="I46" s="8">
        <f>IF(B46="","",Cfg_StartWeight-B46)</f>
        <v/>
      </c>
      <c r="J46" s="10">
        <f>IF(OR(B46="",G46=""),"",I46-G46)</f>
        <v/>
      </c>
      <c r="K46" s="9">
        <f>IF(B46="","",IFERROR(AVERAGEIFS($B$2:$B$1001,$A$2:$A$1001,"&gt;="&amp;A46-6,$A$2:$A$1001,"&lt;="&amp;A46),""))</f>
        <v/>
      </c>
    </row>
    <row r="47">
      <c r="A47" s="7" t="n"/>
      <c r="B47" s="8" t="n"/>
      <c r="E47">
        <f>IF(C47="","",C47-Cfg_TDEE-IFERROR(D47,0))</f>
        <v/>
      </c>
      <c r="F47">
        <f>IF(E47="","",IFERROR(F46,0)+(-E47))</f>
        <v/>
      </c>
      <c r="G47" s="9">
        <f>IF(F47="","",F47/Cfg_FatConstant)</f>
        <v/>
      </c>
      <c r="H47" s="8">
        <f>IF(G47="","",Cfg_StartWeight-G47)</f>
        <v/>
      </c>
      <c r="I47" s="8">
        <f>IF(B47="","",Cfg_StartWeight-B47)</f>
        <v/>
      </c>
      <c r="J47" s="10">
        <f>IF(OR(B47="",G47=""),"",I47-G47)</f>
        <v/>
      </c>
      <c r="K47" s="9">
        <f>IF(B47="","",IFERROR(AVERAGEIFS($B$2:$B$1001,$A$2:$A$1001,"&gt;="&amp;A47-6,$A$2:$A$1001,"&lt;="&amp;A47),""))</f>
        <v/>
      </c>
    </row>
    <row r="48">
      <c r="A48" s="7" t="n"/>
      <c r="B48" s="8" t="n"/>
      <c r="E48">
        <f>IF(C48="","",C48-Cfg_TDEE-IFERROR(D48,0))</f>
        <v/>
      </c>
      <c r="F48">
        <f>IF(E48="","",IFERROR(F47,0)+(-E48))</f>
        <v/>
      </c>
      <c r="G48" s="9">
        <f>IF(F48="","",F48/Cfg_FatConstant)</f>
        <v/>
      </c>
      <c r="H48" s="8">
        <f>IF(G48="","",Cfg_StartWeight-G48)</f>
        <v/>
      </c>
      <c r="I48" s="8">
        <f>IF(B48="","",Cfg_StartWeight-B48)</f>
        <v/>
      </c>
      <c r="J48" s="10">
        <f>IF(OR(B48="",G48=""),"",I48-G48)</f>
        <v/>
      </c>
      <c r="K48" s="9">
        <f>IF(B48="","",IFERROR(AVERAGEIFS($B$2:$B$1001,$A$2:$A$1001,"&gt;="&amp;A48-6,$A$2:$A$1001,"&lt;="&amp;A48),""))</f>
        <v/>
      </c>
    </row>
    <row r="49">
      <c r="A49" s="7" t="n"/>
      <c r="B49" s="8" t="n"/>
      <c r="E49">
        <f>IF(C49="","",C49-Cfg_TDEE-IFERROR(D49,0))</f>
        <v/>
      </c>
      <c r="F49">
        <f>IF(E49="","",IFERROR(F48,0)+(-E49))</f>
        <v/>
      </c>
      <c r="G49" s="9">
        <f>IF(F49="","",F49/Cfg_FatConstant)</f>
        <v/>
      </c>
      <c r="H49" s="8">
        <f>IF(G49="","",Cfg_StartWeight-G49)</f>
        <v/>
      </c>
      <c r="I49" s="8">
        <f>IF(B49="","",Cfg_StartWeight-B49)</f>
        <v/>
      </c>
      <c r="J49" s="10">
        <f>IF(OR(B49="",G49=""),"",I49-G49)</f>
        <v/>
      </c>
      <c r="K49" s="9">
        <f>IF(B49="","",IFERROR(AVERAGEIFS($B$2:$B$1001,$A$2:$A$1001,"&gt;="&amp;A49-6,$A$2:$A$1001,"&lt;="&amp;A49),""))</f>
        <v/>
      </c>
    </row>
    <row r="50">
      <c r="A50" s="7" t="n"/>
      <c r="B50" s="8" t="n"/>
      <c r="E50">
        <f>IF(C50="","",C50-Cfg_TDEE-IFERROR(D50,0))</f>
        <v/>
      </c>
      <c r="F50">
        <f>IF(E50="","",IFERROR(F49,0)+(-E50))</f>
        <v/>
      </c>
      <c r="G50" s="9">
        <f>IF(F50="","",F50/Cfg_FatConstant)</f>
        <v/>
      </c>
      <c r="H50" s="8">
        <f>IF(G50="","",Cfg_StartWeight-G50)</f>
        <v/>
      </c>
      <c r="I50" s="8">
        <f>IF(B50="","",Cfg_StartWeight-B50)</f>
        <v/>
      </c>
      <c r="J50" s="10">
        <f>IF(OR(B50="",G50=""),"",I50-G50)</f>
        <v/>
      </c>
      <c r="K50" s="9">
        <f>IF(B50="","",IFERROR(AVERAGEIFS($B$2:$B$1001,$A$2:$A$1001,"&gt;="&amp;A50-6,$A$2:$A$1001,"&lt;="&amp;A50),""))</f>
        <v/>
      </c>
    </row>
    <row r="51">
      <c r="A51" s="7" t="n"/>
      <c r="B51" s="8" t="n"/>
      <c r="E51">
        <f>IF(C51="","",C51-Cfg_TDEE-IFERROR(D51,0))</f>
        <v/>
      </c>
      <c r="F51">
        <f>IF(E51="","",IFERROR(F50,0)+(-E51))</f>
        <v/>
      </c>
      <c r="G51" s="9">
        <f>IF(F51="","",F51/Cfg_FatConstant)</f>
        <v/>
      </c>
      <c r="H51" s="8">
        <f>IF(G51="","",Cfg_StartWeight-G51)</f>
        <v/>
      </c>
      <c r="I51" s="8">
        <f>IF(B51="","",Cfg_StartWeight-B51)</f>
        <v/>
      </c>
      <c r="J51" s="10">
        <f>IF(OR(B51="",G51=""),"",I51-G51)</f>
        <v/>
      </c>
      <c r="K51" s="9">
        <f>IF(B51="","",IFERROR(AVERAGEIFS($B$2:$B$1001,$A$2:$A$1001,"&gt;="&amp;A51-6,$A$2:$A$1001,"&lt;="&amp;A51),""))</f>
        <v/>
      </c>
    </row>
    <row r="52">
      <c r="A52" s="7" t="n"/>
      <c r="B52" s="8" t="n"/>
      <c r="E52">
        <f>IF(C52="","",C52-Cfg_TDEE-IFERROR(D52,0))</f>
        <v/>
      </c>
      <c r="F52">
        <f>IF(E52="","",IFERROR(F51,0)+(-E52))</f>
        <v/>
      </c>
      <c r="G52" s="9">
        <f>IF(F52="","",F52/Cfg_FatConstant)</f>
        <v/>
      </c>
      <c r="H52" s="8">
        <f>IF(G52="","",Cfg_StartWeight-G52)</f>
        <v/>
      </c>
      <c r="I52" s="8">
        <f>IF(B52="","",Cfg_StartWeight-B52)</f>
        <v/>
      </c>
      <c r="J52" s="10">
        <f>IF(OR(B52="",G52=""),"",I52-G52)</f>
        <v/>
      </c>
      <c r="K52" s="9">
        <f>IF(B52="","",IFERROR(AVERAGEIFS($B$2:$B$1001,$A$2:$A$1001,"&gt;="&amp;A52-6,$A$2:$A$1001,"&lt;="&amp;A52),""))</f>
        <v/>
      </c>
    </row>
    <row r="53">
      <c r="A53" s="7" t="n"/>
      <c r="B53" s="8" t="n"/>
      <c r="E53">
        <f>IF(C53="","",C53-Cfg_TDEE-IFERROR(D53,0))</f>
        <v/>
      </c>
      <c r="F53">
        <f>IF(E53="","",IFERROR(F52,0)+(-E53))</f>
        <v/>
      </c>
      <c r="G53" s="9">
        <f>IF(F53="","",F53/Cfg_FatConstant)</f>
        <v/>
      </c>
      <c r="H53" s="8">
        <f>IF(G53="","",Cfg_StartWeight-G53)</f>
        <v/>
      </c>
      <c r="I53" s="8">
        <f>IF(B53="","",Cfg_StartWeight-B53)</f>
        <v/>
      </c>
      <c r="J53" s="10">
        <f>IF(OR(B53="",G53=""),"",I53-G53)</f>
        <v/>
      </c>
      <c r="K53" s="9">
        <f>IF(B53="","",IFERROR(AVERAGEIFS($B$2:$B$1001,$A$2:$A$1001,"&gt;="&amp;A53-6,$A$2:$A$1001,"&lt;="&amp;A53),""))</f>
        <v/>
      </c>
    </row>
    <row r="54">
      <c r="A54" s="7" t="n"/>
      <c r="B54" s="8" t="n"/>
      <c r="E54">
        <f>IF(C54="","",C54-Cfg_TDEE-IFERROR(D54,0))</f>
        <v/>
      </c>
      <c r="F54">
        <f>IF(E54="","",IFERROR(F53,0)+(-E54))</f>
        <v/>
      </c>
      <c r="G54" s="9">
        <f>IF(F54="","",F54/Cfg_FatConstant)</f>
        <v/>
      </c>
      <c r="H54" s="8">
        <f>IF(G54="","",Cfg_StartWeight-G54)</f>
        <v/>
      </c>
      <c r="I54" s="8">
        <f>IF(B54="","",Cfg_StartWeight-B54)</f>
        <v/>
      </c>
      <c r="J54" s="10">
        <f>IF(OR(B54="",G54=""),"",I54-G54)</f>
        <v/>
      </c>
      <c r="K54" s="9">
        <f>IF(B54="","",IFERROR(AVERAGEIFS($B$2:$B$1001,$A$2:$A$1001,"&gt;="&amp;A54-6,$A$2:$A$1001,"&lt;="&amp;A54),""))</f>
        <v/>
      </c>
    </row>
    <row r="55">
      <c r="A55" s="7" t="n"/>
      <c r="B55" s="8" t="n"/>
      <c r="E55">
        <f>IF(C55="","",C55-Cfg_TDEE-IFERROR(D55,0))</f>
        <v/>
      </c>
      <c r="F55">
        <f>IF(E55="","",IFERROR(F54,0)+(-E55))</f>
        <v/>
      </c>
      <c r="G55" s="9">
        <f>IF(F55="","",F55/Cfg_FatConstant)</f>
        <v/>
      </c>
      <c r="H55" s="8">
        <f>IF(G55="","",Cfg_StartWeight-G55)</f>
        <v/>
      </c>
      <c r="I55" s="8">
        <f>IF(B55="","",Cfg_StartWeight-B55)</f>
        <v/>
      </c>
      <c r="J55" s="10">
        <f>IF(OR(B55="",G55=""),"",I55-G55)</f>
        <v/>
      </c>
      <c r="K55" s="9">
        <f>IF(B55="","",IFERROR(AVERAGEIFS($B$2:$B$1001,$A$2:$A$1001,"&gt;="&amp;A55-6,$A$2:$A$1001,"&lt;="&amp;A55),""))</f>
        <v/>
      </c>
    </row>
    <row r="56">
      <c r="A56" s="7" t="n"/>
      <c r="B56" s="8" t="n"/>
      <c r="E56">
        <f>IF(C56="","",C56-Cfg_TDEE-IFERROR(D56,0))</f>
        <v/>
      </c>
      <c r="F56">
        <f>IF(E56="","",IFERROR(F55,0)+(-E56))</f>
        <v/>
      </c>
      <c r="G56" s="9">
        <f>IF(F56="","",F56/Cfg_FatConstant)</f>
        <v/>
      </c>
      <c r="H56" s="8">
        <f>IF(G56="","",Cfg_StartWeight-G56)</f>
        <v/>
      </c>
      <c r="I56" s="8">
        <f>IF(B56="","",Cfg_StartWeight-B56)</f>
        <v/>
      </c>
      <c r="J56" s="10">
        <f>IF(OR(B56="",G56=""),"",I56-G56)</f>
        <v/>
      </c>
      <c r="K56" s="9">
        <f>IF(B56="","",IFERROR(AVERAGEIFS($B$2:$B$1001,$A$2:$A$1001,"&gt;="&amp;A56-6,$A$2:$A$1001,"&lt;="&amp;A56),""))</f>
        <v/>
      </c>
    </row>
    <row r="57">
      <c r="A57" s="7" t="n"/>
      <c r="B57" s="8" t="n"/>
      <c r="E57">
        <f>IF(C57="","",C57-Cfg_TDEE-IFERROR(D57,0))</f>
        <v/>
      </c>
      <c r="F57">
        <f>IF(E57="","",IFERROR(F56,0)+(-E57))</f>
        <v/>
      </c>
      <c r="G57" s="9">
        <f>IF(F57="","",F57/Cfg_FatConstant)</f>
        <v/>
      </c>
      <c r="H57" s="8">
        <f>IF(G57="","",Cfg_StartWeight-G57)</f>
        <v/>
      </c>
      <c r="I57" s="8">
        <f>IF(B57="","",Cfg_StartWeight-B57)</f>
        <v/>
      </c>
      <c r="J57" s="10">
        <f>IF(OR(B57="",G57=""),"",I57-G57)</f>
        <v/>
      </c>
      <c r="K57" s="9">
        <f>IF(B57="","",IFERROR(AVERAGEIFS($B$2:$B$1001,$A$2:$A$1001,"&gt;="&amp;A57-6,$A$2:$A$1001,"&lt;="&amp;A57),""))</f>
        <v/>
      </c>
    </row>
    <row r="58">
      <c r="A58" s="7" t="n"/>
      <c r="B58" s="8" t="n"/>
      <c r="E58">
        <f>IF(C58="","",C58-Cfg_TDEE-IFERROR(D58,0))</f>
        <v/>
      </c>
      <c r="F58">
        <f>IF(E58="","",IFERROR(F57,0)+(-E58))</f>
        <v/>
      </c>
      <c r="G58" s="9">
        <f>IF(F58="","",F58/Cfg_FatConstant)</f>
        <v/>
      </c>
      <c r="H58" s="8">
        <f>IF(G58="","",Cfg_StartWeight-G58)</f>
        <v/>
      </c>
      <c r="I58" s="8">
        <f>IF(B58="","",Cfg_StartWeight-B58)</f>
        <v/>
      </c>
      <c r="J58" s="10">
        <f>IF(OR(B58="",G58=""),"",I58-G58)</f>
        <v/>
      </c>
      <c r="K58" s="9">
        <f>IF(B58="","",IFERROR(AVERAGEIFS($B$2:$B$1001,$A$2:$A$1001,"&gt;="&amp;A58-6,$A$2:$A$1001,"&lt;="&amp;A58),""))</f>
        <v/>
      </c>
    </row>
    <row r="59">
      <c r="A59" s="7" t="n"/>
      <c r="B59" s="8" t="n"/>
      <c r="E59">
        <f>IF(C59="","",C59-Cfg_TDEE-IFERROR(D59,0))</f>
        <v/>
      </c>
      <c r="F59">
        <f>IF(E59="","",IFERROR(F58,0)+(-E59))</f>
        <v/>
      </c>
      <c r="G59" s="9">
        <f>IF(F59="","",F59/Cfg_FatConstant)</f>
        <v/>
      </c>
      <c r="H59" s="8">
        <f>IF(G59="","",Cfg_StartWeight-G59)</f>
        <v/>
      </c>
      <c r="I59" s="8">
        <f>IF(B59="","",Cfg_StartWeight-B59)</f>
        <v/>
      </c>
      <c r="J59" s="10">
        <f>IF(OR(B59="",G59=""),"",I59-G59)</f>
        <v/>
      </c>
      <c r="K59" s="9">
        <f>IF(B59="","",IFERROR(AVERAGEIFS($B$2:$B$1001,$A$2:$A$1001,"&gt;="&amp;A59-6,$A$2:$A$1001,"&lt;="&amp;A59),""))</f>
        <v/>
      </c>
    </row>
    <row r="60">
      <c r="A60" s="7" t="n"/>
      <c r="B60" s="8" t="n"/>
      <c r="E60">
        <f>IF(C60="","",C60-Cfg_TDEE-IFERROR(D60,0))</f>
        <v/>
      </c>
      <c r="F60">
        <f>IF(E60="","",IFERROR(F59,0)+(-E60))</f>
        <v/>
      </c>
      <c r="G60" s="9">
        <f>IF(F60="","",F60/Cfg_FatConstant)</f>
        <v/>
      </c>
      <c r="H60" s="8">
        <f>IF(G60="","",Cfg_StartWeight-G60)</f>
        <v/>
      </c>
      <c r="I60" s="8">
        <f>IF(B60="","",Cfg_StartWeight-B60)</f>
        <v/>
      </c>
      <c r="J60" s="10">
        <f>IF(OR(B60="",G60=""),"",I60-G60)</f>
        <v/>
      </c>
      <c r="K60" s="9">
        <f>IF(B60="","",IFERROR(AVERAGEIFS($B$2:$B$1001,$A$2:$A$1001,"&gt;="&amp;A60-6,$A$2:$A$1001,"&lt;="&amp;A60),""))</f>
        <v/>
      </c>
    </row>
    <row r="61">
      <c r="A61" s="7" t="n"/>
      <c r="B61" s="8" t="n"/>
      <c r="E61">
        <f>IF(C61="","",C61-Cfg_TDEE-IFERROR(D61,0))</f>
        <v/>
      </c>
      <c r="F61">
        <f>IF(E61="","",IFERROR(F60,0)+(-E61))</f>
        <v/>
      </c>
      <c r="G61" s="9">
        <f>IF(F61="","",F61/Cfg_FatConstant)</f>
        <v/>
      </c>
      <c r="H61" s="8">
        <f>IF(G61="","",Cfg_StartWeight-G61)</f>
        <v/>
      </c>
      <c r="I61" s="8">
        <f>IF(B61="","",Cfg_StartWeight-B61)</f>
        <v/>
      </c>
      <c r="J61" s="10">
        <f>IF(OR(B61="",G61=""),"",I61-G61)</f>
        <v/>
      </c>
      <c r="K61" s="9">
        <f>IF(B61="","",IFERROR(AVERAGEIFS($B$2:$B$1001,$A$2:$A$1001,"&gt;="&amp;A61-6,$A$2:$A$1001,"&lt;="&amp;A61),""))</f>
        <v/>
      </c>
    </row>
    <row r="62">
      <c r="A62" s="7" t="n"/>
      <c r="B62" s="8" t="n"/>
      <c r="E62">
        <f>IF(C62="","",C62-Cfg_TDEE-IFERROR(D62,0))</f>
        <v/>
      </c>
      <c r="F62">
        <f>IF(E62="","",IFERROR(F61,0)+(-E62))</f>
        <v/>
      </c>
      <c r="G62" s="9">
        <f>IF(F62="","",F62/Cfg_FatConstant)</f>
        <v/>
      </c>
      <c r="H62" s="8">
        <f>IF(G62="","",Cfg_StartWeight-G62)</f>
        <v/>
      </c>
      <c r="I62" s="8">
        <f>IF(B62="","",Cfg_StartWeight-B62)</f>
        <v/>
      </c>
      <c r="J62" s="10">
        <f>IF(OR(B62="",G62=""),"",I62-G62)</f>
        <v/>
      </c>
      <c r="K62" s="9">
        <f>IF(B62="","",IFERROR(AVERAGEIFS($B$2:$B$1001,$A$2:$A$1001,"&gt;="&amp;A62-6,$A$2:$A$1001,"&lt;="&amp;A62),""))</f>
        <v/>
      </c>
    </row>
    <row r="63">
      <c r="A63" s="7" t="n"/>
      <c r="B63" s="8" t="n"/>
      <c r="E63">
        <f>IF(C63="","",C63-Cfg_TDEE-IFERROR(D63,0))</f>
        <v/>
      </c>
      <c r="F63">
        <f>IF(E63="","",IFERROR(F62,0)+(-E63))</f>
        <v/>
      </c>
      <c r="G63" s="9">
        <f>IF(F63="","",F63/Cfg_FatConstant)</f>
        <v/>
      </c>
      <c r="H63" s="8">
        <f>IF(G63="","",Cfg_StartWeight-G63)</f>
        <v/>
      </c>
      <c r="I63" s="8">
        <f>IF(B63="","",Cfg_StartWeight-B63)</f>
        <v/>
      </c>
      <c r="J63" s="10">
        <f>IF(OR(B63="",G63=""),"",I63-G63)</f>
        <v/>
      </c>
      <c r="K63" s="9">
        <f>IF(B63="","",IFERROR(AVERAGEIFS($B$2:$B$1001,$A$2:$A$1001,"&gt;="&amp;A63-6,$A$2:$A$1001,"&lt;="&amp;A63),""))</f>
        <v/>
      </c>
    </row>
    <row r="64">
      <c r="A64" s="7" t="n"/>
      <c r="B64" s="8" t="n"/>
      <c r="E64">
        <f>IF(C64="","",C64-Cfg_TDEE-IFERROR(D64,0))</f>
        <v/>
      </c>
      <c r="F64">
        <f>IF(E64="","",IFERROR(F63,0)+(-E64))</f>
        <v/>
      </c>
      <c r="G64" s="9">
        <f>IF(F64="","",F64/Cfg_FatConstant)</f>
        <v/>
      </c>
      <c r="H64" s="8">
        <f>IF(G64="","",Cfg_StartWeight-G64)</f>
        <v/>
      </c>
      <c r="I64" s="8">
        <f>IF(B64="","",Cfg_StartWeight-B64)</f>
        <v/>
      </c>
      <c r="J64" s="10">
        <f>IF(OR(B64="",G64=""),"",I64-G64)</f>
        <v/>
      </c>
      <c r="K64" s="9">
        <f>IF(B64="","",IFERROR(AVERAGEIFS($B$2:$B$1001,$A$2:$A$1001,"&gt;="&amp;A64-6,$A$2:$A$1001,"&lt;="&amp;A64),""))</f>
        <v/>
      </c>
    </row>
    <row r="65">
      <c r="A65" s="7" t="n"/>
      <c r="B65" s="8" t="n"/>
      <c r="E65">
        <f>IF(C65="","",C65-Cfg_TDEE-IFERROR(D65,0))</f>
        <v/>
      </c>
      <c r="F65">
        <f>IF(E65="","",IFERROR(F64,0)+(-E65))</f>
        <v/>
      </c>
      <c r="G65" s="9">
        <f>IF(F65="","",F65/Cfg_FatConstant)</f>
        <v/>
      </c>
      <c r="H65" s="8">
        <f>IF(G65="","",Cfg_StartWeight-G65)</f>
        <v/>
      </c>
      <c r="I65" s="8">
        <f>IF(B65="","",Cfg_StartWeight-B65)</f>
        <v/>
      </c>
      <c r="J65" s="10">
        <f>IF(OR(B65="",G65=""),"",I65-G65)</f>
        <v/>
      </c>
      <c r="K65" s="9">
        <f>IF(B65="","",IFERROR(AVERAGEIFS($B$2:$B$1001,$A$2:$A$1001,"&gt;="&amp;A65-6,$A$2:$A$1001,"&lt;="&amp;A65),""))</f>
        <v/>
      </c>
    </row>
    <row r="66">
      <c r="A66" s="7" t="n"/>
      <c r="B66" s="8" t="n"/>
      <c r="E66">
        <f>IF(C66="","",C66-Cfg_TDEE-IFERROR(D66,0))</f>
        <v/>
      </c>
      <c r="F66">
        <f>IF(E66="","",IFERROR(F65,0)+(-E66))</f>
        <v/>
      </c>
      <c r="G66" s="9">
        <f>IF(F66="","",F66/Cfg_FatConstant)</f>
        <v/>
      </c>
      <c r="H66" s="8">
        <f>IF(G66="","",Cfg_StartWeight-G66)</f>
        <v/>
      </c>
      <c r="I66" s="8">
        <f>IF(B66="","",Cfg_StartWeight-B66)</f>
        <v/>
      </c>
      <c r="J66" s="10">
        <f>IF(OR(B66="",G66=""),"",I66-G66)</f>
        <v/>
      </c>
      <c r="K66" s="9">
        <f>IF(B66="","",IFERROR(AVERAGEIFS($B$2:$B$1001,$A$2:$A$1001,"&gt;="&amp;A66-6,$A$2:$A$1001,"&lt;="&amp;A66),""))</f>
        <v/>
      </c>
    </row>
    <row r="67">
      <c r="A67" s="7" t="n"/>
      <c r="B67" s="8" t="n"/>
      <c r="E67">
        <f>IF(C67="","",C67-Cfg_TDEE-IFERROR(D67,0))</f>
        <v/>
      </c>
      <c r="F67">
        <f>IF(E67="","",IFERROR(F66,0)+(-E67))</f>
        <v/>
      </c>
      <c r="G67" s="9">
        <f>IF(F67="","",F67/Cfg_FatConstant)</f>
        <v/>
      </c>
      <c r="H67" s="8">
        <f>IF(G67="","",Cfg_StartWeight-G67)</f>
        <v/>
      </c>
      <c r="I67" s="8">
        <f>IF(B67="","",Cfg_StartWeight-B67)</f>
        <v/>
      </c>
      <c r="J67" s="10">
        <f>IF(OR(B67="",G67=""),"",I67-G67)</f>
        <v/>
      </c>
      <c r="K67" s="9">
        <f>IF(B67="","",IFERROR(AVERAGEIFS($B$2:$B$1001,$A$2:$A$1001,"&gt;="&amp;A67-6,$A$2:$A$1001,"&lt;="&amp;A67),""))</f>
        <v/>
      </c>
    </row>
    <row r="68">
      <c r="A68" s="7" t="n"/>
      <c r="B68" s="8" t="n"/>
      <c r="E68">
        <f>IF(C68="","",C68-Cfg_TDEE-IFERROR(D68,0))</f>
        <v/>
      </c>
      <c r="F68">
        <f>IF(E68="","",IFERROR(F67,0)+(-E68))</f>
        <v/>
      </c>
      <c r="G68" s="9">
        <f>IF(F68="","",F68/Cfg_FatConstant)</f>
        <v/>
      </c>
      <c r="H68" s="8">
        <f>IF(G68="","",Cfg_StartWeight-G68)</f>
        <v/>
      </c>
      <c r="I68" s="8">
        <f>IF(B68="","",Cfg_StartWeight-B68)</f>
        <v/>
      </c>
      <c r="J68" s="10">
        <f>IF(OR(B68="",G68=""),"",I68-G68)</f>
        <v/>
      </c>
      <c r="K68" s="9">
        <f>IF(B68="","",IFERROR(AVERAGEIFS($B$2:$B$1001,$A$2:$A$1001,"&gt;="&amp;A68-6,$A$2:$A$1001,"&lt;="&amp;A68),""))</f>
        <v/>
      </c>
    </row>
    <row r="69">
      <c r="A69" s="7" t="n"/>
      <c r="B69" s="8" t="n"/>
      <c r="E69">
        <f>IF(C69="","",C69-Cfg_TDEE-IFERROR(D69,0))</f>
        <v/>
      </c>
      <c r="F69">
        <f>IF(E69="","",IFERROR(F68,0)+(-E69))</f>
        <v/>
      </c>
      <c r="G69" s="9">
        <f>IF(F69="","",F69/Cfg_FatConstant)</f>
        <v/>
      </c>
      <c r="H69" s="8">
        <f>IF(G69="","",Cfg_StartWeight-G69)</f>
        <v/>
      </c>
      <c r="I69" s="8">
        <f>IF(B69="","",Cfg_StartWeight-B69)</f>
        <v/>
      </c>
      <c r="J69" s="10">
        <f>IF(OR(B69="",G69=""),"",I69-G69)</f>
        <v/>
      </c>
      <c r="K69" s="9">
        <f>IF(B69="","",IFERROR(AVERAGEIFS($B$2:$B$1001,$A$2:$A$1001,"&gt;="&amp;A69-6,$A$2:$A$1001,"&lt;="&amp;A69),""))</f>
        <v/>
      </c>
    </row>
    <row r="70">
      <c r="A70" s="7" t="n"/>
      <c r="B70" s="8" t="n"/>
      <c r="E70">
        <f>IF(C70="","",C70-Cfg_TDEE-IFERROR(D70,0))</f>
        <v/>
      </c>
      <c r="F70">
        <f>IF(E70="","",IFERROR(F69,0)+(-E70))</f>
        <v/>
      </c>
      <c r="G70" s="9">
        <f>IF(F70="","",F70/Cfg_FatConstant)</f>
        <v/>
      </c>
      <c r="H70" s="8">
        <f>IF(G70="","",Cfg_StartWeight-G70)</f>
        <v/>
      </c>
      <c r="I70" s="8">
        <f>IF(B70="","",Cfg_StartWeight-B70)</f>
        <v/>
      </c>
      <c r="J70" s="10">
        <f>IF(OR(B70="",G70=""),"",I70-G70)</f>
        <v/>
      </c>
      <c r="K70" s="9">
        <f>IF(B70="","",IFERROR(AVERAGEIFS($B$2:$B$1001,$A$2:$A$1001,"&gt;="&amp;A70-6,$A$2:$A$1001,"&lt;="&amp;A70),""))</f>
        <v/>
      </c>
    </row>
    <row r="71">
      <c r="A71" s="7" t="n"/>
      <c r="B71" s="8" t="n"/>
      <c r="E71">
        <f>IF(C71="","",C71-Cfg_TDEE-IFERROR(D71,0))</f>
        <v/>
      </c>
      <c r="F71">
        <f>IF(E71="","",IFERROR(F70,0)+(-E71))</f>
        <v/>
      </c>
      <c r="G71" s="9">
        <f>IF(F71="","",F71/Cfg_FatConstant)</f>
        <v/>
      </c>
      <c r="H71" s="8">
        <f>IF(G71="","",Cfg_StartWeight-G71)</f>
        <v/>
      </c>
      <c r="I71" s="8">
        <f>IF(B71="","",Cfg_StartWeight-B71)</f>
        <v/>
      </c>
      <c r="J71" s="10">
        <f>IF(OR(B71="",G71=""),"",I71-G71)</f>
        <v/>
      </c>
      <c r="K71" s="9">
        <f>IF(B71="","",IFERROR(AVERAGEIFS($B$2:$B$1001,$A$2:$A$1001,"&gt;="&amp;A71-6,$A$2:$A$1001,"&lt;="&amp;A71),""))</f>
        <v/>
      </c>
    </row>
    <row r="72">
      <c r="A72" s="7" t="n"/>
      <c r="B72" s="8" t="n"/>
      <c r="E72">
        <f>IF(C72="","",C72-Cfg_TDEE-IFERROR(D72,0))</f>
        <v/>
      </c>
      <c r="F72">
        <f>IF(E72="","",IFERROR(F71,0)+(-E72))</f>
        <v/>
      </c>
      <c r="G72" s="9">
        <f>IF(F72="","",F72/Cfg_FatConstant)</f>
        <v/>
      </c>
      <c r="H72" s="8">
        <f>IF(G72="","",Cfg_StartWeight-G72)</f>
        <v/>
      </c>
      <c r="I72" s="8">
        <f>IF(B72="","",Cfg_StartWeight-B72)</f>
        <v/>
      </c>
      <c r="J72" s="10">
        <f>IF(OR(B72="",G72=""),"",I72-G72)</f>
        <v/>
      </c>
      <c r="K72" s="9">
        <f>IF(B72="","",IFERROR(AVERAGEIFS($B$2:$B$1001,$A$2:$A$1001,"&gt;="&amp;A72-6,$A$2:$A$1001,"&lt;="&amp;A72),""))</f>
        <v/>
      </c>
    </row>
    <row r="73">
      <c r="A73" s="7" t="n"/>
      <c r="B73" s="8" t="n"/>
      <c r="E73">
        <f>IF(C73="","",C73-Cfg_TDEE-IFERROR(D73,0))</f>
        <v/>
      </c>
      <c r="F73">
        <f>IF(E73="","",IFERROR(F72,0)+(-E73))</f>
        <v/>
      </c>
      <c r="G73" s="9">
        <f>IF(F73="","",F73/Cfg_FatConstant)</f>
        <v/>
      </c>
      <c r="H73" s="8">
        <f>IF(G73="","",Cfg_StartWeight-G73)</f>
        <v/>
      </c>
      <c r="I73" s="8">
        <f>IF(B73="","",Cfg_StartWeight-B73)</f>
        <v/>
      </c>
      <c r="J73" s="10">
        <f>IF(OR(B73="",G73=""),"",I73-G73)</f>
        <v/>
      </c>
      <c r="K73" s="9">
        <f>IF(B73="","",IFERROR(AVERAGEIFS($B$2:$B$1001,$A$2:$A$1001,"&gt;="&amp;A73-6,$A$2:$A$1001,"&lt;="&amp;A73),""))</f>
        <v/>
      </c>
    </row>
    <row r="74">
      <c r="A74" s="7" t="n"/>
      <c r="B74" s="8" t="n"/>
      <c r="E74">
        <f>IF(C74="","",C74-Cfg_TDEE-IFERROR(D74,0))</f>
        <v/>
      </c>
      <c r="F74">
        <f>IF(E74="","",IFERROR(F73,0)+(-E74))</f>
        <v/>
      </c>
      <c r="G74" s="9">
        <f>IF(F74="","",F74/Cfg_FatConstant)</f>
        <v/>
      </c>
      <c r="H74" s="8">
        <f>IF(G74="","",Cfg_StartWeight-G74)</f>
        <v/>
      </c>
      <c r="I74" s="8">
        <f>IF(B74="","",Cfg_StartWeight-B74)</f>
        <v/>
      </c>
      <c r="J74" s="10">
        <f>IF(OR(B74="",G74=""),"",I74-G74)</f>
        <v/>
      </c>
      <c r="K74" s="9">
        <f>IF(B74="","",IFERROR(AVERAGEIFS($B$2:$B$1001,$A$2:$A$1001,"&gt;="&amp;A74-6,$A$2:$A$1001,"&lt;="&amp;A74),""))</f>
        <v/>
      </c>
    </row>
    <row r="75">
      <c r="A75" s="7" t="n"/>
      <c r="B75" s="8" t="n"/>
      <c r="E75">
        <f>IF(C75="","",C75-Cfg_TDEE-IFERROR(D75,0))</f>
        <v/>
      </c>
      <c r="F75">
        <f>IF(E75="","",IFERROR(F74,0)+(-E75))</f>
        <v/>
      </c>
      <c r="G75" s="9">
        <f>IF(F75="","",F75/Cfg_FatConstant)</f>
        <v/>
      </c>
      <c r="H75" s="8">
        <f>IF(G75="","",Cfg_StartWeight-G75)</f>
        <v/>
      </c>
      <c r="I75" s="8">
        <f>IF(B75="","",Cfg_StartWeight-B75)</f>
        <v/>
      </c>
      <c r="J75" s="10">
        <f>IF(OR(B75="",G75=""),"",I75-G75)</f>
        <v/>
      </c>
      <c r="K75" s="9">
        <f>IF(B75="","",IFERROR(AVERAGEIFS($B$2:$B$1001,$A$2:$A$1001,"&gt;="&amp;A75-6,$A$2:$A$1001,"&lt;="&amp;A75),""))</f>
        <v/>
      </c>
    </row>
    <row r="76">
      <c r="A76" s="7" t="n"/>
      <c r="B76" s="8" t="n"/>
      <c r="E76">
        <f>IF(C76="","",C76-Cfg_TDEE-IFERROR(D76,0))</f>
        <v/>
      </c>
      <c r="F76">
        <f>IF(E76="","",IFERROR(F75,0)+(-E76))</f>
        <v/>
      </c>
      <c r="G76" s="9">
        <f>IF(F76="","",F76/Cfg_FatConstant)</f>
        <v/>
      </c>
      <c r="H76" s="8">
        <f>IF(G76="","",Cfg_StartWeight-G76)</f>
        <v/>
      </c>
      <c r="I76" s="8">
        <f>IF(B76="","",Cfg_StartWeight-B76)</f>
        <v/>
      </c>
      <c r="J76" s="10">
        <f>IF(OR(B76="",G76=""),"",I76-G76)</f>
        <v/>
      </c>
      <c r="K76" s="9">
        <f>IF(B76="","",IFERROR(AVERAGEIFS($B$2:$B$1001,$A$2:$A$1001,"&gt;="&amp;A76-6,$A$2:$A$1001,"&lt;="&amp;A76),""))</f>
        <v/>
      </c>
    </row>
    <row r="77">
      <c r="A77" s="7" t="n"/>
      <c r="B77" s="8" t="n"/>
      <c r="E77">
        <f>IF(C77="","",C77-Cfg_TDEE-IFERROR(D77,0))</f>
        <v/>
      </c>
      <c r="F77">
        <f>IF(E77="","",IFERROR(F76,0)+(-E77))</f>
        <v/>
      </c>
      <c r="G77" s="9">
        <f>IF(F77="","",F77/Cfg_FatConstant)</f>
        <v/>
      </c>
      <c r="H77" s="8">
        <f>IF(G77="","",Cfg_StartWeight-G77)</f>
        <v/>
      </c>
      <c r="I77" s="8">
        <f>IF(B77="","",Cfg_StartWeight-B77)</f>
        <v/>
      </c>
      <c r="J77" s="10">
        <f>IF(OR(B77="",G77=""),"",I77-G77)</f>
        <v/>
      </c>
      <c r="K77" s="9">
        <f>IF(B77="","",IFERROR(AVERAGEIFS($B$2:$B$1001,$A$2:$A$1001,"&gt;="&amp;A77-6,$A$2:$A$1001,"&lt;="&amp;A77),""))</f>
        <v/>
      </c>
    </row>
    <row r="78">
      <c r="A78" s="7" t="n"/>
      <c r="B78" s="8" t="n"/>
      <c r="E78">
        <f>IF(C78="","",C78-Cfg_TDEE-IFERROR(D78,0))</f>
        <v/>
      </c>
      <c r="F78">
        <f>IF(E78="","",IFERROR(F77,0)+(-E78))</f>
        <v/>
      </c>
      <c r="G78" s="9">
        <f>IF(F78="","",F78/Cfg_FatConstant)</f>
        <v/>
      </c>
      <c r="H78" s="8">
        <f>IF(G78="","",Cfg_StartWeight-G78)</f>
        <v/>
      </c>
      <c r="I78" s="8">
        <f>IF(B78="","",Cfg_StartWeight-B78)</f>
        <v/>
      </c>
      <c r="J78" s="10">
        <f>IF(OR(B78="",G78=""),"",I78-G78)</f>
        <v/>
      </c>
      <c r="K78" s="9">
        <f>IF(B78="","",IFERROR(AVERAGEIFS($B$2:$B$1001,$A$2:$A$1001,"&gt;="&amp;A78-6,$A$2:$A$1001,"&lt;="&amp;A78),""))</f>
        <v/>
      </c>
    </row>
    <row r="79">
      <c r="A79" s="7" t="n"/>
      <c r="B79" s="8" t="n"/>
      <c r="E79">
        <f>IF(C79="","",C79-Cfg_TDEE-IFERROR(D79,0))</f>
        <v/>
      </c>
      <c r="F79">
        <f>IF(E79="","",IFERROR(F78,0)+(-E79))</f>
        <v/>
      </c>
      <c r="G79" s="9">
        <f>IF(F79="","",F79/Cfg_FatConstant)</f>
        <v/>
      </c>
      <c r="H79" s="8">
        <f>IF(G79="","",Cfg_StartWeight-G79)</f>
        <v/>
      </c>
      <c r="I79" s="8">
        <f>IF(B79="","",Cfg_StartWeight-B79)</f>
        <v/>
      </c>
      <c r="J79" s="10">
        <f>IF(OR(B79="",G79=""),"",I79-G79)</f>
        <v/>
      </c>
      <c r="K79" s="9">
        <f>IF(B79="","",IFERROR(AVERAGEIFS($B$2:$B$1001,$A$2:$A$1001,"&gt;="&amp;A79-6,$A$2:$A$1001,"&lt;="&amp;A79),""))</f>
        <v/>
      </c>
    </row>
    <row r="80">
      <c r="A80" s="7" t="n"/>
      <c r="B80" s="8" t="n"/>
      <c r="E80">
        <f>IF(C80="","",C80-Cfg_TDEE-IFERROR(D80,0))</f>
        <v/>
      </c>
      <c r="F80">
        <f>IF(E80="","",IFERROR(F79,0)+(-E80))</f>
        <v/>
      </c>
      <c r="G80" s="9">
        <f>IF(F80="","",F80/Cfg_FatConstant)</f>
        <v/>
      </c>
      <c r="H80" s="8">
        <f>IF(G80="","",Cfg_StartWeight-G80)</f>
        <v/>
      </c>
      <c r="I80" s="8">
        <f>IF(B80="","",Cfg_StartWeight-B80)</f>
        <v/>
      </c>
      <c r="J80" s="10">
        <f>IF(OR(B80="",G80=""),"",I80-G80)</f>
        <v/>
      </c>
      <c r="K80" s="9">
        <f>IF(B80="","",IFERROR(AVERAGEIFS($B$2:$B$1001,$A$2:$A$1001,"&gt;="&amp;A80-6,$A$2:$A$1001,"&lt;="&amp;A80),""))</f>
        <v/>
      </c>
    </row>
    <row r="81">
      <c r="A81" s="7" t="n"/>
      <c r="B81" s="8" t="n"/>
      <c r="E81">
        <f>IF(C81="","",C81-Cfg_TDEE-IFERROR(D81,0))</f>
        <v/>
      </c>
      <c r="F81">
        <f>IF(E81="","",IFERROR(F80,0)+(-E81))</f>
        <v/>
      </c>
      <c r="G81" s="9">
        <f>IF(F81="","",F81/Cfg_FatConstant)</f>
        <v/>
      </c>
      <c r="H81" s="8">
        <f>IF(G81="","",Cfg_StartWeight-G81)</f>
        <v/>
      </c>
      <c r="I81" s="8">
        <f>IF(B81="","",Cfg_StartWeight-B81)</f>
        <v/>
      </c>
      <c r="J81" s="10">
        <f>IF(OR(B81="",G81=""),"",I81-G81)</f>
        <v/>
      </c>
      <c r="K81" s="9">
        <f>IF(B81="","",IFERROR(AVERAGEIFS($B$2:$B$1001,$A$2:$A$1001,"&gt;="&amp;A81-6,$A$2:$A$1001,"&lt;="&amp;A81),""))</f>
        <v/>
      </c>
    </row>
    <row r="82">
      <c r="A82" s="7" t="n"/>
      <c r="B82" s="8" t="n"/>
      <c r="E82">
        <f>IF(C82="","",C82-Cfg_TDEE-IFERROR(D82,0))</f>
        <v/>
      </c>
      <c r="F82">
        <f>IF(E82="","",IFERROR(F81,0)+(-E82))</f>
        <v/>
      </c>
      <c r="G82" s="9">
        <f>IF(F82="","",F82/Cfg_FatConstant)</f>
        <v/>
      </c>
      <c r="H82" s="8">
        <f>IF(G82="","",Cfg_StartWeight-G82)</f>
        <v/>
      </c>
      <c r="I82" s="8">
        <f>IF(B82="","",Cfg_StartWeight-B82)</f>
        <v/>
      </c>
      <c r="J82" s="10">
        <f>IF(OR(B82="",G82=""),"",I82-G82)</f>
        <v/>
      </c>
      <c r="K82" s="9">
        <f>IF(B82="","",IFERROR(AVERAGEIFS($B$2:$B$1001,$A$2:$A$1001,"&gt;="&amp;A82-6,$A$2:$A$1001,"&lt;="&amp;A82),""))</f>
        <v/>
      </c>
    </row>
    <row r="83">
      <c r="A83" s="7" t="n"/>
      <c r="B83" s="8" t="n"/>
      <c r="E83">
        <f>IF(C83="","",C83-Cfg_TDEE-IFERROR(D83,0))</f>
        <v/>
      </c>
      <c r="F83">
        <f>IF(E83="","",IFERROR(F82,0)+(-E83))</f>
        <v/>
      </c>
      <c r="G83" s="9">
        <f>IF(F83="","",F83/Cfg_FatConstant)</f>
        <v/>
      </c>
      <c r="H83" s="8">
        <f>IF(G83="","",Cfg_StartWeight-G83)</f>
        <v/>
      </c>
      <c r="I83" s="8">
        <f>IF(B83="","",Cfg_StartWeight-B83)</f>
        <v/>
      </c>
      <c r="J83" s="10">
        <f>IF(OR(B83="",G83=""),"",I83-G83)</f>
        <v/>
      </c>
      <c r="K83" s="9">
        <f>IF(B83="","",IFERROR(AVERAGEIFS($B$2:$B$1001,$A$2:$A$1001,"&gt;="&amp;A83-6,$A$2:$A$1001,"&lt;="&amp;A83),""))</f>
        <v/>
      </c>
    </row>
    <row r="84">
      <c r="A84" s="7" t="n"/>
      <c r="B84" s="8" t="n"/>
      <c r="E84">
        <f>IF(C84="","",C84-Cfg_TDEE-IFERROR(D84,0))</f>
        <v/>
      </c>
      <c r="F84">
        <f>IF(E84="","",IFERROR(F83,0)+(-E84))</f>
        <v/>
      </c>
      <c r="G84" s="9">
        <f>IF(F84="","",F84/Cfg_FatConstant)</f>
        <v/>
      </c>
      <c r="H84" s="8">
        <f>IF(G84="","",Cfg_StartWeight-G84)</f>
        <v/>
      </c>
      <c r="I84" s="8">
        <f>IF(B84="","",Cfg_StartWeight-B84)</f>
        <v/>
      </c>
      <c r="J84" s="10">
        <f>IF(OR(B84="",G84=""),"",I84-G84)</f>
        <v/>
      </c>
      <c r="K84" s="9">
        <f>IF(B84="","",IFERROR(AVERAGEIFS($B$2:$B$1001,$A$2:$A$1001,"&gt;="&amp;A84-6,$A$2:$A$1001,"&lt;="&amp;A84),""))</f>
        <v/>
      </c>
    </row>
    <row r="85">
      <c r="A85" s="7" t="n"/>
      <c r="B85" s="8" t="n"/>
      <c r="E85">
        <f>IF(C85="","",C85-Cfg_TDEE-IFERROR(D85,0))</f>
        <v/>
      </c>
      <c r="F85">
        <f>IF(E85="","",IFERROR(F84,0)+(-E85))</f>
        <v/>
      </c>
      <c r="G85" s="9">
        <f>IF(F85="","",F85/Cfg_FatConstant)</f>
        <v/>
      </c>
      <c r="H85" s="8">
        <f>IF(G85="","",Cfg_StartWeight-G85)</f>
        <v/>
      </c>
      <c r="I85" s="8">
        <f>IF(B85="","",Cfg_StartWeight-B85)</f>
        <v/>
      </c>
      <c r="J85" s="10">
        <f>IF(OR(B85="",G85=""),"",I85-G85)</f>
        <v/>
      </c>
      <c r="K85" s="9">
        <f>IF(B85="","",IFERROR(AVERAGEIFS($B$2:$B$1001,$A$2:$A$1001,"&gt;="&amp;A85-6,$A$2:$A$1001,"&lt;="&amp;A85),""))</f>
        <v/>
      </c>
    </row>
    <row r="86">
      <c r="A86" s="7" t="n"/>
      <c r="B86" s="8" t="n"/>
      <c r="E86">
        <f>IF(C86="","",C86-Cfg_TDEE-IFERROR(D86,0))</f>
        <v/>
      </c>
      <c r="F86">
        <f>IF(E86="","",IFERROR(F85,0)+(-E86))</f>
        <v/>
      </c>
      <c r="G86" s="9">
        <f>IF(F86="","",F86/Cfg_FatConstant)</f>
        <v/>
      </c>
      <c r="H86" s="8">
        <f>IF(G86="","",Cfg_StartWeight-G86)</f>
        <v/>
      </c>
      <c r="I86" s="8">
        <f>IF(B86="","",Cfg_StartWeight-B86)</f>
        <v/>
      </c>
      <c r="J86" s="10">
        <f>IF(OR(B86="",G86=""),"",I86-G86)</f>
        <v/>
      </c>
      <c r="K86" s="9">
        <f>IF(B86="","",IFERROR(AVERAGEIFS($B$2:$B$1001,$A$2:$A$1001,"&gt;="&amp;A86-6,$A$2:$A$1001,"&lt;="&amp;A86),""))</f>
        <v/>
      </c>
    </row>
    <row r="87">
      <c r="A87" s="7" t="n"/>
      <c r="B87" s="8" t="n"/>
      <c r="E87">
        <f>IF(C87="","",C87-Cfg_TDEE-IFERROR(D87,0))</f>
        <v/>
      </c>
      <c r="F87">
        <f>IF(E87="","",IFERROR(F86,0)+(-E87))</f>
        <v/>
      </c>
      <c r="G87" s="9">
        <f>IF(F87="","",F87/Cfg_FatConstant)</f>
        <v/>
      </c>
      <c r="H87" s="8">
        <f>IF(G87="","",Cfg_StartWeight-G87)</f>
        <v/>
      </c>
      <c r="I87" s="8">
        <f>IF(B87="","",Cfg_StartWeight-B87)</f>
        <v/>
      </c>
      <c r="J87" s="10">
        <f>IF(OR(B87="",G87=""),"",I87-G87)</f>
        <v/>
      </c>
      <c r="K87" s="9">
        <f>IF(B87="","",IFERROR(AVERAGEIFS($B$2:$B$1001,$A$2:$A$1001,"&gt;="&amp;A87-6,$A$2:$A$1001,"&lt;="&amp;A87),""))</f>
        <v/>
      </c>
    </row>
    <row r="88">
      <c r="A88" s="7" t="n"/>
      <c r="B88" s="8" t="n"/>
      <c r="E88">
        <f>IF(C88="","",C88-Cfg_TDEE-IFERROR(D88,0))</f>
        <v/>
      </c>
      <c r="F88">
        <f>IF(E88="","",IFERROR(F87,0)+(-E88))</f>
        <v/>
      </c>
      <c r="G88" s="9">
        <f>IF(F88="","",F88/Cfg_FatConstant)</f>
        <v/>
      </c>
      <c r="H88" s="8">
        <f>IF(G88="","",Cfg_StartWeight-G88)</f>
        <v/>
      </c>
      <c r="I88" s="8">
        <f>IF(B88="","",Cfg_StartWeight-B88)</f>
        <v/>
      </c>
      <c r="J88" s="10">
        <f>IF(OR(B88="",G88=""),"",I88-G88)</f>
        <v/>
      </c>
      <c r="K88" s="9">
        <f>IF(B88="","",IFERROR(AVERAGEIFS($B$2:$B$1001,$A$2:$A$1001,"&gt;="&amp;A88-6,$A$2:$A$1001,"&lt;="&amp;A88),""))</f>
        <v/>
      </c>
    </row>
    <row r="89">
      <c r="A89" s="7" t="n"/>
      <c r="B89" s="8" t="n"/>
      <c r="E89">
        <f>IF(C89="","",C89-Cfg_TDEE-IFERROR(D89,0))</f>
        <v/>
      </c>
      <c r="F89">
        <f>IF(E89="","",IFERROR(F88,0)+(-E89))</f>
        <v/>
      </c>
      <c r="G89" s="9">
        <f>IF(F89="","",F89/Cfg_FatConstant)</f>
        <v/>
      </c>
      <c r="H89" s="8">
        <f>IF(G89="","",Cfg_StartWeight-G89)</f>
        <v/>
      </c>
      <c r="I89" s="8">
        <f>IF(B89="","",Cfg_StartWeight-B89)</f>
        <v/>
      </c>
      <c r="J89" s="10">
        <f>IF(OR(B89="",G89=""),"",I89-G89)</f>
        <v/>
      </c>
      <c r="K89" s="9">
        <f>IF(B89="","",IFERROR(AVERAGEIFS($B$2:$B$1001,$A$2:$A$1001,"&gt;="&amp;A89-6,$A$2:$A$1001,"&lt;="&amp;A89),""))</f>
        <v/>
      </c>
    </row>
    <row r="90">
      <c r="A90" s="7" t="n"/>
      <c r="B90" s="8" t="n"/>
      <c r="E90">
        <f>IF(C90="","",C90-Cfg_TDEE-IFERROR(D90,0))</f>
        <v/>
      </c>
      <c r="F90">
        <f>IF(E90="","",IFERROR(F89,0)+(-E90))</f>
        <v/>
      </c>
      <c r="G90" s="9">
        <f>IF(F90="","",F90/Cfg_FatConstant)</f>
        <v/>
      </c>
      <c r="H90" s="8">
        <f>IF(G90="","",Cfg_StartWeight-G90)</f>
        <v/>
      </c>
      <c r="I90" s="8">
        <f>IF(B90="","",Cfg_StartWeight-B90)</f>
        <v/>
      </c>
      <c r="J90" s="10">
        <f>IF(OR(B90="",G90=""),"",I90-G90)</f>
        <v/>
      </c>
      <c r="K90" s="9">
        <f>IF(B90="","",IFERROR(AVERAGEIFS($B$2:$B$1001,$A$2:$A$1001,"&gt;="&amp;A90-6,$A$2:$A$1001,"&lt;="&amp;A90),""))</f>
        <v/>
      </c>
    </row>
    <row r="91">
      <c r="A91" s="7" t="n"/>
      <c r="B91" s="8" t="n"/>
      <c r="E91">
        <f>IF(C91="","",C91-Cfg_TDEE-IFERROR(D91,0))</f>
        <v/>
      </c>
      <c r="F91">
        <f>IF(E91="","",IFERROR(F90,0)+(-E91))</f>
        <v/>
      </c>
      <c r="G91" s="9">
        <f>IF(F91="","",F91/Cfg_FatConstant)</f>
        <v/>
      </c>
      <c r="H91" s="8">
        <f>IF(G91="","",Cfg_StartWeight-G91)</f>
        <v/>
      </c>
      <c r="I91" s="8">
        <f>IF(B91="","",Cfg_StartWeight-B91)</f>
        <v/>
      </c>
      <c r="J91" s="10">
        <f>IF(OR(B91="",G91=""),"",I91-G91)</f>
        <v/>
      </c>
      <c r="K91" s="9">
        <f>IF(B91="","",IFERROR(AVERAGEIFS($B$2:$B$1001,$A$2:$A$1001,"&gt;="&amp;A91-6,$A$2:$A$1001,"&lt;="&amp;A91),""))</f>
        <v/>
      </c>
    </row>
    <row r="92">
      <c r="A92" s="7" t="n"/>
      <c r="B92" s="8" t="n"/>
      <c r="E92">
        <f>IF(C92="","",C92-Cfg_TDEE-IFERROR(D92,0))</f>
        <v/>
      </c>
      <c r="F92">
        <f>IF(E92="","",IFERROR(F91,0)+(-E92))</f>
        <v/>
      </c>
      <c r="G92" s="9">
        <f>IF(F92="","",F92/Cfg_FatConstant)</f>
        <v/>
      </c>
      <c r="H92" s="8">
        <f>IF(G92="","",Cfg_StartWeight-G92)</f>
        <v/>
      </c>
      <c r="I92" s="8">
        <f>IF(B92="","",Cfg_StartWeight-B92)</f>
        <v/>
      </c>
      <c r="J92" s="10">
        <f>IF(OR(B92="",G92=""),"",I92-G92)</f>
        <v/>
      </c>
      <c r="K92" s="9">
        <f>IF(B92="","",IFERROR(AVERAGEIFS($B$2:$B$1001,$A$2:$A$1001,"&gt;="&amp;A92-6,$A$2:$A$1001,"&lt;="&amp;A92),""))</f>
        <v/>
      </c>
    </row>
    <row r="93">
      <c r="A93" s="7" t="n"/>
      <c r="B93" s="8" t="n"/>
      <c r="E93">
        <f>IF(C93="","",C93-Cfg_TDEE-IFERROR(D93,0))</f>
        <v/>
      </c>
      <c r="F93">
        <f>IF(E93="","",IFERROR(F92,0)+(-E93))</f>
        <v/>
      </c>
      <c r="G93" s="9">
        <f>IF(F93="","",F93/Cfg_FatConstant)</f>
        <v/>
      </c>
      <c r="H93" s="8">
        <f>IF(G93="","",Cfg_StartWeight-G93)</f>
        <v/>
      </c>
      <c r="I93" s="8">
        <f>IF(B93="","",Cfg_StartWeight-B93)</f>
        <v/>
      </c>
      <c r="J93" s="10">
        <f>IF(OR(B93="",G93=""),"",I93-G93)</f>
        <v/>
      </c>
      <c r="K93" s="9">
        <f>IF(B93="","",IFERROR(AVERAGEIFS($B$2:$B$1001,$A$2:$A$1001,"&gt;="&amp;A93-6,$A$2:$A$1001,"&lt;="&amp;A93),""))</f>
        <v/>
      </c>
    </row>
    <row r="94">
      <c r="A94" s="7" t="n"/>
      <c r="B94" s="8" t="n"/>
      <c r="E94">
        <f>IF(C94="","",C94-Cfg_TDEE-IFERROR(D94,0))</f>
        <v/>
      </c>
      <c r="F94">
        <f>IF(E94="","",IFERROR(F93,0)+(-E94))</f>
        <v/>
      </c>
      <c r="G94" s="9">
        <f>IF(F94="","",F94/Cfg_FatConstant)</f>
        <v/>
      </c>
      <c r="H94" s="8">
        <f>IF(G94="","",Cfg_StartWeight-G94)</f>
        <v/>
      </c>
      <c r="I94" s="8">
        <f>IF(B94="","",Cfg_StartWeight-B94)</f>
        <v/>
      </c>
      <c r="J94" s="10">
        <f>IF(OR(B94="",G94=""),"",I94-G94)</f>
        <v/>
      </c>
      <c r="K94" s="9">
        <f>IF(B94="","",IFERROR(AVERAGEIFS($B$2:$B$1001,$A$2:$A$1001,"&gt;="&amp;A94-6,$A$2:$A$1001,"&lt;="&amp;A94),""))</f>
        <v/>
      </c>
    </row>
    <row r="95">
      <c r="A95" s="7" t="n"/>
      <c r="B95" s="8" t="n"/>
      <c r="E95">
        <f>IF(C95="","",C95-Cfg_TDEE-IFERROR(D95,0))</f>
        <v/>
      </c>
      <c r="F95">
        <f>IF(E95="","",IFERROR(F94,0)+(-E95))</f>
        <v/>
      </c>
      <c r="G95" s="9">
        <f>IF(F95="","",F95/Cfg_FatConstant)</f>
        <v/>
      </c>
      <c r="H95" s="8">
        <f>IF(G95="","",Cfg_StartWeight-G95)</f>
        <v/>
      </c>
      <c r="I95" s="8">
        <f>IF(B95="","",Cfg_StartWeight-B95)</f>
        <v/>
      </c>
      <c r="J95" s="10">
        <f>IF(OR(B95="",G95=""),"",I95-G95)</f>
        <v/>
      </c>
      <c r="K95" s="9">
        <f>IF(B95="","",IFERROR(AVERAGEIFS($B$2:$B$1001,$A$2:$A$1001,"&gt;="&amp;A95-6,$A$2:$A$1001,"&lt;="&amp;A95),""))</f>
        <v/>
      </c>
    </row>
    <row r="96">
      <c r="A96" s="7" t="n"/>
      <c r="B96" s="8" t="n"/>
      <c r="E96">
        <f>IF(C96="","",C96-Cfg_TDEE-IFERROR(D96,0))</f>
        <v/>
      </c>
      <c r="F96">
        <f>IF(E96="","",IFERROR(F95,0)+(-E96))</f>
        <v/>
      </c>
      <c r="G96" s="9">
        <f>IF(F96="","",F96/Cfg_FatConstant)</f>
        <v/>
      </c>
      <c r="H96" s="8">
        <f>IF(G96="","",Cfg_StartWeight-G96)</f>
        <v/>
      </c>
      <c r="I96" s="8">
        <f>IF(B96="","",Cfg_StartWeight-B96)</f>
        <v/>
      </c>
      <c r="J96" s="10">
        <f>IF(OR(B96="",G96=""),"",I96-G96)</f>
        <v/>
      </c>
      <c r="K96" s="9">
        <f>IF(B96="","",IFERROR(AVERAGEIFS($B$2:$B$1001,$A$2:$A$1001,"&gt;="&amp;A96-6,$A$2:$A$1001,"&lt;="&amp;A96),""))</f>
        <v/>
      </c>
    </row>
    <row r="97">
      <c r="A97" s="7" t="n"/>
      <c r="B97" s="8" t="n"/>
      <c r="E97">
        <f>IF(C97="","",C97-Cfg_TDEE-IFERROR(D97,0))</f>
        <v/>
      </c>
      <c r="F97">
        <f>IF(E97="","",IFERROR(F96,0)+(-E97))</f>
        <v/>
      </c>
      <c r="G97" s="9">
        <f>IF(F97="","",F97/Cfg_FatConstant)</f>
        <v/>
      </c>
      <c r="H97" s="8">
        <f>IF(G97="","",Cfg_StartWeight-G97)</f>
        <v/>
      </c>
      <c r="I97" s="8">
        <f>IF(B97="","",Cfg_StartWeight-B97)</f>
        <v/>
      </c>
      <c r="J97" s="10">
        <f>IF(OR(B97="",G97=""),"",I97-G97)</f>
        <v/>
      </c>
      <c r="K97" s="9">
        <f>IF(B97="","",IFERROR(AVERAGEIFS($B$2:$B$1001,$A$2:$A$1001,"&gt;="&amp;A97-6,$A$2:$A$1001,"&lt;="&amp;A97),""))</f>
        <v/>
      </c>
    </row>
    <row r="98">
      <c r="A98" s="7" t="n"/>
      <c r="B98" s="8" t="n"/>
      <c r="E98">
        <f>IF(C98="","",C98-Cfg_TDEE-IFERROR(D98,0))</f>
        <v/>
      </c>
      <c r="F98">
        <f>IF(E98="","",IFERROR(F97,0)+(-E98))</f>
        <v/>
      </c>
      <c r="G98" s="9">
        <f>IF(F98="","",F98/Cfg_FatConstant)</f>
        <v/>
      </c>
      <c r="H98" s="8">
        <f>IF(G98="","",Cfg_StartWeight-G98)</f>
        <v/>
      </c>
      <c r="I98" s="8">
        <f>IF(B98="","",Cfg_StartWeight-B98)</f>
        <v/>
      </c>
      <c r="J98" s="10">
        <f>IF(OR(B98="",G98=""),"",I98-G98)</f>
        <v/>
      </c>
      <c r="K98" s="9">
        <f>IF(B98="","",IFERROR(AVERAGEIFS($B$2:$B$1001,$A$2:$A$1001,"&gt;="&amp;A98-6,$A$2:$A$1001,"&lt;="&amp;A98),""))</f>
        <v/>
      </c>
    </row>
    <row r="99">
      <c r="A99" s="7" t="n"/>
      <c r="B99" s="8" t="n"/>
      <c r="E99">
        <f>IF(C99="","",C99-Cfg_TDEE-IFERROR(D99,0))</f>
        <v/>
      </c>
      <c r="F99">
        <f>IF(E99="","",IFERROR(F98,0)+(-E99))</f>
        <v/>
      </c>
      <c r="G99" s="9">
        <f>IF(F99="","",F99/Cfg_FatConstant)</f>
        <v/>
      </c>
      <c r="H99" s="8">
        <f>IF(G99="","",Cfg_StartWeight-G99)</f>
        <v/>
      </c>
      <c r="I99" s="8">
        <f>IF(B99="","",Cfg_StartWeight-B99)</f>
        <v/>
      </c>
      <c r="J99" s="10">
        <f>IF(OR(B99="",G99=""),"",I99-G99)</f>
        <v/>
      </c>
      <c r="K99" s="9">
        <f>IF(B99="","",IFERROR(AVERAGEIFS($B$2:$B$1001,$A$2:$A$1001,"&gt;="&amp;A99-6,$A$2:$A$1001,"&lt;="&amp;A99),""))</f>
        <v/>
      </c>
    </row>
    <row r="100">
      <c r="A100" s="7" t="n"/>
      <c r="B100" s="8" t="n"/>
      <c r="E100">
        <f>IF(C100="","",C100-Cfg_TDEE-IFERROR(D100,0))</f>
        <v/>
      </c>
      <c r="F100">
        <f>IF(E100="","",IFERROR(F99,0)+(-E100))</f>
        <v/>
      </c>
      <c r="G100" s="9">
        <f>IF(F100="","",F100/Cfg_FatConstant)</f>
        <v/>
      </c>
      <c r="H100" s="8">
        <f>IF(G100="","",Cfg_StartWeight-G100)</f>
        <v/>
      </c>
      <c r="I100" s="8">
        <f>IF(B100="","",Cfg_StartWeight-B100)</f>
        <v/>
      </c>
      <c r="J100" s="10">
        <f>IF(OR(B100="",G100=""),"",I100-G100)</f>
        <v/>
      </c>
      <c r="K100" s="9">
        <f>IF(B100="","",IFERROR(AVERAGEIFS($B$2:$B$1001,$A$2:$A$1001,"&gt;="&amp;A100-6,$A$2:$A$1001,"&lt;="&amp;A100),""))</f>
        <v/>
      </c>
    </row>
    <row r="101">
      <c r="A101" s="7" t="n"/>
      <c r="B101" s="8" t="n"/>
      <c r="E101">
        <f>IF(C101="","",C101-Cfg_TDEE-IFERROR(D101,0))</f>
        <v/>
      </c>
      <c r="F101">
        <f>IF(E101="","",IFERROR(F100,0)+(-E101))</f>
        <v/>
      </c>
      <c r="G101" s="9">
        <f>IF(F101="","",F101/Cfg_FatConstant)</f>
        <v/>
      </c>
      <c r="H101" s="8">
        <f>IF(G101="","",Cfg_StartWeight-G101)</f>
        <v/>
      </c>
      <c r="I101" s="8">
        <f>IF(B101="","",Cfg_StartWeight-B101)</f>
        <v/>
      </c>
      <c r="J101" s="10">
        <f>IF(OR(B101="",G101=""),"",I101-G101)</f>
        <v/>
      </c>
      <c r="K101" s="9">
        <f>IF(B101="","",IFERROR(AVERAGEIFS($B$2:$B$1001,$A$2:$A$1001,"&gt;="&amp;A101-6,$A$2:$A$1001,"&lt;="&amp;A101),""))</f>
        <v/>
      </c>
    </row>
    <row r="102">
      <c r="A102" s="7" t="n"/>
      <c r="B102" s="8" t="n"/>
      <c r="E102">
        <f>IF(C102="","",C102-Cfg_TDEE-IFERROR(D102,0))</f>
        <v/>
      </c>
      <c r="F102">
        <f>IF(E102="","",IFERROR(F101,0)+(-E102))</f>
        <v/>
      </c>
      <c r="G102" s="9">
        <f>IF(F102="","",F102/Cfg_FatConstant)</f>
        <v/>
      </c>
      <c r="H102" s="8">
        <f>IF(G102="","",Cfg_StartWeight-G102)</f>
        <v/>
      </c>
      <c r="I102" s="8">
        <f>IF(B102="","",Cfg_StartWeight-B102)</f>
        <v/>
      </c>
      <c r="J102" s="10">
        <f>IF(OR(B102="",G102=""),"",I102-G102)</f>
        <v/>
      </c>
      <c r="K102" s="9">
        <f>IF(B102="","",IFERROR(AVERAGEIFS($B$2:$B$1001,$A$2:$A$1001,"&gt;="&amp;A102-6,$A$2:$A$1001,"&lt;="&amp;A102),""))</f>
        <v/>
      </c>
    </row>
    <row r="103">
      <c r="A103" s="7" t="n"/>
      <c r="B103" s="8" t="n"/>
      <c r="E103">
        <f>IF(C103="","",C103-Cfg_TDEE-IFERROR(D103,0))</f>
        <v/>
      </c>
      <c r="F103">
        <f>IF(E103="","",IFERROR(F102,0)+(-E103))</f>
        <v/>
      </c>
      <c r="G103" s="9">
        <f>IF(F103="","",F103/Cfg_FatConstant)</f>
        <v/>
      </c>
      <c r="H103" s="8">
        <f>IF(G103="","",Cfg_StartWeight-G103)</f>
        <v/>
      </c>
      <c r="I103" s="8">
        <f>IF(B103="","",Cfg_StartWeight-B103)</f>
        <v/>
      </c>
      <c r="J103" s="10">
        <f>IF(OR(B103="",G103=""),"",I103-G103)</f>
        <v/>
      </c>
      <c r="K103" s="9">
        <f>IF(B103="","",IFERROR(AVERAGEIFS($B$2:$B$1001,$A$2:$A$1001,"&gt;="&amp;A103-6,$A$2:$A$1001,"&lt;="&amp;A103),""))</f>
        <v/>
      </c>
    </row>
    <row r="104">
      <c r="A104" s="7" t="n"/>
      <c r="B104" s="8" t="n"/>
      <c r="E104">
        <f>IF(C104="","",C104-Cfg_TDEE-IFERROR(D104,0))</f>
        <v/>
      </c>
      <c r="F104">
        <f>IF(E104="","",IFERROR(F103,0)+(-E104))</f>
        <v/>
      </c>
      <c r="G104" s="9">
        <f>IF(F104="","",F104/Cfg_FatConstant)</f>
        <v/>
      </c>
      <c r="H104" s="8">
        <f>IF(G104="","",Cfg_StartWeight-G104)</f>
        <v/>
      </c>
      <c r="I104" s="8">
        <f>IF(B104="","",Cfg_StartWeight-B104)</f>
        <v/>
      </c>
      <c r="J104" s="10">
        <f>IF(OR(B104="",G104=""),"",I104-G104)</f>
        <v/>
      </c>
      <c r="K104" s="9">
        <f>IF(B104="","",IFERROR(AVERAGEIFS($B$2:$B$1001,$A$2:$A$1001,"&gt;="&amp;A104-6,$A$2:$A$1001,"&lt;="&amp;A104),""))</f>
        <v/>
      </c>
    </row>
    <row r="105">
      <c r="A105" s="7" t="n"/>
      <c r="B105" s="8" t="n"/>
      <c r="E105">
        <f>IF(C105="","",C105-Cfg_TDEE-IFERROR(D105,0))</f>
        <v/>
      </c>
      <c r="F105">
        <f>IF(E105="","",IFERROR(F104,0)+(-E105))</f>
        <v/>
      </c>
      <c r="G105" s="9">
        <f>IF(F105="","",F105/Cfg_FatConstant)</f>
        <v/>
      </c>
      <c r="H105" s="8">
        <f>IF(G105="","",Cfg_StartWeight-G105)</f>
        <v/>
      </c>
      <c r="I105" s="8">
        <f>IF(B105="","",Cfg_StartWeight-B105)</f>
        <v/>
      </c>
      <c r="J105" s="10">
        <f>IF(OR(B105="",G105=""),"",I105-G105)</f>
        <v/>
      </c>
      <c r="K105" s="9">
        <f>IF(B105="","",IFERROR(AVERAGEIFS($B$2:$B$1001,$A$2:$A$1001,"&gt;="&amp;A105-6,$A$2:$A$1001,"&lt;="&amp;A105),""))</f>
        <v/>
      </c>
    </row>
    <row r="106">
      <c r="A106" s="7" t="n"/>
      <c r="B106" s="8" t="n"/>
      <c r="E106">
        <f>IF(C106="","",C106-Cfg_TDEE-IFERROR(D106,0))</f>
        <v/>
      </c>
      <c r="F106">
        <f>IF(E106="","",IFERROR(F105,0)+(-E106))</f>
        <v/>
      </c>
      <c r="G106" s="9">
        <f>IF(F106="","",F106/Cfg_FatConstant)</f>
        <v/>
      </c>
      <c r="H106" s="8">
        <f>IF(G106="","",Cfg_StartWeight-G106)</f>
        <v/>
      </c>
      <c r="I106" s="8">
        <f>IF(B106="","",Cfg_StartWeight-B106)</f>
        <v/>
      </c>
      <c r="J106" s="10">
        <f>IF(OR(B106="",G106=""),"",I106-G106)</f>
        <v/>
      </c>
      <c r="K106" s="9">
        <f>IF(B106="","",IFERROR(AVERAGEIFS($B$2:$B$1001,$A$2:$A$1001,"&gt;="&amp;A106-6,$A$2:$A$1001,"&lt;="&amp;A106),""))</f>
        <v/>
      </c>
    </row>
    <row r="107">
      <c r="A107" s="7" t="n"/>
      <c r="B107" s="8" t="n"/>
      <c r="E107">
        <f>IF(C107="","",C107-Cfg_TDEE-IFERROR(D107,0))</f>
        <v/>
      </c>
      <c r="F107">
        <f>IF(E107="","",IFERROR(F106,0)+(-E107))</f>
        <v/>
      </c>
      <c r="G107" s="9">
        <f>IF(F107="","",F107/Cfg_FatConstant)</f>
        <v/>
      </c>
      <c r="H107" s="8">
        <f>IF(G107="","",Cfg_StartWeight-G107)</f>
        <v/>
      </c>
      <c r="I107" s="8">
        <f>IF(B107="","",Cfg_StartWeight-B107)</f>
        <v/>
      </c>
      <c r="J107" s="10">
        <f>IF(OR(B107="",G107=""),"",I107-G107)</f>
        <v/>
      </c>
      <c r="K107" s="9">
        <f>IF(B107="","",IFERROR(AVERAGEIFS($B$2:$B$1001,$A$2:$A$1001,"&gt;="&amp;A107-6,$A$2:$A$1001,"&lt;="&amp;A107),""))</f>
        <v/>
      </c>
    </row>
    <row r="108">
      <c r="A108" s="7" t="n"/>
      <c r="B108" s="8" t="n"/>
      <c r="E108">
        <f>IF(C108="","",C108-Cfg_TDEE-IFERROR(D108,0))</f>
        <v/>
      </c>
      <c r="F108">
        <f>IF(E108="","",IFERROR(F107,0)+(-E108))</f>
        <v/>
      </c>
      <c r="G108" s="9">
        <f>IF(F108="","",F108/Cfg_FatConstant)</f>
        <v/>
      </c>
      <c r="H108" s="8">
        <f>IF(G108="","",Cfg_StartWeight-G108)</f>
        <v/>
      </c>
      <c r="I108" s="8">
        <f>IF(B108="","",Cfg_StartWeight-B108)</f>
        <v/>
      </c>
      <c r="J108" s="10">
        <f>IF(OR(B108="",G108=""),"",I108-G108)</f>
        <v/>
      </c>
      <c r="K108" s="9">
        <f>IF(B108="","",IFERROR(AVERAGEIFS($B$2:$B$1001,$A$2:$A$1001,"&gt;="&amp;A108-6,$A$2:$A$1001,"&lt;="&amp;A108),""))</f>
        <v/>
      </c>
    </row>
    <row r="109">
      <c r="A109" s="7" t="n"/>
      <c r="B109" s="8" t="n"/>
      <c r="E109">
        <f>IF(C109="","",C109-Cfg_TDEE-IFERROR(D109,0))</f>
        <v/>
      </c>
      <c r="F109">
        <f>IF(E109="","",IFERROR(F108,0)+(-E109))</f>
        <v/>
      </c>
      <c r="G109" s="9">
        <f>IF(F109="","",F109/Cfg_FatConstant)</f>
        <v/>
      </c>
      <c r="H109" s="8">
        <f>IF(G109="","",Cfg_StartWeight-G109)</f>
        <v/>
      </c>
      <c r="I109" s="8">
        <f>IF(B109="","",Cfg_StartWeight-B109)</f>
        <v/>
      </c>
      <c r="J109" s="10">
        <f>IF(OR(B109="",G109=""),"",I109-G109)</f>
        <v/>
      </c>
      <c r="K109" s="9">
        <f>IF(B109="","",IFERROR(AVERAGEIFS($B$2:$B$1001,$A$2:$A$1001,"&gt;="&amp;A109-6,$A$2:$A$1001,"&lt;="&amp;A109),""))</f>
        <v/>
      </c>
    </row>
    <row r="110">
      <c r="A110" s="7" t="n"/>
      <c r="B110" s="8" t="n"/>
      <c r="E110">
        <f>IF(C110="","",C110-Cfg_TDEE-IFERROR(D110,0))</f>
        <v/>
      </c>
      <c r="F110">
        <f>IF(E110="","",IFERROR(F109,0)+(-E110))</f>
        <v/>
      </c>
      <c r="G110" s="9">
        <f>IF(F110="","",F110/Cfg_FatConstant)</f>
        <v/>
      </c>
      <c r="H110" s="8">
        <f>IF(G110="","",Cfg_StartWeight-G110)</f>
        <v/>
      </c>
      <c r="I110" s="8">
        <f>IF(B110="","",Cfg_StartWeight-B110)</f>
        <v/>
      </c>
      <c r="J110" s="10">
        <f>IF(OR(B110="",G110=""),"",I110-G110)</f>
        <v/>
      </c>
      <c r="K110" s="9">
        <f>IF(B110="","",IFERROR(AVERAGEIFS($B$2:$B$1001,$A$2:$A$1001,"&gt;="&amp;A110-6,$A$2:$A$1001,"&lt;="&amp;A110),""))</f>
        <v/>
      </c>
    </row>
    <row r="111">
      <c r="A111" s="7" t="n"/>
      <c r="B111" s="8" t="n"/>
      <c r="E111">
        <f>IF(C111="","",C111-Cfg_TDEE-IFERROR(D111,0))</f>
        <v/>
      </c>
      <c r="F111">
        <f>IF(E111="","",IFERROR(F110,0)+(-E111))</f>
        <v/>
      </c>
      <c r="G111" s="9">
        <f>IF(F111="","",F111/Cfg_FatConstant)</f>
        <v/>
      </c>
      <c r="H111" s="8">
        <f>IF(G111="","",Cfg_StartWeight-G111)</f>
        <v/>
      </c>
      <c r="I111" s="8">
        <f>IF(B111="","",Cfg_StartWeight-B111)</f>
        <v/>
      </c>
      <c r="J111" s="10">
        <f>IF(OR(B111="",G111=""),"",I111-G111)</f>
        <v/>
      </c>
      <c r="K111" s="9">
        <f>IF(B111="","",IFERROR(AVERAGEIFS($B$2:$B$1001,$A$2:$A$1001,"&gt;="&amp;A111-6,$A$2:$A$1001,"&lt;="&amp;A111),""))</f>
        <v/>
      </c>
    </row>
    <row r="112">
      <c r="A112" s="7" t="n"/>
      <c r="B112" s="8" t="n"/>
      <c r="E112">
        <f>IF(C112="","",C112-Cfg_TDEE-IFERROR(D112,0))</f>
        <v/>
      </c>
      <c r="F112">
        <f>IF(E112="","",IFERROR(F111,0)+(-E112))</f>
        <v/>
      </c>
      <c r="G112" s="9">
        <f>IF(F112="","",F112/Cfg_FatConstant)</f>
        <v/>
      </c>
      <c r="H112" s="8">
        <f>IF(G112="","",Cfg_StartWeight-G112)</f>
        <v/>
      </c>
      <c r="I112" s="8">
        <f>IF(B112="","",Cfg_StartWeight-B112)</f>
        <v/>
      </c>
      <c r="J112" s="10">
        <f>IF(OR(B112="",G112=""),"",I112-G112)</f>
        <v/>
      </c>
      <c r="K112" s="9">
        <f>IF(B112="","",IFERROR(AVERAGEIFS($B$2:$B$1001,$A$2:$A$1001,"&gt;="&amp;A112-6,$A$2:$A$1001,"&lt;="&amp;A112),""))</f>
        <v/>
      </c>
    </row>
    <row r="113">
      <c r="A113" s="7" t="n"/>
      <c r="B113" s="8" t="n"/>
      <c r="E113">
        <f>IF(C113="","",C113-Cfg_TDEE-IFERROR(D113,0))</f>
        <v/>
      </c>
      <c r="F113">
        <f>IF(E113="","",IFERROR(F112,0)+(-E113))</f>
        <v/>
      </c>
      <c r="G113" s="9">
        <f>IF(F113="","",F113/Cfg_FatConstant)</f>
        <v/>
      </c>
      <c r="H113" s="8">
        <f>IF(G113="","",Cfg_StartWeight-G113)</f>
        <v/>
      </c>
      <c r="I113" s="8">
        <f>IF(B113="","",Cfg_StartWeight-B113)</f>
        <v/>
      </c>
      <c r="J113" s="10">
        <f>IF(OR(B113="",G113=""),"",I113-G113)</f>
        <v/>
      </c>
      <c r="K113" s="9">
        <f>IF(B113="","",IFERROR(AVERAGEIFS($B$2:$B$1001,$A$2:$A$1001,"&gt;="&amp;A113-6,$A$2:$A$1001,"&lt;="&amp;A113),""))</f>
        <v/>
      </c>
    </row>
    <row r="114">
      <c r="A114" s="7" t="n"/>
      <c r="B114" s="8" t="n"/>
      <c r="E114">
        <f>IF(C114="","",C114-Cfg_TDEE-IFERROR(D114,0))</f>
        <v/>
      </c>
      <c r="F114">
        <f>IF(E114="","",IFERROR(F113,0)+(-E114))</f>
        <v/>
      </c>
      <c r="G114" s="9">
        <f>IF(F114="","",F114/Cfg_FatConstant)</f>
        <v/>
      </c>
      <c r="H114" s="8">
        <f>IF(G114="","",Cfg_StartWeight-G114)</f>
        <v/>
      </c>
      <c r="I114" s="8">
        <f>IF(B114="","",Cfg_StartWeight-B114)</f>
        <v/>
      </c>
      <c r="J114" s="10">
        <f>IF(OR(B114="",G114=""),"",I114-G114)</f>
        <v/>
      </c>
      <c r="K114" s="9">
        <f>IF(B114="","",IFERROR(AVERAGEIFS($B$2:$B$1001,$A$2:$A$1001,"&gt;="&amp;A114-6,$A$2:$A$1001,"&lt;="&amp;A114),""))</f>
        <v/>
      </c>
    </row>
    <row r="115">
      <c r="A115" s="7" t="n"/>
      <c r="B115" s="8" t="n"/>
      <c r="E115">
        <f>IF(C115="","",C115-Cfg_TDEE-IFERROR(D115,0))</f>
        <v/>
      </c>
      <c r="F115">
        <f>IF(E115="","",IFERROR(F114,0)+(-E115))</f>
        <v/>
      </c>
      <c r="G115" s="9">
        <f>IF(F115="","",F115/Cfg_FatConstant)</f>
        <v/>
      </c>
      <c r="H115" s="8">
        <f>IF(G115="","",Cfg_StartWeight-G115)</f>
        <v/>
      </c>
      <c r="I115" s="8">
        <f>IF(B115="","",Cfg_StartWeight-B115)</f>
        <v/>
      </c>
      <c r="J115" s="10">
        <f>IF(OR(B115="",G115=""),"",I115-G115)</f>
        <v/>
      </c>
      <c r="K115" s="9">
        <f>IF(B115="","",IFERROR(AVERAGEIFS($B$2:$B$1001,$A$2:$A$1001,"&gt;="&amp;A115-6,$A$2:$A$1001,"&lt;="&amp;A115),""))</f>
        <v/>
      </c>
    </row>
    <row r="116">
      <c r="A116" s="7" t="n"/>
      <c r="B116" s="8" t="n"/>
      <c r="E116">
        <f>IF(C116="","",C116-Cfg_TDEE-IFERROR(D116,0))</f>
        <v/>
      </c>
      <c r="F116">
        <f>IF(E116="","",IFERROR(F115,0)+(-E116))</f>
        <v/>
      </c>
      <c r="G116" s="9">
        <f>IF(F116="","",F116/Cfg_FatConstant)</f>
        <v/>
      </c>
      <c r="H116" s="8">
        <f>IF(G116="","",Cfg_StartWeight-G116)</f>
        <v/>
      </c>
      <c r="I116" s="8">
        <f>IF(B116="","",Cfg_StartWeight-B116)</f>
        <v/>
      </c>
      <c r="J116" s="10">
        <f>IF(OR(B116="",G116=""),"",I116-G116)</f>
        <v/>
      </c>
      <c r="K116" s="9">
        <f>IF(B116="","",IFERROR(AVERAGEIFS($B$2:$B$1001,$A$2:$A$1001,"&gt;="&amp;A116-6,$A$2:$A$1001,"&lt;="&amp;A116),""))</f>
        <v/>
      </c>
    </row>
    <row r="117">
      <c r="A117" s="7" t="n"/>
      <c r="B117" s="8" t="n"/>
      <c r="E117">
        <f>IF(C117="","",C117-Cfg_TDEE-IFERROR(D117,0))</f>
        <v/>
      </c>
      <c r="F117">
        <f>IF(E117="","",IFERROR(F116,0)+(-E117))</f>
        <v/>
      </c>
      <c r="G117" s="9">
        <f>IF(F117="","",F117/Cfg_FatConstant)</f>
        <v/>
      </c>
      <c r="H117" s="8">
        <f>IF(G117="","",Cfg_StartWeight-G117)</f>
        <v/>
      </c>
      <c r="I117" s="8">
        <f>IF(B117="","",Cfg_StartWeight-B117)</f>
        <v/>
      </c>
      <c r="J117" s="10">
        <f>IF(OR(B117="",G117=""),"",I117-G117)</f>
        <v/>
      </c>
      <c r="K117" s="9">
        <f>IF(B117="","",IFERROR(AVERAGEIFS($B$2:$B$1001,$A$2:$A$1001,"&gt;="&amp;A117-6,$A$2:$A$1001,"&lt;="&amp;A117),""))</f>
        <v/>
      </c>
    </row>
    <row r="118">
      <c r="A118" s="7" t="n"/>
      <c r="B118" s="8" t="n"/>
      <c r="E118">
        <f>IF(C118="","",C118-Cfg_TDEE-IFERROR(D118,0))</f>
        <v/>
      </c>
      <c r="F118">
        <f>IF(E118="","",IFERROR(F117,0)+(-E118))</f>
        <v/>
      </c>
      <c r="G118" s="9">
        <f>IF(F118="","",F118/Cfg_FatConstant)</f>
        <v/>
      </c>
      <c r="H118" s="8">
        <f>IF(G118="","",Cfg_StartWeight-G118)</f>
        <v/>
      </c>
      <c r="I118" s="8">
        <f>IF(B118="","",Cfg_StartWeight-B118)</f>
        <v/>
      </c>
      <c r="J118" s="10">
        <f>IF(OR(B118="",G118=""),"",I118-G118)</f>
        <v/>
      </c>
      <c r="K118" s="9">
        <f>IF(B118="","",IFERROR(AVERAGEIFS($B$2:$B$1001,$A$2:$A$1001,"&gt;="&amp;A118-6,$A$2:$A$1001,"&lt;="&amp;A118),""))</f>
        <v/>
      </c>
    </row>
    <row r="119">
      <c r="A119" s="7" t="n"/>
      <c r="B119" s="8" t="n"/>
      <c r="E119">
        <f>IF(C119="","",C119-Cfg_TDEE-IFERROR(D119,0))</f>
        <v/>
      </c>
      <c r="F119">
        <f>IF(E119="","",IFERROR(F118,0)+(-E119))</f>
        <v/>
      </c>
      <c r="G119" s="9">
        <f>IF(F119="","",F119/Cfg_FatConstant)</f>
        <v/>
      </c>
      <c r="H119" s="8">
        <f>IF(G119="","",Cfg_StartWeight-G119)</f>
        <v/>
      </c>
      <c r="I119" s="8">
        <f>IF(B119="","",Cfg_StartWeight-B119)</f>
        <v/>
      </c>
      <c r="J119" s="10">
        <f>IF(OR(B119="",G119=""),"",I119-G119)</f>
        <v/>
      </c>
      <c r="K119" s="9">
        <f>IF(B119="","",IFERROR(AVERAGEIFS($B$2:$B$1001,$A$2:$A$1001,"&gt;="&amp;A119-6,$A$2:$A$1001,"&lt;="&amp;A119),""))</f>
        <v/>
      </c>
    </row>
    <row r="120">
      <c r="A120" s="7" t="n"/>
      <c r="B120" s="8" t="n"/>
      <c r="E120">
        <f>IF(C120="","",C120-Cfg_TDEE-IFERROR(D120,0))</f>
        <v/>
      </c>
      <c r="F120">
        <f>IF(E120="","",IFERROR(F119,0)+(-E120))</f>
        <v/>
      </c>
      <c r="G120" s="9">
        <f>IF(F120="","",F120/Cfg_FatConstant)</f>
        <v/>
      </c>
      <c r="H120" s="8">
        <f>IF(G120="","",Cfg_StartWeight-G120)</f>
        <v/>
      </c>
      <c r="I120" s="8">
        <f>IF(B120="","",Cfg_StartWeight-B120)</f>
        <v/>
      </c>
      <c r="J120" s="10">
        <f>IF(OR(B120="",G120=""),"",I120-G120)</f>
        <v/>
      </c>
      <c r="K120" s="9">
        <f>IF(B120="","",IFERROR(AVERAGEIFS($B$2:$B$1001,$A$2:$A$1001,"&gt;="&amp;A120-6,$A$2:$A$1001,"&lt;="&amp;A120),""))</f>
        <v/>
      </c>
    </row>
    <row r="121">
      <c r="A121" s="7" t="n"/>
      <c r="B121" s="8" t="n"/>
      <c r="E121">
        <f>IF(C121="","",C121-Cfg_TDEE-IFERROR(D121,0))</f>
        <v/>
      </c>
      <c r="F121">
        <f>IF(E121="","",IFERROR(F120,0)+(-E121))</f>
        <v/>
      </c>
      <c r="G121" s="9">
        <f>IF(F121="","",F121/Cfg_FatConstant)</f>
        <v/>
      </c>
      <c r="H121" s="8">
        <f>IF(G121="","",Cfg_StartWeight-G121)</f>
        <v/>
      </c>
      <c r="I121" s="8">
        <f>IF(B121="","",Cfg_StartWeight-B121)</f>
        <v/>
      </c>
      <c r="J121" s="10">
        <f>IF(OR(B121="",G121=""),"",I121-G121)</f>
        <v/>
      </c>
      <c r="K121" s="9">
        <f>IF(B121="","",IFERROR(AVERAGEIFS($B$2:$B$1001,$A$2:$A$1001,"&gt;="&amp;A121-6,$A$2:$A$1001,"&lt;="&amp;A121),""))</f>
        <v/>
      </c>
    </row>
    <row r="122">
      <c r="A122" s="7" t="n"/>
      <c r="B122" s="8" t="n"/>
      <c r="E122">
        <f>IF(C122="","",C122-Cfg_TDEE-IFERROR(D122,0))</f>
        <v/>
      </c>
      <c r="F122">
        <f>IF(E122="","",IFERROR(F121,0)+(-E122))</f>
        <v/>
      </c>
      <c r="G122" s="9">
        <f>IF(F122="","",F122/Cfg_FatConstant)</f>
        <v/>
      </c>
      <c r="H122" s="8">
        <f>IF(G122="","",Cfg_StartWeight-G122)</f>
        <v/>
      </c>
      <c r="I122" s="8">
        <f>IF(B122="","",Cfg_StartWeight-B122)</f>
        <v/>
      </c>
      <c r="J122" s="10">
        <f>IF(OR(B122="",G122=""),"",I122-G122)</f>
        <v/>
      </c>
      <c r="K122" s="9">
        <f>IF(B122="","",IFERROR(AVERAGEIFS($B$2:$B$1001,$A$2:$A$1001,"&gt;="&amp;A122-6,$A$2:$A$1001,"&lt;="&amp;A122),""))</f>
        <v/>
      </c>
    </row>
    <row r="123">
      <c r="A123" s="7" t="n"/>
      <c r="B123" s="8" t="n"/>
      <c r="E123">
        <f>IF(C123="","",C123-Cfg_TDEE-IFERROR(D123,0))</f>
        <v/>
      </c>
      <c r="F123">
        <f>IF(E123="","",IFERROR(F122,0)+(-E123))</f>
        <v/>
      </c>
      <c r="G123" s="9">
        <f>IF(F123="","",F123/Cfg_FatConstant)</f>
        <v/>
      </c>
      <c r="H123" s="8">
        <f>IF(G123="","",Cfg_StartWeight-G123)</f>
        <v/>
      </c>
      <c r="I123" s="8">
        <f>IF(B123="","",Cfg_StartWeight-B123)</f>
        <v/>
      </c>
      <c r="J123" s="10">
        <f>IF(OR(B123="",G123=""),"",I123-G123)</f>
        <v/>
      </c>
      <c r="K123" s="9">
        <f>IF(B123="","",IFERROR(AVERAGEIFS($B$2:$B$1001,$A$2:$A$1001,"&gt;="&amp;A123-6,$A$2:$A$1001,"&lt;="&amp;A123),""))</f>
        <v/>
      </c>
    </row>
    <row r="124">
      <c r="A124" s="7" t="n"/>
      <c r="B124" s="8" t="n"/>
      <c r="E124">
        <f>IF(C124="","",C124-Cfg_TDEE-IFERROR(D124,0))</f>
        <v/>
      </c>
      <c r="F124">
        <f>IF(E124="","",IFERROR(F123,0)+(-E124))</f>
        <v/>
      </c>
      <c r="G124" s="9">
        <f>IF(F124="","",F124/Cfg_FatConstant)</f>
        <v/>
      </c>
      <c r="H124" s="8">
        <f>IF(G124="","",Cfg_StartWeight-G124)</f>
        <v/>
      </c>
      <c r="I124" s="8">
        <f>IF(B124="","",Cfg_StartWeight-B124)</f>
        <v/>
      </c>
      <c r="J124" s="10">
        <f>IF(OR(B124="",G124=""),"",I124-G124)</f>
        <v/>
      </c>
      <c r="K124" s="9">
        <f>IF(B124="","",IFERROR(AVERAGEIFS($B$2:$B$1001,$A$2:$A$1001,"&gt;="&amp;A124-6,$A$2:$A$1001,"&lt;="&amp;A124),""))</f>
        <v/>
      </c>
    </row>
    <row r="125">
      <c r="A125" s="7" t="n"/>
      <c r="B125" s="8" t="n"/>
      <c r="E125">
        <f>IF(C125="","",C125-Cfg_TDEE-IFERROR(D125,0))</f>
        <v/>
      </c>
      <c r="F125">
        <f>IF(E125="","",IFERROR(F124,0)+(-E125))</f>
        <v/>
      </c>
      <c r="G125" s="9">
        <f>IF(F125="","",F125/Cfg_FatConstant)</f>
        <v/>
      </c>
      <c r="H125" s="8">
        <f>IF(G125="","",Cfg_StartWeight-G125)</f>
        <v/>
      </c>
      <c r="I125" s="8">
        <f>IF(B125="","",Cfg_StartWeight-B125)</f>
        <v/>
      </c>
      <c r="J125" s="10">
        <f>IF(OR(B125="",G125=""),"",I125-G125)</f>
        <v/>
      </c>
      <c r="K125" s="9">
        <f>IF(B125="","",IFERROR(AVERAGEIFS($B$2:$B$1001,$A$2:$A$1001,"&gt;="&amp;A125-6,$A$2:$A$1001,"&lt;="&amp;A125),""))</f>
        <v/>
      </c>
    </row>
    <row r="126">
      <c r="A126" s="7" t="n"/>
      <c r="B126" s="8" t="n"/>
      <c r="E126">
        <f>IF(C126="","",C126-Cfg_TDEE-IFERROR(D126,0))</f>
        <v/>
      </c>
      <c r="F126">
        <f>IF(E126="","",IFERROR(F125,0)+(-E126))</f>
        <v/>
      </c>
      <c r="G126" s="9">
        <f>IF(F126="","",F126/Cfg_FatConstant)</f>
        <v/>
      </c>
      <c r="H126" s="8">
        <f>IF(G126="","",Cfg_StartWeight-G126)</f>
        <v/>
      </c>
      <c r="I126" s="8">
        <f>IF(B126="","",Cfg_StartWeight-B126)</f>
        <v/>
      </c>
      <c r="J126" s="10">
        <f>IF(OR(B126="",G126=""),"",I126-G126)</f>
        <v/>
      </c>
      <c r="K126" s="9">
        <f>IF(B126="","",IFERROR(AVERAGEIFS($B$2:$B$1001,$A$2:$A$1001,"&gt;="&amp;A126-6,$A$2:$A$1001,"&lt;="&amp;A126),""))</f>
        <v/>
      </c>
    </row>
    <row r="127">
      <c r="A127" s="7" t="n"/>
      <c r="B127" s="8" t="n"/>
      <c r="E127">
        <f>IF(C127="","",C127-Cfg_TDEE-IFERROR(D127,0))</f>
        <v/>
      </c>
      <c r="F127">
        <f>IF(E127="","",IFERROR(F126,0)+(-E127))</f>
        <v/>
      </c>
      <c r="G127" s="9">
        <f>IF(F127="","",F127/Cfg_FatConstant)</f>
        <v/>
      </c>
      <c r="H127" s="8">
        <f>IF(G127="","",Cfg_StartWeight-G127)</f>
        <v/>
      </c>
      <c r="I127" s="8">
        <f>IF(B127="","",Cfg_StartWeight-B127)</f>
        <v/>
      </c>
      <c r="J127" s="10">
        <f>IF(OR(B127="",G127=""),"",I127-G127)</f>
        <v/>
      </c>
      <c r="K127" s="9">
        <f>IF(B127="","",IFERROR(AVERAGEIFS($B$2:$B$1001,$A$2:$A$1001,"&gt;="&amp;A127-6,$A$2:$A$1001,"&lt;="&amp;A127),""))</f>
        <v/>
      </c>
    </row>
    <row r="128">
      <c r="A128" s="7" t="n"/>
      <c r="B128" s="8" t="n"/>
      <c r="E128">
        <f>IF(C128="","",C128-Cfg_TDEE-IFERROR(D128,0))</f>
        <v/>
      </c>
      <c r="F128">
        <f>IF(E128="","",IFERROR(F127,0)+(-E128))</f>
        <v/>
      </c>
      <c r="G128" s="9">
        <f>IF(F128="","",F128/Cfg_FatConstant)</f>
        <v/>
      </c>
      <c r="H128" s="8">
        <f>IF(G128="","",Cfg_StartWeight-G128)</f>
        <v/>
      </c>
      <c r="I128" s="8">
        <f>IF(B128="","",Cfg_StartWeight-B128)</f>
        <v/>
      </c>
      <c r="J128" s="10">
        <f>IF(OR(B128="",G128=""),"",I128-G128)</f>
        <v/>
      </c>
      <c r="K128" s="9">
        <f>IF(B128="","",IFERROR(AVERAGEIFS($B$2:$B$1001,$A$2:$A$1001,"&gt;="&amp;A128-6,$A$2:$A$1001,"&lt;="&amp;A128),""))</f>
        <v/>
      </c>
    </row>
    <row r="129">
      <c r="A129" s="7" t="n"/>
      <c r="B129" s="8" t="n"/>
      <c r="E129">
        <f>IF(C129="","",C129-Cfg_TDEE-IFERROR(D129,0))</f>
        <v/>
      </c>
      <c r="F129">
        <f>IF(E129="","",IFERROR(F128,0)+(-E129))</f>
        <v/>
      </c>
      <c r="G129" s="9">
        <f>IF(F129="","",F129/Cfg_FatConstant)</f>
        <v/>
      </c>
      <c r="H129" s="8">
        <f>IF(G129="","",Cfg_StartWeight-G129)</f>
        <v/>
      </c>
      <c r="I129" s="8">
        <f>IF(B129="","",Cfg_StartWeight-B129)</f>
        <v/>
      </c>
      <c r="J129" s="10">
        <f>IF(OR(B129="",G129=""),"",I129-G129)</f>
        <v/>
      </c>
      <c r="K129" s="9">
        <f>IF(B129="","",IFERROR(AVERAGEIFS($B$2:$B$1001,$A$2:$A$1001,"&gt;="&amp;A129-6,$A$2:$A$1001,"&lt;="&amp;A129),""))</f>
        <v/>
      </c>
    </row>
    <row r="130">
      <c r="A130" s="7" t="n"/>
      <c r="B130" s="8" t="n"/>
      <c r="E130">
        <f>IF(C130="","",C130-Cfg_TDEE-IFERROR(D130,0))</f>
        <v/>
      </c>
      <c r="F130">
        <f>IF(E130="","",IFERROR(F129,0)+(-E130))</f>
        <v/>
      </c>
      <c r="G130" s="9">
        <f>IF(F130="","",F130/Cfg_FatConstant)</f>
        <v/>
      </c>
      <c r="H130" s="8">
        <f>IF(G130="","",Cfg_StartWeight-G130)</f>
        <v/>
      </c>
      <c r="I130" s="8">
        <f>IF(B130="","",Cfg_StartWeight-B130)</f>
        <v/>
      </c>
      <c r="J130" s="10">
        <f>IF(OR(B130="",G130=""),"",I130-G130)</f>
        <v/>
      </c>
      <c r="K130" s="9">
        <f>IF(B130="","",IFERROR(AVERAGEIFS($B$2:$B$1001,$A$2:$A$1001,"&gt;="&amp;A130-6,$A$2:$A$1001,"&lt;="&amp;A130),""))</f>
        <v/>
      </c>
    </row>
    <row r="131">
      <c r="A131" s="7" t="n"/>
      <c r="B131" s="8" t="n"/>
      <c r="E131">
        <f>IF(C131="","",C131-Cfg_TDEE-IFERROR(D131,0))</f>
        <v/>
      </c>
      <c r="F131">
        <f>IF(E131="","",IFERROR(F130,0)+(-E131))</f>
        <v/>
      </c>
      <c r="G131" s="9">
        <f>IF(F131="","",F131/Cfg_FatConstant)</f>
        <v/>
      </c>
      <c r="H131" s="8">
        <f>IF(G131="","",Cfg_StartWeight-G131)</f>
        <v/>
      </c>
      <c r="I131" s="8">
        <f>IF(B131="","",Cfg_StartWeight-B131)</f>
        <v/>
      </c>
      <c r="J131" s="10">
        <f>IF(OR(B131="",G131=""),"",I131-G131)</f>
        <v/>
      </c>
      <c r="K131" s="9">
        <f>IF(B131="","",IFERROR(AVERAGEIFS($B$2:$B$1001,$A$2:$A$1001,"&gt;="&amp;A131-6,$A$2:$A$1001,"&lt;="&amp;A131),""))</f>
        <v/>
      </c>
    </row>
    <row r="132">
      <c r="A132" s="7" t="n"/>
      <c r="B132" s="8" t="n"/>
      <c r="E132">
        <f>IF(C132="","",C132-Cfg_TDEE-IFERROR(D132,0))</f>
        <v/>
      </c>
      <c r="F132">
        <f>IF(E132="","",IFERROR(F131,0)+(-E132))</f>
        <v/>
      </c>
      <c r="G132" s="9">
        <f>IF(F132="","",F132/Cfg_FatConstant)</f>
        <v/>
      </c>
      <c r="H132" s="8">
        <f>IF(G132="","",Cfg_StartWeight-G132)</f>
        <v/>
      </c>
      <c r="I132" s="8">
        <f>IF(B132="","",Cfg_StartWeight-B132)</f>
        <v/>
      </c>
      <c r="J132" s="10">
        <f>IF(OR(B132="",G132=""),"",I132-G132)</f>
        <v/>
      </c>
      <c r="K132" s="9">
        <f>IF(B132="","",IFERROR(AVERAGEIFS($B$2:$B$1001,$A$2:$A$1001,"&gt;="&amp;A132-6,$A$2:$A$1001,"&lt;="&amp;A132),""))</f>
        <v/>
      </c>
    </row>
    <row r="133">
      <c r="A133" s="7" t="n"/>
      <c r="B133" s="8" t="n"/>
      <c r="E133">
        <f>IF(C133="","",C133-Cfg_TDEE-IFERROR(D133,0))</f>
        <v/>
      </c>
      <c r="F133">
        <f>IF(E133="","",IFERROR(F132,0)+(-E133))</f>
        <v/>
      </c>
      <c r="G133" s="9">
        <f>IF(F133="","",F133/Cfg_FatConstant)</f>
        <v/>
      </c>
      <c r="H133" s="8">
        <f>IF(G133="","",Cfg_StartWeight-G133)</f>
        <v/>
      </c>
      <c r="I133" s="8">
        <f>IF(B133="","",Cfg_StartWeight-B133)</f>
        <v/>
      </c>
      <c r="J133" s="10">
        <f>IF(OR(B133="",G133=""),"",I133-G133)</f>
        <v/>
      </c>
      <c r="K133" s="9">
        <f>IF(B133="","",IFERROR(AVERAGEIFS($B$2:$B$1001,$A$2:$A$1001,"&gt;="&amp;A133-6,$A$2:$A$1001,"&lt;="&amp;A133),""))</f>
        <v/>
      </c>
    </row>
    <row r="134">
      <c r="A134" s="7" t="n"/>
      <c r="B134" s="8" t="n"/>
      <c r="E134">
        <f>IF(C134="","",C134-Cfg_TDEE-IFERROR(D134,0))</f>
        <v/>
      </c>
      <c r="F134">
        <f>IF(E134="","",IFERROR(F133,0)+(-E134))</f>
        <v/>
      </c>
      <c r="G134" s="9">
        <f>IF(F134="","",F134/Cfg_FatConstant)</f>
        <v/>
      </c>
      <c r="H134" s="8">
        <f>IF(G134="","",Cfg_StartWeight-G134)</f>
        <v/>
      </c>
      <c r="I134" s="8">
        <f>IF(B134="","",Cfg_StartWeight-B134)</f>
        <v/>
      </c>
      <c r="J134" s="10">
        <f>IF(OR(B134="",G134=""),"",I134-G134)</f>
        <v/>
      </c>
      <c r="K134" s="9">
        <f>IF(B134="","",IFERROR(AVERAGEIFS($B$2:$B$1001,$A$2:$A$1001,"&gt;="&amp;A134-6,$A$2:$A$1001,"&lt;="&amp;A134),""))</f>
        <v/>
      </c>
    </row>
    <row r="135">
      <c r="A135" s="7" t="n"/>
      <c r="B135" s="8" t="n"/>
      <c r="E135">
        <f>IF(C135="","",C135-Cfg_TDEE-IFERROR(D135,0))</f>
        <v/>
      </c>
      <c r="F135">
        <f>IF(E135="","",IFERROR(F134,0)+(-E135))</f>
        <v/>
      </c>
      <c r="G135" s="9">
        <f>IF(F135="","",F135/Cfg_FatConstant)</f>
        <v/>
      </c>
      <c r="H135" s="8">
        <f>IF(G135="","",Cfg_StartWeight-G135)</f>
        <v/>
      </c>
      <c r="I135" s="8">
        <f>IF(B135="","",Cfg_StartWeight-B135)</f>
        <v/>
      </c>
      <c r="J135" s="10">
        <f>IF(OR(B135="",G135=""),"",I135-G135)</f>
        <v/>
      </c>
      <c r="K135" s="9">
        <f>IF(B135="","",IFERROR(AVERAGEIFS($B$2:$B$1001,$A$2:$A$1001,"&gt;="&amp;A135-6,$A$2:$A$1001,"&lt;="&amp;A135),""))</f>
        <v/>
      </c>
    </row>
    <row r="136">
      <c r="A136" s="7" t="n"/>
      <c r="B136" s="8" t="n"/>
      <c r="E136">
        <f>IF(C136="","",C136-Cfg_TDEE-IFERROR(D136,0))</f>
        <v/>
      </c>
      <c r="F136">
        <f>IF(E136="","",IFERROR(F135,0)+(-E136))</f>
        <v/>
      </c>
      <c r="G136" s="9">
        <f>IF(F136="","",F136/Cfg_FatConstant)</f>
        <v/>
      </c>
      <c r="H136" s="8">
        <f>IF(G136="","",Cfg_StartWeight-G136)</f>
        <v/>
      </c>
      <c r="I136" s="8">
        <f>IF(B136="","",Cfg_StartWeight-B136)</f>
        <v/>
      </c>
      <c r="J136" s="10">
        <f>IF(OR(B136="",G136=""),"",I136-G136)</f>
        <v/>
      </c>
      <c r="K136" s="9">
        <f>IF(B136="","",IFERROR(AVERAGEIFS($B$2:$B$1001,$A$2:$A$1001,"&gt;="&amp;A136-6,$A$2:$A$1001,"&lt;="&amp;A136),""))</f>
        <v/>
      </c>
    </row>
    <row r="137">
      <c r="A137" s="7" t="n"/>
      <c r="B137" s="8" t="n"/>
      <c r="E137">
        <f>IF(C137="","",C137-Cfg_TDEE-IFERROR(D137,0))</f>
        <v/>
      </c>
      <c r="F137">
        <f>IF(E137="","",IFERROR(F136,0)+(-E137))</f>
        <v/>
      </c>
      <c r="G137" s="9">
        <f>IF(F137="","",F137/Cfg_FatConstant)</f>
        <v/>
      </c>
      <c r="H137" s="8">
        <f>IF(G137="","",Cfg_StartWeight-G137)</f>
        <v/>
      </c>
      <c r="I137" s="8">
        <f>IF(B137="","",Cfg_StartWeight-B137)</f>
        <v/>
      </c>
      <c r="J137" s="10">
        <f>IF(OR(B137="",G137=""),"",I137-G137)</f>
        <v/>
      </c>
      <c r="K137" s="9">
        <f>IF(B137="","",IFERROR(AVERAGEIFS($B$2:$B$1001,$A$2:$A$1001,"&gt;="&amp;A137-6,$A$2:$A$1001,"&lt;="&amp;A137),""))</f>
        <v/>
      </c>
    </row>
    <row r="138">
      <c r="A138" s="7" t="n"/>
      <c r="B138" s="8" t="n"/>
      <c r="E138">
        <f>IF(C138="","",C138-Cfg_TDEE-IFERROR(D138,0))</f>
        <v/>
      </c>
      <c r="F138">
        <f>IF(E138="","",IFERROR(F137,0)+(-E138))</f>
        <v/>
      </c>
      <c r="G138" s="9">
        <f>IF(F138="","",F138/Cfg_FatConstant)</f>
        <v/>
      </c>
      <c r="H138" s="8">
        <f>IF(G138="","",Cfg_StartWeight-G138)</f>
        <v/>
      </c>
      <c r="I138" s="8">
        <f>IF(B138="","",Cfg_StartWeight-B138)</f>
        <v/>
      </c>
      <c r="J138" s="10">
        <f>IF(OR(B138="",G138=""),"",I138-G138)</f>
        <v/>
      </c>
      <c r="K138" s="9">
        <f>IF(B138="","",IFERROR(AVERAGEIFS($B$2:$B$1001,$A$2:$A$1001,"&gt;="&amp;A138-6,$A$2:$A$1001,"&lt;="&amp;A138),""))</f>
        <v/>
      </c>
    </row>
    <row r="139">
      <c r="A139" s="7" t="n"/>
      <c r="B139" s="8" t="n"/>
      <c r="E139">
        <f>IF(C139="","",C139-Cfg_TDEE-IFERROR(D139,0))</f>
        <v/>
      </c>
      <c r="F139">
        <f>IF(E139="","",IFERROR(F138,0)+(-E139))</f>
        <v/>
      </c>
      <c r="G139" s="9">
        <f>IF(F139="","",F139/Cfg_FatConstant)</f>
        <v/>
      </c>
      <c r="H139" s="8">
        <f>IF(G139="","",Cfg_StartWeight-G139)</f>
        <v/>
      </c>
      <c r="I139" s="8">
        <f>IF(B139="","",Cfg_StartWeight-B139)</f>
        <v/>
      </c>
      <c r="J139" s="10">
        <f>IF(OR(B139="",G139=""),"",I139-G139)</f>
        <v/>
      </c>
      <c r="K139" s="9">
        <f>IF(B139="","",IFERROR(AVERAGEIFS($B$2:$B$1001,$A$2:$A$1001,"&gt;="&amp;A139-6,$A$2:$A$1001,"&lt;="&amp;A139),""))</f>
        <v/>
      </c>
    </row>
    <row r="140">
      <c r="A140" s="7" t="n"/>
      <c r="B140" s="8" t="n"/>
      <c r="E140">
        <f>IF(C140="","",C140-Cfg_TDEE-IFERROR(D140,0))</f>
        <v/>
      </c>
      <c r="F140">
        <f>IF(E140="","",IFERROR(F139,0)+(-E140))</f>
        <v/>
      </c>
      <c r="G140" s="9">
        <f>IF(F140="","",F140/Cfg_FatConstant)</f>
        <v/>
      </c>
      <c r="H140" s="8">
        <f>IF(G140="","",Cfg_StartWeight-G140)</f>
        <v/>
      </c>
      <c r="I140" s="8">
        <f>IF(B140="","",Cfg_StartWeight-B140)</f>
        <v/>
      </c>
      <c r="J140" s="10">
        <f>IF(OR(B140="",G140=""),"",I140-G140)</f>
        <v/>
      </c>
      <c r="K140" s="9">
        <f>IF(B140="","",IFERROR(AVERAGEIFS($B$2:$B$1001,$A$2:$A$1001,"&gt;="&amp;A140-6,$A$2:$A$1001,"&lt;="&amp;A140),""))</f>
        <v/>
      </c>
    </row>
    <row r="141">
      <c r="A141" s="7" t="n"/>
      <c r="B141" s="8" t="n"/>
      <c r="E141">
        <f>IF(C141="","",C141-Cfg_TDEE-IFERROR(D141,0))</f>
        <v/>
      </c>
      <c r="F141">
        <f>IF(E141="","",IFERROR(F140,0)+(-E141))</f>
        <v/>
      </c>
      <c r="G141" s="9">
        <f>IF(F141="","",F141/Cfg_FatConstant)</f>
        <v/>
      </c>
      <c r="H141" s="8">
        <f>IF(G141="","",Cfg_StartWeight-G141)</f>
        <v/>
      </c>
      <c r="I141" s="8">
        <f>IF(B141="","",Cfg_StartWeight-B141)</f>
        <v/>
      </c>
      <c r="J141" s="10">
        <f>IF(OR(B141="",G141=""),"",I141-G141)</f>
        <v/>
      </c>
      <c r="K141" s="9">
        <f>IF(B141="","",IFERROR(AVERAGEIFS($B$2:$B$1001,$A$2:$A$1001,"&gt;="&amp;A141-6,$A$2:$A$1001,"&lt;="&amp;A141),""))</f>
        <v/>
      </c>
    </row>
    <row r="142">
      <c r="A142" s="7" t="n"/>
      <c r="B142" s="8" t="n"/>
      <c r="E142">
        <f>IF(C142="","",C142-Cfg_TDEE-IFERROR(D142,0))</f>
        <v/>
      </c>
      <c r="F142">
        <f>IF(E142="","",IFERROR(F141,0)+(-E142))</f>
        <v/>
      </c>
      <c r="G142" s="9">
        <f>IF(F142="","",F142/Cfg_FatConstant)</f>
        <v/>
      </c>
      <c r="H142" s="8">
        <f>IF(G142="","",Cfg_StartWeight-G142)</f>
        <v/>
      </c>
      <c r="I142" s="8">
        <f>IF(B142="","",Cfg_StartWeight-B142)</f>
        <v/>
      </c>
      <c r="J142" s="10">
        <f>IF(OR(B142="",G142=""),"",I142-G142)</f>
        <v/>
      </c>
      <c r="K142" s="9">
        <f>IF(B142="","",IFERROR(AVERAGEIFS($B$2:$B$1001,$A$2:$A$1001,"&gt;="&amp;A142-6,$A$2:$A$1001,"&lt;="&amp;A142),""))</f>
        <v/>
      </c>
    </row>
    <row r="143">
      <c r="A143" s="7" t="n"/>
      <c r="B143" s="8" t="n"/>
      <c r="E143">
        <f>IF(C143="","",C143-Cfg_TDEE-IFERROR(D143,0))</f>
        <v/>
      </c>
      <c r="F143">
        <f>IF(E143="","",IFERROR(F142,0)+(-E143))</f>
        <v/>
      </c>
      <c r="G143" s="9">
        <f>IF(F143="","",F143/Cfg_FatConstant)</f>
        <v/>
      </c>
      <c r="H143" s="8">
        <f>IF(G143="","",Cfg_StartWeight-G143)</f>
        <v/>
      </c>
      <c r="I143" s="8">
        <f>IF(B143="","",Cfg_StartWeight-B143)</f>
        <v/>
      </c>
      <c r="J143" s="10">
        <f>IF(OR(B143="",G143=""),"",I143-G143)</f>
        <v/>
      </c>
      <c r="K143" s="9">
        <f>IF(B143="","",IFERROR(AVERAGEIFS($B$2:$B$1001,$A$2:$A$1001,"&gt;="&amp;A143-6,$A$2:$A$1001,"&lt;="&amp;A143),""))</f>
        <v/>
      </c>
    </row>
    <row r="144">
      <c r="A144" s="7" t="n"/>
      <c r="B144" s="8" t="n"/>
      <c r="E144">
        <f>IF(C144="","",C144-Cfg_TDEE-IFERROR(D144,0))</f>
        <v/>
      </c>
      <c r="F144">
        <f>IF(E144="","",IFERROR(F143,0)+(-E144))</f>
        <v/>
      </c>
      <c r="G144" s="9">
        <f>IF(F144="","",F144/Cfg_FatConstant)</f>
        <v/>
      </c>
      <c r="H144" s="8">
        <f>IF(G144="","",Cfg_StartWeight-G144)</f>
        <v/>
      </c>
      <c r="I144" s="8">
        <f>IF(B144="","",Cfg_StartWeight-B144)</f>
        <v/>
      </c>
      <c r="J144" s="10">
        <f>IF(OR(B144="",G144=""),"",I144-G144)</f>
        <v/>
      </c>
      <c r="K144" s="9">
        <f>IF(B144="","",IFERROR(AVERAGEIFS($B$2:$B$1001,$A$2:$A$1001,"&gt;="&amp;A144-6,$A$2:$A$1001,"&lt;="&amp;A144),""))</f>
        <v/>
      </c>
    </row>
    <row r="145">
      <c r="A145" s="7" t="n"/>
      <c r="B145" s="8" t="n"/>
      <c r="E145">
        <f>IF(C145="","",C145-Cfg_TDEE-IFERROR(D145,0))</f>
        <v/>
      </c>
      <c r="F145">
        <f>IF(E145="","",IFERROR(F144,0)+(-E145))</f>
        <v/>
      </c>
      <c r="G145" s="9">
        <f>IF(F145="","",F145/Cfg_FatConstant)</f>
        <v/>
      </c>
      <c r="H145" s="8">
        <f>IF(G145="","",Cfg_StartWeight-G145)</f>
        <v/>
      </c>
      <c r="I145" s="8">
        <f>IF(B145="","",Cfg_StartWeight-B145)</f>
        <v/>
      </c>
      <c r="J145" s="10">
        <f>IF(OR(B145="",G145=""),"",I145-G145)</f>
        <v/>
      </c>
      <c r="K145" s="9">
        <f>IF(B145="","",IFERROR(AVERAGEIFS($B$2:$B$1001,$A$2:$A$1001,"&gt;="&amp;A145-6,$A$2:$A$1001,"&lt;="&amp;A145),""))</f>
        <v/>
      </c>
    </row>
    <row r="146">
      <c r="A146" s="7" t="n"/>
      <c r="B146" s="8" t="n"/>
      <c r="E146">
        <f>IF(C146="","",C146-Cfg_TDEE-IFERROR(D146,0))</f>
        <v/>
      </c>
      <c r="F146">
        <f>IF(E146="","",IFERROR(F145,0)+(-E146))</f>
        <v/>
      </c>
      <c r="G146" s="9">
        <f>IF(F146="","",F146/Cfg_FatConstant)</f>
        <v/>
      </c>
      <c r="H146" s="8">
        <f>IF(G146="","",Cfg_StartWeight-G146)</f>
        <v/>
      </c>
      <c r="I146" s="8">
        <f>IF(B146="","",Cfg_StartWeight-B146)</f>
        <v/>
      </c>
      <c r="J146" s="10">
        <f>IF(OR(B146="",G146=""),"",I146-G146)</f>
        <v/>
      </c>
      <c r="K146" s="9">
        <f>IF(B146="","",IFERROR(AVERAGEIFS($B$2:$B$1001,$A$2:$A$1001,"&gt;="&amp;A146-6,$A$2:$A$1001,"&lt;="&amp;A146),""))</f>
        <v/>
      </c>
    </row>
    <row r="147">
      <c r="A147" s="7" t="n"/>
      <c r="B147" s="8" t="n"/>
      <c r="E147">
        <f>IF(C147="","",C147-Cfg_TDEE-IFERROR(D147,0))</f>
        <v/>
      </c>
      <c r="F147">
        <f>IF(E147="","",IFERROR(F146,0)+(-E147))</f>
        <v/>
      </c>
      <c r="G147" s="9">
        <f>IF(F147="","",F147/Cfg_FatConstant)</f>
        <v/>
      </c>
      <c r="H147" s="8">
        <f>IF(G147="","",Cfg_StartWeight-G147)</f>
        <v/>
      </c>
      <c r="I147" s="8">
        <f>IF(B147="","",Cfg_StartWeight-B147)</f>
        <v/>
      </c>
      <c r="J147" s="10">
        <f>IF(OR(B147="",G147=""),"",I147-G147)</f>
        <v/>
      </c>
      <c r="K147" s="9">
        <f>IF(B147="","",IFERROR(AVERAGEIFS($B$2:$B$1001,$A$2:$A$1001,"&gt;="&amp;A147-6,$A$2:$A$1001,"&lt;="&amp;A147),""))</f>
        <v/>
      </c>
    </row>
    <row r="148">
      <c r="A148" s="7" t="n"/>
      <c r="B148" s="8" t="n"/>
      <c r="E148">
        <f>IF(C148="","",C148-Cfg_TDEE-IFERROR(D148,0))</f>
        <v/>
      </c>
      <c r="F148">
        <f>IF(E148="","",IFERROR(F147,0)+(-E148))</f>
        <v/>
      </c>
      <c r="G148" s="9">
        <f>IF(F148="","",F148/Cfg_FatConstant)</f>
        <v/>
      </c>
      <c r="H148" s="8">
        <f>IF(G148="","",Cfg_StartWeight-G148)</f>
        <v/>
      </c>
      <c r="I148" s="8">
        <f>IF(B148="","",Cfg_StartWeight-B148)</f>
        <v/>
      </c>
      <c r="J148" s="10">
        <f>IF(OR(B148="",G148=""),"",I148-G148)</f>
        <v/>
      </c>
      <c r="K148" s="9">
        <f>IF(B148="","",IFERROR(AVERAGEIFS($B$2:$B$1001,$A$2:$A$1001,"&gt;="&amp;A148-6,$A$2:$A$1001,"&lt;="&amp;A148),""))</f>
        <v/>
      </c>
    </row>
    <row r="149">
      <c r="A149" s="7" t="n"/>
      <c r="B149" s="8" t="n"/>
      <c r="E149">
        <f>IF(C149="","",C149-Cfg_TDEE-IFERROR(D149,0))</f>
        <v/>
      </c>
      <c r="F149">
        <f>IF(E149="","",IFERROR(F148,0)+(-E149))</f>
        <v/>
      </c>
      <c r="G149" s="9">
        <f>IF(F149="","",F149/Cfg_FatConstant)</f>
        <v/>
      </c>
      <c r="H149" s="8">
        <f>IF(G149="","",Cfg_StartWeight-G149)</f>
        <v/>
      </c>
      <c r="I149" s="8">
        <f>IF(B149="","",Cfg_StartWeight-B149)</f>
        <v/>
      </c>
      <c r="J149" s="10">
        <f>IF(OR(B149="",G149=""),"",I149-G149)</f>
        <v/>
      </c>
      <c r="K149" s="9">
        <f>IF(B149="","",IFERROR(AVERAGEIFS($B$2:$B$1001,$A$2:$A$1001,"&gt;="&amp;A149-6,$A$2:$A$1001,"&lt;="&amp;A149),""))</f>
        <v/>
      </c>
    </row>
    <row r="150">
      <c r="A150" s="7" t="n"/>
      <c r="B150" s="8" t="n"/>
      <c r="E150">
        <f>IF(C150="","",C150-Cfg_TDEE-IFERROR(D150,0))</f>
        <v/>
      </c>
      <c r="F150">
        <f>IF(E150="","",IFERROR(F149,0)+(-E150))</f>
        <v/>
      </c>
      <c r="G150" s="9">
        <f>IF(F150="","",F150/Cfg_FatConstant)</f>
        <v/>
      </c>
      <c r="H150" s="8">
        <f>IF(G150="","",Cfg_StartWeight-G150)</f>
        <v/>
      </c>
      <c r="I150" s="8">
        <f>IF(B150="","",Cfg_StartWeight-B150)</f>
        <v/>
      </c>
      <c r="J150" s="10">
        <f>IF(OR(B150="",G150=""),"",I150-G150)</f>
        <v/>
      </c>
      <c r="K150" s="9">
        <f>IF(B150="","",IFERROR(AVERAGEIFS($B$2:$B$1001,$A$2:$A$1001,"&gt;="&amp;A150-6,$A$2:$A$1001,"&lt;="&amp;A150),""))</f>
        <v/>
      </c>
    </row>
    <row r="151">
      <c r="A151" s="7" t="n"/>
      <c r="B151" s="8" t="n"/>
      <c r="E151">
        <f>IF(C151="","",C151-Cfg_TDEE-IFERROR(D151,0))</f>
        <v/>
      </c>
      <c r="F151">
        <f>IF(E151="","",IFERROR(F150,0)+(-E151))</f>
        <v/>
      </c>
      <c r="G151" s="9">
        <f>IF(F151="","",F151/Cfg_FatConstant)</f>
        <v/>
      </c>
      <c r="H151" s="8">
        <f>IF(G151="","",Cfg_StartWeight-G151)</f>
        <v/>
      </c>
      <c r="I151" s="8">
        <f>IF(B151="","",Cfg_StartWeight-B151)</f>
        <v/>
      </c>
      <c r="J151" s="10">
        <f>IF(OR(B151="",G151=""),"",I151-G151)</f>
        <v/>
      </c>
      <c r="K151" s="9">
        <f>IF(B151="","",IFERROR(AVERAGEIFS($B$2:$B$1001,$A$2:$A$1001,"&gt;="&amp;A151-6,$A$2:$A$1001,"&lt;="&amp;A151),""))</f>
        <v/>
      </c>
    </row>
    <row r="152">
      <c r="A152" s="7" t="n"/>
      <c r="B152" s="8" t="n"/>
      <c r="E152">
        <f>IF(C152="","",C152-Cfg_TDEE-IFERROR(D152,0))</f>
        <v/>
      </c>
      <c r="F152">
        <f>IF(E152="","",IFERROR(F151,0)+(-E152))</f>
        <v/>
      </c>
      <c r="G152" s="9">
        <f>IF(F152="","",F152/Cfg_FatConstant)</f>
        <v/>
      </c>
      <c r="H152" s="8">
        <f>IF(G152="","",Cfg_StartWeight-G152)</f>
        <v/>
      </c>
      <c r="I152" s="8">
        <f>IF(B152="","",Cfg_StartWeight-B152)</f>
        <v/>
      </c>
      <c r="J152" s="10">
        <f>IF(OR(B152="",G152=""),"",I152-G152)</f>
        <v/>
      </c>
      <c r="K152" s="9">
        <f>IF(B152="","",IFERROR(AVERAGEIFS($B$2:$B$1001,$A$2:$A$1001,"&gt;="&amp;A152-6,$A$2:$A$1001,"&lt;="&amp;A152),""))</f>
        <v/>
      </c>
    </row>
    <row r="153">
      <c r="A153" s="7" t="n"/>
      <c r="B153" s="8" t="n"/>
      <c r="E153">
        <f>IF(C153="","",C153-Cfg_TDEE-IFERROR(D153,0))</f>
        <v/>
      </c>
      <c r="F153">
        <f>IF(E153="","",IFERROR(F152,0)+(-E153))</f>
        <v/>
      </c>
      <c r="G153" s="9">
        <f>IF(F153="","",F153/Cfg_FatConstant)</f>
        <v/>
      </c>
      <c r="H153" s="8">
        <f>IF(G153="","",Cfg_StartWeight-G153)</f>
        <v/>
      </c>
      <c r="I153" s="8">
        <f>IF(B153="","",Cfg_StartWeight-B153)</f>
        <v/>
      </c>
      <c r="J153" s="10">
        <f>IF(OR(B153="",G153=""),"",I153-G153)</f>
        <v/>
      </c>
      <c r="K153" s="9">
        <f>IF(B153="","",IFERROR(AVERAGEIFS($B$2:$B$1001,$A$2:$A$1001,"&gt;="&amp;A153-6,$A$2:$A$1001,"&lt;="&amp;A153),""))</f>
        <v/>
      </c>
    </row>
    <row r="154">
      <c r="A154" s="7" t="n"/>
      <c r="B154" s="8" t="n"/>
      <c r="E154">
        <f>IF(C154="","",C154-Cfg_TDEE-IFERROR(D154,0))</f>
        <v/>
      </c>
      <c r="F154">
        <f>IF(E154="","",IFERROR(F153,0)+(-E154))</f>
        <v/>
      </c>
      <c r="G154" s="9">
        <f>IF(F154="","",F154/Cfg_FatConstant)</f>
        <v/>
      </c>
      <c r="H154" s="8">
        <f>IF(G154="","",Cfg_StartWeight-G154)</f>
        <v/>
      </c>
      <c r="I154" s="8">
        <f>IF(B154="","",Cfg_StartWeight-B154)</f>
        <v/>
      </c>
      <c r="J154" s="10">
        <f>IF(OR(B154="",G154=""),"",I154-G154)</f>
        <v/>
      </c>
      <c r="K154" s="9">
        <f>IF(B154="","",IFERROR(AVERAGEIFS($B$2:$B$1001,$A$2:$A$1001,"&gt;="&amp;A154-6,$A$2:$A$1001,"&lt;="&amp;A154),""))</f>
        <v/>
      </c>
    </row>
    <row r="155">
      <c r="A155" s="7" t="n"/>
      <c r="B155" s="8" t="n"/>
      <c r="E155">
        <f>IF(C155="","",C155-Cfg_TDEE-IFERROR(D155,0))</f>
        <v/>
      </c>
      <c r="F155">
        <f>IF(E155="","",IFERROR(F154,0)+(-E155))</f>
        <v/>
      </c>
      <c r="G155" s="9">
        <f>IF(F155="","",F155/Cfg_FatConstant)</f>
        <v/>
      </c>
      <c r="H155" s="8">
        <f>IF(G155="","",Cfg_StartWeight-G155)</f>
        <v/>
      </c>
      <c r="I155" s="8">
        <f>IF(B155="","",Cfg_StartWeight-B155)</f>
        <v/>
      </c>
      <c r="J155" s="10">
        <f>IF(OR(B155="",G155=""),"",I155-G155)</f>
        <v/>
      </c>
      <c r="K155" s="9">
        <f>IF(B155="","",IFERROR(AVERAGEIFS($B$2:$B$1001,$A$2:$A$1001,"&gt;="&amp;A155-6,$A$2:$A$1001,"&lt;="&amp;A155),""))</f>
        <v/>
      </c>
    </row>
    <row r="156">
      <c r="A156" s="7" t="n"/>
      <c r="B156" s="8" t="n"/>
      <c r="E156">
        <f>IF(C156="","",C156-Cfg_TDEE-IFERROR(D156,0))</f>
        <v/>
      </c>
      <c r="F156">
        <f>IF(E156="","",IFERROR(F155,0)+(-E156))</f>
        <v/>
      </c>
      <c r="G156" s="9">
        <f>IF(F156="","",F156/Cfg_FatConstant)</f>
        <v/>
      </c>
      <c r="H156" s="8">
        <f>IF(G156="","",Cfg_StartWeight-G156)</f>
        <v/>
      </c>
      <c r="I156" s="8">
        <f>IF(B156="","",Cfg_StartWeight-B156)</f>
        <v/>
      </c>
      <c r="J156" s="10">
        <f>IF(OR(B156="",G156=""),"",I156-G156)</f>
        <v/>
      </c>
      <c r="K156" s="9">
        <f>IF(B156="","",IFERROR(AVERAGEIFS($B$2:$B$1001,$A$2:$A$1001,"&gt;="&amp;A156-6,$A$2:$A$1001,"&lt;="&amp;A156),""))</f>
        <v/>
      </c>
    </row>
    <row r="157">
      <c r="A157" s="7" t="n"/>
      <c r="B157" s="8" t="n"/>
      <c r="E157">
        <f>IF(C157="","",C157-Cfg_TDEE-IFERROR(D157,0))</f>
        <v/>
      </c>
      <c r="F157">
        <f>IF(E157="","",IFERROR(F156,0)+(-E157))</f>
        <v/>
      </c>
      <c r="G157" s="9">
        <f>IF(F157="","",F157/Cfg_FatConstant)</f>
        <v/>
      </c>
      <c r="H157" s="8">
        <f>IF(G157="","",Cfg_StartWeight-G157)</f>
        <v/>
      </c>
      <c r="I157" s="8">
        <f>IF(B157="","",Cfg_StartWeight-B157)</f>
        <v/>
      </c>
      <c r="J157" s="10">
        <f>IF(OR(B157="",G157=""),"",I157-G157)</f>
        <v/>
      </c>
      <c r="K157" s="9">
        <f>IF(B157="","",IFERROR(AVERAGEIFS($B$2:$B$1001,$A$2:$A$1001,"&gt;="&amp;A157-6,$A$2:$A$1001,"&lt;="&amp;A157),""))</f>
        <v/>
      </c>
    </row>
    <row r="158">
      <c r="A158" s="7" t="n"/>
      <c r="B158" s="8" t="n"/>
      <c r="E158">
        <f>IF(C158="","",C158-Cfg_TDEE-IFERROR(D158,0))</f>
        <v/>
      </c>
      <c r="F158">
        <f>IF(E158="","",IFERROR(F157,0)+(-E158))</f>
        <v/>
      </c>
      <c r="G158" s="9">
        <f>IF(F158="","",F158/Cfg_FatConstant)</f>
        <v/>
      </c>
      <c r="H158" s="8">
        <f>IF(G158="","",Cfg_StartWeight-G158)</f>
        <v/>
      </c>
      <c r="I158" s="8">
        <f>IF(B158="","",Cfg_StartWeight-B158)</f>
        <v/>
      </c>
      <c r="J158" s="10">
        <f>IF(OR(B158="",G158=""),"",I158-G158)</f>
        <v/>
      </c>
      <c r="K158" s="9">
        <f>IF(B158="","",IFERROR(AVERAGEIFS($B$2:$B$1001,$A$2:$A$1001,"&gt;="&amp;A158-6,$A$2:$A$1001,"&lt;="&amp;A158),""))</f>
        <v/>
      </c>
    </row>
    <row r="159">
      <c r="A159" s="7" t="n"/>
      <c r="B159" s="8" t="n"/>
      <c r="E159">
        <f>IF(C159="","",C159-Cfg_TDEE-IFERROR(D159,0))</f>
        <v/>
      </c>
      <c r="F159">
        <f>IF(E159="","",IFERROR(F158,0)+(-E159))</f>
        <v/>
      </c>
      <c r="G159" s="9">
        <f>IF(F159="","",F159/Cfg_FatConstant)</f>
        <v/>
      </c>
      <c r="H159" s="8">
        <f>IF(G159="","",Cfg_StartWeight-G159)</f>
        <v/>
      </c>
      <c r="I159" s="8">
        <f>IF(B159="","",Cfg_StartWeight-B159)</f>
        <v/>
      </c>
      <c r="J159" s="10">
        <f>IF(OR(B159="",G159=""),"",I159-G159)</f>
        <v/>
      </c>
      <c r="K159" s="9">
        <f>IF(B159="","",IFERROR(AVERAGEIFS($B$2:$B$1001,$A$2:$A$1001,"&gt;="&amp;A159-6,$A$2:$A$1001,"&lt;="&amp;A159),""))</f>
        <v/>
      </c>
    </row>
    <row r="160">
      <c r="A160" s="7" t="n"/>
      <c r="B160" s="8" t="n"/>
      <c r="E160">
        <f>IF(C160="","",C160-Cfg_TDEE-IFERROR(D160,0))</f>
        <v/>
      </c>
      <c r="F160">
        <f>IF(E160="","",IFERROR(F159,0)+(-E160))</f>
        <v/>
      </c>
      <c r="G160" s="9">
        <f>IF(F160="","",F160/Cfg_FatConstant)</f>
        <v/>
      </c>
      <c r="H160" s="8">
        <f>IF(G160="","",Cfg_StartWeight-G160)</f>
        <v/>
      </c>
      <c r="I160" s="8">
        <f>IF(B160="","",Cfg_StartWeight-B160)</f>
        <v/>
      </c>
      <c r="J160" s="10">
        <f>IF(OR(B160="",G160=""),"",I160-G160)</f>
        <v/>
      </c>
      <c r="K160" s="9">
        <f>IF(B160="","",IFERROR(AVERAGEIFS($B$2:$B$1001,$A$2:$A$1001,"&gt;="&amp;A160-6,$A$2:$A$1001,"&lt;="&amp;A160),""))</f>
        <v/>
      </c>
    </row>
    <row r="161">
      <c r="A161" s="7" t="n"/>
      <c r="B161" s="8" t="n"/>
      <c r="E161">
        <f>IF(C161="","",C161-Cfg_TDEE-IFERROR(D161,0))</f>
        <v/>
      </c>
      <c r="F161">
        <f>IF(E161="","",IFERROR(F160,0)+(-E161))</f>
        <v/>
      </c>
      <c r="G161" s="9">
        <f>IF(F161="","",F161/Cfg_FatConstant)</f>
        <v/>
      </c>
      <c r="H161" s="8">
        <f>IF(G161="","",Cfg_StartWeight-G161)</f>
        <v/>
      </c>
      <c r="I161" s="8">
        <f>IF(B161="","",Cfg_StartWeight-B161)</f>
        <v/>
      </c>
      <c r="J161" s="10">
        <f>IF(OR(B161="",G161=""),"",I161-G161)</f>
        <v/>
      </c>
      <c r="K161" s="9">
        <f>IF(B161="","",IFERROR(AVERAGEIFS($B$2:$B$1001,$A$2:$A$1001,"&gt;="&amp;A161-6,$A$2:$A$1001,"&lt;="&amp;A161),""))</f>
        <v/>
      </c>
    </row>
    <row r="162">
      <c r="A162" s="7" t="n"/>
      <c r="B162" s="8" t="n"/>
      <c r="E162">
        <f>IF(C162="","",C162-Cfg_TDEE-IFERROR(D162,0))</f>
        <v/>
      </c>
      <c r="F162">
        <f>IF(E162="","",IFERROR(F161,0)+(-E162))</f>
        <v/>
      </c>
      <c r="G162" s="9">
        <f>IF(F162="","",F162/Cfg_FatConstant)</f>
        <v/>
      </c>
      <c r="H162" s="8">
        <f>IF(G162="","",Cfg_StartWeight-G162)</f>
        <v/>
      </c>
      <c r="I162" s="8">
        <f>IF(B162="","",Cfg_StartWeight-B162)</f>
        <v/>
      </c>
      <c r="J162" s="10">
        <f>IF(OR(B162="",G162=""),"",I162-G162)</f>
        <v/>
      </c>
      <c r="K162" s="9">
        <f>IF(B162="","",IFERROR(AVERAGEIFS($B$2:$B$1001,$A$2:$A$1001,"&gt;="&amp;A162-6,$A$2:$A$1001,"&lt;="&amp;A162),""))</f>
        <v/>
      </c>
    </row>
    <row r="163">
      <c r="A163" s="7" t="n"/>
      <c r="B163" s="8" t="n"/>
      <c r="E163">
        <f>IF(C163="","",C163-Cfg_TDEE-IFERROR(D163,0))</f>
        <v/>
      </c>
      <c r="F163">
        <f>IF(E163="","",IFERROR(F162,0)+(-E163))</f>
        <v/>
      </c>
      <c r="G163" s="9">
        <f>IF(F163="","",F163/Cfg_FatConstant)</f>
        <v/>
      </c>
      <c r="H163" s="8">
        <f>IF(G163="","",Cfg_StartWeight-G163)</f>
        <v/>
      </c>
      <c r="I163" s="8">
        <f>IF(B163="","",Cfg_StartWeight-B163)</f>
        <v/>
      </c>
      <c r="J163" s="10">
        <f>IF(OR(B163="",G163=""),"",I163-G163)</f>
        <v/>
      </c>
      <c r="K163" s="9">
        <f>IF(B163="","",IFERROR(AVERAGEIFS($B$2:$B$1001,$A$2:$A$1001,"&gt;="&amp;A163-6,$A$2:$A$1001,"&lt;="&amp;A163),""))</f>
        <v/>
      </c>
    </row>
    <row r="164">
      <c r="A164" s="7" t="n"/>
      <c r="B164" s="8" t="n"/>
      <c r="E164">
        <f>IF(C164="","",C164-Cfg_TDEE-IFERROR(D164,0))</f>
        <v/>
      </c>
      <c r="F164">
        <f>IF(E164="","",IFERROR(F163,0)+(-E164))</f>
        <v/>
      </c>
      <c r="G164" s="9">
        <f>IF(F164="","",F164/Cfg_FatConstant)</f>
        <v/>
      </c>
      <c r="H164" s="8">
        <f>IF(G164="","",Cfg_StartWeight-G164)</f>
        <v/>
      </c>
      <c r="I164" s="8">
        <f>IF(B164="","",Cfg_StartWeight-B164)</f>
        <v/>
      </c>
      <c r="J164" s="10">
        <f>IF(OR(B164="",G164=""),"",I164-G164)</f>
        <v/>
      </c>
      <c r="K164" s="9">
        <f>IF(B164="","",IFERROR(AVERAGEIFS($B$2:$B$1001,$A$2:$A$1001,"&gt;="&amp;A164-6,$A$2:$A$1001,"&lt;="&amp;A164),""))</f>
        <v/>
      </c>
    </row>
    <row r="165">
      <c r="A165" s="7" t="n"/>
      <c r="B165" s="8" t="n"/>
      <c r="E165">
        <f>IF(C165="","",C165-Cfg_TDEE-IFERROR(D165,0))</f>
        <v/>
      </c>
      <c r="F165">
        <f>IF(E165="","",IFERROR(F164,0)+(-E165))</f>
        <v/>
      </c>
      <c r="G165" s="9">
        <f>IF(F165="","",F165/Cfg_FatConstant)</f>
        <v/>
      </c>
      <c r="H165" s="8">
        <f>IF(G165="","",Cfg_StartWeight-G165)</f>
        <v/>
      </c>
      <c r="I165" s="8">
        <f>IF(B165="","",Cfg_StartWeight-B165)</f>
        <v/>
      </c>
      <c r="J165" s="10">
        <f>IF(OR(B165="",G165=""),"",I165-G165)</f>
        <v/>
      </c>
      <c r="K165" s="9">
        <f>IF(B165="","",IFERROR(AVERAGEIFS($B$2:$B$1001,$A$2:$A$1001,"&gt;="&amp;A165-6,$A$2:$A$1001,"&lt;="&amp;A165),""))</f>
        <v/>
      </c>
    </row>
    <row r="166">
      <c r="A166" s="7" t="n"/>
      <c r="B166" s="8" t="n"/>
      <c r="E166">
        <f>IF(C166="","",C166-Cfg_TDEE-IFERROR(D166,0))</f>
        <v/>
      </c>
      <c r="F166">
        <f>IF(E166="","",IFERROR(F165,0)+(-E166))</f>
        <v/>
      </c>
      <c r="G166" s="9">
        <f>IF(F166="","",F166/Cfg_FatConstant)</f>
        <v/>
      </c>
      <c r="H166" s="8">
        <f>IF(G166="","",Cfg_StartWeight-G166)</f>
        <v/>
      </c>
      <c r="I166" s="8">
        <f>IF(B166="","",Cfg_StartWeight-B166)</f>
        <v/>
      </c>
      <c r="J166" s="10">
        <f>IF(OR(B166="",G166=""),"",I166-G166)</f>
        <v/>
      </c>
      <c r="K166" s="9">
        <f>IF(B166="","",IFERROR(AVERAGEIFS($B$2:$B$1001,$A$2:$A$1001,"&gt;="&amp;A166-6,$A$2:$A$1001,"&lt;="&amp;A166),""))</f>
        <v/>
      </c>
    </row>
    <row r="167">
      <c r="A167" s="7" t="n"/>
      <c r="B167" s="8" t="n"/>
      <c r="E167">
        <f>IF(C167="","",C167-Cfg_TDEE-IFERROR(D167,0))</f>
        <v/>
      </c>
      <c r="F167">
        <f>IF(E167="","",IFERROR(F166,0)+(-E167))</f>
        <v/>
      </c>
      <c r="G167" s="9">
        <f>IF(F167="","",F167/Cfg_FatConstant)</f>
        <v/>
      </c>
      <c r="H167" s="8">
        <f>IF(G167="","",Cfg_StartWeight-G167)</f>
        <v/>
      </c>
      <c r="I167" s="8">
        <f>IF(B167="","",Cfg_StartWeight-B167)</f>
        <v/>
      </c>
      <c r="J167" s="10">
        <f>IF(OR(B167="",G167=""),"",I167-G167)</f>
        <v/>
      </c>
      <c r="K167" s="9">
        <f>IF(B167="","",IFERROR(AVERAGEIFS($B$2:$B$1001,$A$2:$A$1001,"&gt;="&amp;A167-6,$A$2:$A$1001,"&lt;="&amp;A167),""))</f>
        <v/>
      </c>
    </row>
    <row r="168">
      <c r="A168" s="7" t="n"/>
      <c r="B168" s="8" t="n"/>
      <c r="E168">
        <f>IF(C168="","",C168-Cfg_TDEE-IFERROR(D168,0))</f>
        <v/>
      </c>
      <c r="F168">
        <f>IF(E168="","",IFERROR(F167,0)+(-E168))</f>
        <v/>
      </c>
      <c r="G168" s="9">
        <f>IF(F168="","",F168/Cfg_FatConstant)</f>
        <v/>
      </c>
      <c r="H168" s="8">
        <f>IF(G168="","",Cfg_StartWeight-G168)</f>
        <v/>
      </c>
      <c r="I168" s="8">
        <f>IF(B168="","",Cfg_StartWeight-B168)</f>
        <v/>
      </c>
      <c r="J168" s="10">
        <f>IF(OR(B168="",G168=""),"",I168-G168)</f>
        <v/>
      </c>
      <c r="K168" s="9">
        <f>IF(B168="","",IFERROR(AVERAGEIFS($B$2:$B$1001,$A$2:$A$1001,"&gt;="&amp;A168-6,$A$2:$A$1001,"&lt;="&amp;A168),""))</f>
        <v/>
      </c>
    </row>
    <row r="169">
      <c r="A169" s="7" t="n"/>
      <c r="B169" s="8" t="n"/>
      <c r="E169">
        <f>IF(C169="","",C169-Cfg_TDEE-IFERROR(D169,0))</f>
        <v/>
      </c>
      <c r="F169">
        <f>IF(E169="","",IFERROR(F168,0)+(-E169))</f>
        <v/>
      </c>
      <c r="G169" s="9">
        <f>IF(F169="","",F169/Cfg_FatConstant)</f>
        <v/>
      </c>
      <c r="H169" s="8">
        <f>IF(G169="","",Cfg_StartWeight-G169)</f>
        <v/>
      </c>
      <c r="I169" s="8">
        <f>IF(B169="","",Cfg_StartWeight-B169)</f>
        <v/>
      </c>
      <c r="J169" s="10">
        <f>IF(OR(B169="",G169=""),"",I169-G169)</f>
        <v/>
      </c>
      <c r="K169" s="9">
        <f>IF(B169="","",IFERROR(AVERAGEIFS($B$2:$B$1001,$A$2:$A$1001,"&gt;="&amp;A169-6,$A$2:$A$1001,"&lt;="&amp;A169),""))</f>
        <v/>
      </c>
    </row>
    <row r="170">
      <c r="A170" s="7" t="n"/>
      <c r="B170" s="8" t="n"/>
      <c r="E170">
        <f>IF(C170="","",C170-Cfg_TDEE-IFERROR(D170,0))</f>
        <v/>
      </c>
      <c r="F170">
        <f>IF(E170="","",IFERROR(F169,0)+(-E170))</f>
        <v/>
      </c>
      <c r="G170" s="9">
        <f>IF(F170="","",F170/Cfg_FatConstant)</f>
        <v/>
      </c>
      <c r="H170" s="8">
        <f>IF(G170="","",Cfg_StartWeight-G170)</f>
        <v/>
      </c>
      <c r="I170" s="8">
        <f>IF(B170="","",Cfg_StartWeight-B170)</f>
        <v/>
      </c>
      <c r="J170" s="10">
        <f>IF(OR(B170="",G170=""),"",I170-G170)</f>
        <v/>
      </c>
      <c r="K170" s="9">
        <f>IF(B170="","",IFERROR(AVERAGEIFS($B$2:$B$1001,$A$2:$A$1001,"&gt;="&amp;A170-6,$A$2:$A$1001,"&lt;="&amp;A170),""))</f>
        <v/>
      </c>
    </row>
    <row r="171">
      <c r="A171" s="7" t="n"/>
      <c r="B171" s="8" t="n"/>
      <c r="E171">
        <f>IF(C171="","",C171-Cfg_TDEE-IFERROR(D171,0))</f>
        <v/>
      </c>
      <c r="F171">
        <f>IF(E171="","",IFERROR(F170,0)+(-E171))</f>
        <v/>
      </c>
      <c r="G171" s="9">
        <f>IF(F171="","",F171/Cfg_FatConstant)</f>
        <v/>
      </c>
      <c r="H171" s="8">
        <f>IF(G171="","",Cfg_StartWeight-G171)</f>
        <v/>
      </c>
      <c r="I171" s="8">
        <f>IF(B171="","",Cfg_StartWeight-B171)</f>
        <v/>
      </c>
      <c r="J171" s="10">
        <f>IF(OR(B171="",G171=""),"",I171-G171)</f>
        <v/>
      </c>
      <c r="K171" s="9">
        <f>IF(B171="","",IFERROR(AVERAGEIFS($B$2:$B$1001,$A$2:$A$1001,"&gt;="&amp;A171-6,$A$2:$A$1001,"&lt;="&amp;A171),""))</f>
        <v/>
      </c>
    </row>
    <row r="172">
      <c r="A172" s="7" t="n"/>
      <c r="B172" s="8" t="n"/>
      <c r="E172">
        <f>IF(C172="","",C172-Cfg_TDEE-IFERROR(D172,0))</f>
        <v/>
      </c>
      <c r="F172">
        <f>IF(E172="","",IFERROR(F171,0)+(-E172))</f>
        <v/>
      </c>
      <c r="G172" s="9">
        <f>IF(F172="","",F172/Cfg_FatConstant)</f>
        <v/>
      </c>
      <c r="H172" s="8">
        <f>IF(G172="","",Cfg_StartWeight-G172)</f>
        <v/>
      </c>
      <c r="I172" s="8">
        <f>IF(B172="","",Cfg_StartWeight-B172)</f>
        <v/>
      </c>
      <c r="J172" s="10">
        <f>IF(OR(B172="",G172=""),"",I172-G172)</f>
        <v/>
      </c>
      <c r="K172" s="9">
        <f>IF(B172="","",IFERROR(AVERAGEIFS($B$2:$B$1001,$A$2:$A$1001,"&gt;="&amp;A172-6,$A$2:$A$1001,"&lt;="&amp;A172),""))</f>
        <v/>
      </c>
    </row>
    <row r="173">
      <c r="A173" s="7" t="n"/>
      <c r="B173" s="8" t="n"/>
      <c r="E173">
        <f>IF(C173="","",C173-Cfg_TDEE-IFERROR(D173,0))</f>
        <v/>
      </c>
      <c r="F173">
        <f>IF(E173="","",IFERROR(F172,0)+(-E173))</f>
        <v/>
      </c>
      <c r="G173" s="9">
        <f>IF(F173="","",F173/Cfg_FatConstant)</f>
        <v/>
      </c>
      <c r="H173" s="8">
        <f>IF(G173="","",Cfg_StartWeight-G173)</f>
        <v/>
      </c>
      <c r="I173" s="8">
        <f>IF(B173="","",Cfg_StartWeight-B173)</f>
        <v/>
      </c>
      <c r="J173" s="10">
        <f>IF(OR(B173="",G173=""),"",I173-G173)</f>
        <v/>
      </c>
      <c r="K173" s="9">
        <f>IF(B173="","",IFERROR(AVERAGEIFS($B$2:$B$1001,$A$2:$A$1001,"&gt;="&amp;A173-6,$A$2:$A$1001,"&lt;="&amp;A173),""))</f>
        <v/>
      </c>
    </row>
    <row r="174">
      <c r="A174" s="7" t="n"/>
      <c r="B174" s="8" t="n"/>
      <c r="E174">
        <f>IF(C174="","",C174-Cfg_TDEE-IFERROR(D174,0))</f>
        <v/>
      </c>
      <c r="F174">
        <f>IF(E174="","",IFERROR(F173,0)+(-E174))</f>
        <v/>
      </c>
      <c r="G174" s="9">
        <f>IF(F174="","",F174/Cfg_FatConstant)</f>
        <v/>
      </c>
      <c r="H174" s="8">
        <f>IF(G174="","",Cfg_StartWeight-G174)</f>
        <v/>
      </c>
      <c r="I174" s="8">
        <f>IF(B174="","",Cfg_StartWeight-B174)</f>
        <v/>
      </c>
      <c r="J174" s="10">
        <f>IF(OR(B174="",G174=""),"",I174-G174)</f>
        <v/>
      </c>
      <c r="K174" s="9">
        <f>IF(B174="","",IFERROR(AVERAGEIFS($B$2:$B$1001,$A$2:$A$1001,"&gt;="&amp;A174-6,$A$2:$A$1001,"&lt;="&amp;A174),""))</f>
        <v/>
      </c>
    </row>
    <row r="175">
      <c r="A175" s="7" t="n"/>
      <c r="B175" s="8" t="n"/>
      <c r="E175">
        <f>IF(C175="","",C175-Cfg_TDEE-IFERROR(D175,0))</f>
        <v/>
      </c>
      <c r="F175">
        <f>IF(E175="","",IFERROR(F174,0)+(-E175))</f>
        <v/>
      </c>
      <c r="G175" s="9">
        <f>IF(F175="","",F175/Cfg_FatConstant)</f>
        <v/>
      </c>
      <c r="H175" s="8">
        <f>IF(G175="","",Cfg_StartWeight-G175)</f>
        <v/>
      </c>
      <c r="I175" s="8">
        <f>IF(B175="","",Cfg_StartWeight-B175)</f>
        <v/>
      </c>
      <c r="J175" s="10">
        <f>IF(OR(B175="",G175=""),"",I175-G175)</f>
        <v/>
      </c>
      <c r="K175" s="9">
        <f>IF(B175="","",IFERROR(AVERAGEIFS($B$2:$B$1001,$A$2:$A$1001,"&gt;="&amp;A175-6,$A$2:$A$1001,"&lt;="&amp;A175),""))</f>
        <v/>
      </c>
    </row>
    <row r="176">
      <c r="A176" s="7" t="n"/>
      <c r="B176" s="8" t="n"/>
      <c r="E176">
        <f>IF(C176="","",C176-Cfg_TDEE-IFERROR(D176,0))</f>
        <v/>
      </c>
      <c r="F176">
        <f>IF(E176="","",IFERROR(F175,0)+(-E176))</f>
        <v/>
      </c>
      <c r="G176" s="9">
        <f>IF(F176="","",F176/Cfg_FatConstant)</f>
        <v/>
      </c>
      <c r="H176" s="8">
        <f>IF(G176="","",Cfg_StartWeight-G176)</f>
        <v/>
      </c>
      <c r="I176" s="8">
        <f>IF(B176="","",Cfg_StartWeight-B176)</f>
        <v/>
      </c>
      <c r="J176" s="10">
        <f>IF(OR(B176="",G176=""),"",I176-G176)</f>
        <v/>
      </c>
      <c r="K176" s="9">
        <f>IF(B176="","",IFERROR(AVERAGEIFS($B$2:$B$1001,$A$2:$A$1001,"&gt;="&amp;A176-6,$A$2:$A$1001,"&lt;="&amp;A176),""))</f>
        <v/>
      </c>
    </row>
    <row r="177">
      <c r="A177" s="7" t="n"/>
      <c r="B177" s="8" t="n"/>
      <c r="E177">
        <f>IF(C177="","",C177-Cfg_TDEE-IFERROR(D177,0))</f>
        <v/>
      </c>
      <c r="F177">
        <f>IF(E177="","",IFERROR(F176,0)+(-E177))</f>
        <v/>
      </c>
      <c r="G177" s="9">
        <f>IF(F177="","",F177/Cfg_FatConstant)</f>
        <v/>
      </c>
      <c r="H177" s="8">
        <f>IF(G177="","",Cfg_StartWeight-G177)</f>
        <v/>
      </c>
      <c r="I177" s="8">
        <f>IF(B177="","",Cfg_StartWeight-B177)</f>
        <v/>
      </c>
      <c r="J177" s="10">
        <f>IF(OR(B177="",G177=""),"",I177-G177)</f>
        <v/>
      </c>
      <c r="K177" s="9">
        <f>IF(B177="","",IFERROR(AVERAGEIFS($B$2:$B$1001,$A$2:$A$1001,"&gt;="&amp;A177-6,$A$2:$A$1001,"&lt;="&amp;A177),""))</f>
        <v/>
      </c>
    </row>
    <row r="178">
      <c r="A178" s="7" t="n"/>
      <c r="B178" s="8" t="n"/>
      <c r="E178">
        <f>IF(C178="","",C178-Cfg_TDEE-IFERROR(D178,0))</f>
        <v/>
      </c>
      <c r="F178">
        <f>IF(E178="","",IFERROR(F177,0)+(-E178))</f>
        <v/>
      </c>
      <c r="G178" s="9">
        <f>IF(F178="","",F178/Cfg_FatConstant)</f>
        <v/>
      </c>
      <c r="H178" s="8">
        <f>IF(G178="","",Cfg_StartWeight-G178)</f>
        <v/>
      </c>
      <c r="I178" s="8">
        <f>IF(B178="","",Cfg_StartWeight-B178)</f>
        <v/>
      </c>
      <c r="J178" s="10">
        <f>IF(OR(B178="",G178=""),"",I178-G178)</f>
        <v/>
      </c>
      <c r="K178" s="9">
        <f>IF(B178="","",IFERROR(AVERAGEIFS($B$2:$B$1001,$A$2:$A$1001,"&gt;="&amp;A178-6,$A$2:$A$1001,"&lt;="&amp;A178),""))</f>
        <v/>
      </c>
    </row>
    <row r="179">
      <c r="A179" s="7" t="n"/>
      <c r="B179" s="8" t="n"/>
      <c r="E179">
        <f>IF(C179="","",C179-Cfg_TDEE-IFERROR(D179,0))</f>
        <v/>
      </c>
      <c r="F179">
        <f>IF(E179="","",IFERROR(F178,0)+(-E179))</f>
        <v/>
      </c>
      <c r="G179" s="9">
        <f>IF(F179="","",F179/Cfg_FatConstant)</f>
        <v/>
      </c>
      <c r="H179" s="8">
        <f>IF(G179="","",Cfg_StartWeight-G179)</f>
        <v/>
      </c>
      <c r="I179" s="8">
        <f>IF(B179="","",Cfg_StartWeight-B179)</f>
        <v/>
      </c>
      <c r="J179" s="10">
        <f>IF(OR(B179="",G179=""),"",I179-G179)</f>
        <v/>
      </c>
      <c r="K179" s="9">
        <f>IF(B179="","",IFERROR(AVERAGEIFS($B$2:$B$1001,$A$2:$A$1001,"&gt;="&amp;A179-6,$A$2:$A$1001,"&lt;="&amp;A179),""))</f>
        <v/>
      </c>
    </row>
    <row r="180">
      <c r="A180" s="7" t="n"/>
      <c r="B180" s="8" t="n"/>
      <c r="E180">
        <f>IF(C180="","",C180-Cfg_TDEE-IFERROR(D180,0))</f>
        <v/>
      </c>
      <c r="F180">
        <f>IF(E180="","",IFERROR(F179,0)+(-E180))</f>
        <v/>
      </c>
      <c r="G180" s="9">
        <f>IF(F180="","",F180/Cfg_FatConstant)</f>
        <v/>
      </c>
      <c r="H180" s="8">
        <f>IF(G180="","",Cfg_StartWeight-G180)</f>
        <v/>
      </c>
      <c r="I180" s="8">
        <f>IF(B180="","",Cfg_StartWeight-B180)</f>
        <v/>
      </c>
      <c r="J180" s="10">
        <f>IF(OR(B180="",G180=""),"",I180-G180)</f>
        <v/>
      </c>
      <c r="K180" s="9">
        <f>IF(B180="","",IFERROR(AVERAGEIFS($B$2:$B$1001,$A$2:$A$1001,"&gt;="&amp;A180-6,$A$2:$A$1001,"&lt;="&amp;A180),""))</f>
        <v/>
      </c>
    </row>
    <row r="181">
      <c r="A181" s="7" t="n"/>
      <c r="B181" s="8" t="n"/>
      <c r="E181">
        <f>IF(C181="","",C181-Cfg_TDEE-IFERROR(D181,0))</f>
        <v/>
      </c>
      <c r="F181">
        <f>IF(E181="","",IFERROR(F180,0)+(-E181))</f>
        <v/>
      </c>
      <c r="G181" s="9">
        <f>IF(F181="","",F181/Cfg_FatConstant)</f>
        <v/>
      </c>
      <c r="H181" s="8">
        <f>IF(G181="","",Cfg_StartWeight-G181)</f>
        <v/>
      </c>
      <c r="I181" s="8">
        <f>IF(B181="","",Cfg_StartWeight-B181)</f>
        <v/>
      </c>
      <c r="J181" s="10">
        <f>IF(OR(B181="",G181=""),"",I181-G181)</f>
        <v/>
      </c>
      <c r="K181" s="9">
        <f>IF(B181="","",IFERROR(AVERAGEIFS($B$2:$B$1001,$A$2:$A$1001,"&gt;="&amp;A181-6,$A$2:$A$1001,"&lt;="&amp;A181),""))</f>
        <v/>
      </c>
    </row>
    <row r="182">
      <c r="A182" s="7" t="n"/>
      <c r="B182" s="8" t="n"/>
      <c r="E182">
        <f>IF(C182="","",C182-Cfg_TDEE-IFERROR(D182,0))</f>
        <v/>
      </c>
      <c r="F182">
        <f>IF(E182="","",IFERROR(F181,0)+(-E182))</f>
        <v/>
      </c>
      <c r="G182" s="9">
        <f>IF(F182="","",F182/Cfg_FatConstant)</f>
        <v/>
      </c>
      <c r="H182" s="8">
        <f>IF(G182="","",Cfg_StartWeight-G182)</f>
        <v/>
      </c>
      <c r="I182" s="8">
        <f>IF(B182="","",Cfg_StartWeight-B182)</f>
        <v/>
      </c>
      <c r="J182" s="10">
        <f>IF(OR(B182="",G182=""),"",I182-G182)</f>
        <v/>
      </c>
      <c r="K182" s="9">
        <f>IF(B182="","",IFERROR(AVERAGEIFS($B$2:$B$1001,$A$2:$A$1001,"&gt;="&amp;A182-6,$A$2:$A$1001,"&lt;="&amp;A182),""))</f>
        <v/>
      </c>
    </row>
    <row r="183">
      <c r="A183" s="7" t="n"/>
      <c r="B183" s="8" t="n"/>
      <c r="E183">
        <f>IF(C183="","",C183-Cfg_TDEE-IFERROR(D183,0))</f>
        <v/>
      </c>
      <c r="F183">
        <f>IF(E183="","",IFERROR(F182,0)+(-E183))</f>
        <v/>
      </c>
      <c r="G183" s="9">
        <f>IF(F183="","",F183/Cfg_FatConstant)</f>
        <v/>
      </c>
      <c r="H183" s="8">
        <f>IF(G183="","",Cfg_StartWeight-G183)</f>
        <v/>
      </c>
      <c r="I183" s="8">
        <f>IF(B183="","",Cfg_StartWeight-B183)</f>
        <v/>
      </c>
      <c r="J183" s="10">
        <f>IF(OR(B183="",G183=""),"",I183-G183)</f>
        <v/>
      </c>
      <c r="K183" s="9">
        <f>IF(B183="","",IFERROR(AVERAGEIFS($B$2:$B$1001,$A$2:$A$1001,"&gt;="&amp;A183-6,$A$2:$A$1001,"&lt;="&amp;A183),""))</f>
        <v/>
      </c>
    </row>
    <row r="184">
      <c r="A184" s="7" t="n"/>
      <c r="B184" s="8" t="n"/>
      <c r="E184">
        <f>IF(C184="","",C184-Cfg_TDEE-IFERROR(D184,0))</f>
        <v/>
      </c>
      <c r="F184">
        <f>IF(E184="","",IFERROR(F183,0)+(-E184))</f>
        <v/>
      </c>
      <c r="G184" s="9">
        <f>IF(F184="","",F184/Cfg_FatConstant)</f>
        <v/>
      </c>
      <c r="H184" s="8">
        <f>IF(G184="","",Cfg_StartWeight-G184)</f>
        <v/>
      </c>
      <c r="I184" s="8">
        <f>IF(B184="","",Cfg_StartWeight-B184)</f>
        <v/>
      </c>
      <c r="J184" s="10">
        <f>IF(OR(B184="",G184=""),"",I184-G184)</f>
        <v/>
      </c>
      <c r="K184" s="9">
        <f>IF(B184="","",IFERROR(AVERAGEIFS($B$2:$B$1001,$A$2:$A$1001,"&gt;="&amp;A184-6,$A$2:$A$1001,"&lt;="&amp;A184),""))</f>
        <v/>
      </c>
    </row>
    <row r="185">
      <c r="A185" s="7" t="n"/>
      <c r="B185" s="8" t="n"/>
      <c r="E185">
        <f>IF(C185="","",C185-Cfg_TDEE-IFERROR(D185,0))</f>
        <v/>
      </c>
      <c r="F185">
        <f>IF(E185="","",IFERROR(F184,0)+(-E185))</f>
        <v/>
      </c>
      <c r="G185" s="9">
        <f>IF(F185="","",F185/Cfg_FatConstant)</f>
        <v/>
      </c>
      <c r="H185" s="8">
        <f>IF(G185="","",Cfg_StartWeight-G185)</f>
        <v/>
      </c>
      <c r="I185" s="8">
        <f>IF(B185="","",Cfg_StartWeight-B185)</f>
        <v/>
      </c>
      <c r="J185" s="10">
        <f>IF(OR(B185="",G185=""),"",I185-G185)</f>
        <v/>
      </c>
      <c r="K185" s="9">
        <f>IF(B185="","",IFERROR(AVERAGEIFS($B$2:$B$1001,$A$2:$A$1001,"&gt;="&amp;A185-6,$A$2:$A$1001,"&lt;="&amp;A185),""))</f>
        <v/>
      </c>
    </row>
    <row r="186">
      <c r="A186" s="7" t="n"/>
      <c r="B186" s="8" t="n"/>
      <c r="E186">
        <f>IF(C186="","",C186-Cfg_TDEE-IFERROR(D186,0))</f>
        <v/>
      </c>
      <c r="F186">
        <f>IF(E186="","",IFERROR(F185,0)+(-E186))</f>
        <v/>
      </c>
      <c r="G186" s="9">
        <f>IF(F186="","",F186/Cfg_FatConstant)</f>
        <v/>
      </c>
      <c r="H186" s="8">
        <f>IF(G186="","",Cfg_StartWeight-G186)</f>
        <v/>
      </c>
      <c r="I186" s="8">
        <f>IF(B186="","",Cfg_StartWeight-B186)</f>
        <v/>
      </c>
      <c r="J186" s="10">
        <f>IF(OR(B186="",G186=""),"",I186-G186)</f>
        <v/>
      </c>
      <c r="K186" s="9">
        <f>IF(B186="","",IFERROR(AVERAGEIFS($B$2:$B$1001,$A$2:$A$1001,"&gt;="&amp;A186-6,$A$2:$A$1001,"&lt;="&amp;A186),""))</f>
        <v/>
      </c>
    </row>
    <row r="187">
      <c r="A187" s="7" t="n"/>
      <c r="B187" s="8" t="n"/>
      <c r="E187">
        <f>IF(C187="","",C187-Cfg_TDEE-IFERROR(D187,0))</f>
        <v/>
      </c>
      <c r="F187">
        <f>IF(E187="","",IFERROR(F186,0)+(-E187))</f>
        <v/>
      </c>
      <c r="G187" s="9">
        <f>IF(F187="","",F187/Cfg_FatConstant)</f>
        <v/>
      </c>
      <c r="H187" s="8">
        <f>IF(G187="","",Cfg_StartWeight-G187)</f>
        <v/>
      </c>
      <c r="I187" s="8">
        <f>IF(B187="","",Cfg_StartWeight-B187)</f>
        <v/>
      </c>
      <c r="J187" s="10">
        <f>IF(OR(B187="",G187=""),"",I187-G187)</f>
        <v/>
      </c>
      <c r="K187" s="9">
        <f>IF(B187="","",IFERROR(AVERAGEIFS($B$2:$B$1001,$A$2:$A$1001,"&gt;="&amp;A187-6,$A$2:$A$1001,"&lt;="&amp;A187),""))</f>
        <v/>
      </c>
    </row>
    <row r="188">
      <c r="A188" s="7" t="n"/>
      <c r="B188" s="8" t="n"/>
      <c r="E188">
        <f>IF(C188="","",C188-Cfg_TDEE-IFERROR(D188,0))</f>
        <v/>
      </c>
      <c r="F188">
        <f>IF(E188="","",IFERROR(F187,0)+(-E188))</f>
        <v/>
      </c>
      <c r="G188" s="9">
        <f>IF(F188="","",F188/Cfg_FatConstant)</f>
        <v/>
      </c>
      <c r="H188" s="8">
        <f>IF(G188="","",Cfg_StartWeight-G188)</f>
        <v/>
      </c>
      <c r="I188" s="8">
        <f>IF(B188="","",Cfg_StartWeight-B188)</f>
        <v/>
      </c>
      <c r="J188" s="10">
        <f>IF(OR(B188="",G188=""),"",I188-G188)</f>
        <v/>
      </c>
      <c r="K188" s="9">
        <f>IF(B188="","",IFERROR(AVERAGEIFS($B$2:$B$1001,$A$2:$A$1001,"&gt;="&amp;A188-6,$A$2:$A$1001,"&lt;="&amp;A188),""))</f>
        <v/>
      </c>
    </row>
    <row r="189">
      <c r="A189" s="7" t="n"/>
      <c r="B189" s="8" t="n"/>
      <c r="E189">
        <f>IF(C189="","",C189-Cfg_TDEE-IFERROR(D189,0))</f>
        <v/>
      </c>
      <c r="F189">
        <f>IF(E189="","",IFERROR(F188,0)+(-E189))</f>
        <v/>
      </c>
      <c r="G189" s="9">
        <f>IF(F189="","",F189/Cfg_FatConstant)</f>
        <v/>
      </c>
      <c r="H189" s="8">
        <f>IF(G189="","",Cfg_StartWeight-G189)</f>
        <v/>
      </c>
      <c r="I189" s="8">
        <f>IF(B189="","",Cfg_StartWeight-B189)</f>
        <v/>
      </c>
      <c r="J189" s="10">
        <f>IF(OR(B189="",G189=""),"",I189-G189)</f>
        <v/>
      </c>
      <c r="K189" s="9">
        <f>IF(B189="","",IFERROR(AVERAGEIFS($B$2:$B$1001,$A$2:$A$1001,"&gt;="&amp;A189-6,$A$2:$A$1001,"&lt;="&amp;A189),""))</f>
        <v/>
      </c>
    </row>
    <row r="190">
      <c r="A190" s="7" t="n"/>
      <c r="B190" s="8" t="n"/>
      <c r="E190">
        <f>IF(C190="","",C190-Cfg_TDEE-IFERROR(D190,0))</f>
        <v/>
      </c>
      <c r="F190">
        <f>IF(E190="","",IFERROR(F189,0)+(-E190))</f>
        <v/>
      </c>
      <c r="G190" s="9">
        <f>IF(F190="","",F190/Cfg_FatConstant)</f>
        <v/>
      </c>
      <c r="H190" s="8">
        <f>IF(G190="","",Cfg_StartWeight-G190)</f>
        <v/>
      </c>
      <c r="I190" s="8">
        <f>IF(B190="","",Cfg_StartWeight-B190)</f>
        <v/>
      </c>
      <c r="J190" s="10">
        <f>IF(OR(B190="",G190=""),"",I190-G190)</f>
        <v/>
      </c>
      <c r="K190" s="9">
        <f>IF(B190="","",IFERROR(AVERAGEIFS($B$2:$B$1001,$A$2:$A$1001,"&gt;="&amp;A190-6,$A$2:$A$1001,"&lt;="&amp;A190),""))</f>
        <v/>
      </c>
    </row>
    <row r="191">
      <c r="A191" s="7" t="n"/>
      <c r="B191" s="8" t="n"/>
      <c r="E191">
        <f>IF(C191="","",C191-Cfg_TDEE-IFERROR(D191,0))</f>
        <v/>
      </c>
      <c r="F191">
        <f>IF(E191="","",IFERROR(F190,0)+(-E191))</f>
        <v/>
      </c>
      <c r="G191" s="9">
        <f>IF(F191="","",F191/Cfg_FatConstant)</f>
        <v/>
      </c>
      <c r="H191" s="8">
        <f>IF(G191="","",Cfg_StartWeight-G191)</f>
        <v/>
      </c>
      <c r="I191" s="8">
        <f>IF(B191="","",Cfg_StartWeight-B191)</f>
        <v/>
      </c>
      <c r="J191" s="10">
        <f>IF(OR(B191="",G191=""),"",I191-G191)</f>
        <v/>
      </c>
      <c r="K191" s="9">
        <f>IF(B191="","",IFERROR(AVERAGEIFS($B$2:$B$1001,$A$2:$A$1001,"&gt;="&amp;A191-6,$A$2:$A$1001,"&lt;="&amp;A191),""))</f>
        <v/>
      </c>
    </row>
    <row r="192">
      <c r="A192" s="7" t="n"/>
      <c r="B192" s="8" t="n"/>
      <c r="E192">
        <f>IF(C192="","",C192-Cfg_TDEE-IFERROR(D192,0))</f>
        <v/>
      </c>
      <c r="F192">
        <f>IF(E192="","",IFERROR(F191,0)+(-E192))</f>
        <v/>
      </c>
      <c r="G192" s="9">
        <f>IF(F192="","",F192/Cfg_FatConstant)</f>
        <v/>
      </c>
      <c r="H192" s="8">
        <f>IF(G192="","",Cfg_StartWeight-G192)</f>
        <v/>
      </c>
      <c r="I192" s="8">
        <f>IF(B192="","",Cfg_StartWeight-B192)</f>
        <v/>
      </c>
      <c r="J192" s="10">
        <f>IF(OR(B192="",G192=""),"",I192-G192)</f>
        <v/>
      </c>
      <c r="K192" s="9">
        <f>IF(B192="","",IFERROR(AVERAGEIFS($B$2:$B$1001,$A$2:$A$1001,"&gt;="&amp;A192-6,$A$2:$A$1001,"&lt;="&amp;A192),""))</f>
        <v/>
      </c>
    </row>
    <row r="193">
      <c r="A193" s="7" t="n"/>
      <c r="B193" s="8" t="n"/>
      <c r="E193">
        <f>IF(C193="","",C193-Cfg_TDEE-IFERROR(D193,0))</f>
        <v/>
      </c>
      <c r="F193">
        <f>IF(E193="","",IFERROR(F192,0)+(-E193))</f>
        <v/>
      </c>
      <c r="G193" s="9">
        <f>IF(F193="","",F193/Cfg_FatConstant)</f>
        <v/>
      </c>
      <c r="H193" s="8">
        <f>IF(G193="","",Cfg_StartWeight-G193)</f>
        <v/>
      </c>
      <c r="I193" s="8">
        <f>IF(B193="","",Cfg_StartWeight-B193)</f>
        <v/>
      </c>
      <c r="J193" s="10">
        <f>IF(OR(B193="",G193=""),"",I193-G193)</f>
        <v/>
      </c>
      <c r="K193" s="9">
        <f>IF(B193="","",IFERROR(AVERAGEIFS($B$2:$B$1001,$A$2:$A$1001,"&gt;="&amp;A193-6,$A$2:$A$1001,"&lt;="&amp;A193),""))</f>
        <v/>
      </c>
    </row>
    <row r="194">
      <c r="A194" s="7" t="n"/>
      <c r="B194" s="8" t="n"/>
      <c r="E194">
        <f>IF(C194="","",C194-Cfg_TDEE-IFERROR(D194,0))</f>
        <v/>
      </c>
      <c r="F194">
        <f>IF(E194="","",IFERROR(F193,0)+(-E194))</f>
        <v/>
      </c>
      <c r="G194" s="9">
        <f>IF(F194="","",F194/Cfg_FatConstant)</f>
        <v/>
      </c>
      <c r="H194" s="8">
        <f>IF(G194="","",Cfg_StartWeight-G194)</f>
        <v/>
      </c>
      <c r="I194" s="8">
        <f>IF(B194="","",Cfg_StartWeight-B194)</f>
        <v/>
      </c>
      <c r="J194" s="10">
        <f>IF(OR(B194="",G194=""),"",I194-G194)</f>
        <v/>
      </c>
      <c r="K194" s="9">
        <f>IF(B194="","",IFERROR(AVERAGEIFS($B$2:$B$1001,$A$2:$A$1001,"&gt;="&amp;A194-6,$A$2:$A$1001,"&lt;="&amp;A194),""))</f>
        <v/>
      </c>
    </row>
    <row r="195">
      <c r="A195" s="7" t="n"/>
      <c r="B195" s="8" t="n"/>
      <c r="E195">
        <f>IF(C195="","",C195-Cfg_TDEE-IFERROR(D195,0))</f>
        <v/>
      </c>
      <c r="F195">
        <f>IF(E195="","",IFERROR(F194,0)+(-E195))</f>
        <v/>
      </c>
      <c r="G195" s="9">
        <f>IF(F195="","",F195/Cfg_FatConstant)</f>
        <v/>
      </c>
      <c r="H195" s="8">
        <f>IF(G195="","",Cfg_StartWeight-G195)</f>
        <v/>
      </c>
      <c r="I195" s="8">
        <f>IF(B195="","",Cfg_StartWeight-B195)</f>
        <v/>
      </c>
      <c r="J195" s="10">
        <f>IF(OR(B195="",G195=""),"",I195-G195)</f>
        <v/>
      </c>
      <c r="K195" s="9">
        <f>IF(B195="","",IFERROR(AVERAGEIFS($B$2:$B$1001,$A$2:$A$1001,"&gt;="&amp;A195-6,$A$2:$A$1001,"&lt;="&amp;A195),""))</f>
        <v/>
      </c>
    </row>
    <row r="196">
      <c r="A196" s="7" t="n"/>
      <c r="B196" s="8" t="n"/>
      <c r="E196">
        <f>IF(C196="","",C196-Cfg_TDEE-IFERROR(D196,0))</f>
        <v/>
      </c>
      <c r="F196">
        <f>IF(E196="","",IFERROR(F195,0)+(-E196))</f>
        <v/>
      </c>
      <c r="G196" s="9">
        <f>IF(F196="","",F196/Cfg_FatConstant)</f>
        <v/>
      </c>
      <c r="H196" s="8">
        <f>IF(G196="","",Cfg_StartWeight-G196)</f>
        <v/>
      </c>
      <c r="I196" s="8">
        <f>IF(B196="","",Cfg_StartWeight-B196)</f>
        <v/>
      </c>
      <c r="J196" s="10">
        <f>IF(OR(B196="",G196=""),"",I196-G196)</f>
        <v/>
      </c>
      <c r="K196" s="9">
        <f>IF(B196="","",IFERROR(AVERAGEIFS($B$2:$B$1001,$A$2:$A$1001,"&gt;="&amp;A196-6,$A$2:$A$1001,"&lt;="&amp;A196),""))</f>
        <v/>
      </c>
    </row>
    <row r="197">
      <c r="A197" s="7" t="n"/>
      <c r="B197" s="8" t="n"/>
      <c r="E197">
        <f>IF(C197="","",C197-Cfg_TDEE-IFERROR(D197,0))</f>
        <v/>
      </c>
      <c r="F197">
        <f>IF(E197="","",IFERROR(F196,0)+(-E197))</f>
        <v/>
      </c>
      <c r="G197" s="9">
        <f>IF(F197="","",F197/Cfg_FatConstant)</f>
        <v/>
      </c>
      <c r="H197" s="8">
        <f>IF(G197="","",Cfg_StartWeight-G197)</f>
        <v/>
      </c>
      <c r="I197" s="8">
        <f>IF(B197="","",Cfg_StartWeight-B197)</f>
        <v/>
      </c>
      <c r="J197" s="10">
        <f>IF(OR(B197="",G197=""),"",I197-G197)</f>
        <v/>
      </c>
      <c r="K197" s="9">
        <f>IF(B197="","",IFERROR(AVERAGEIFS($B$2:$B$1001,$A$2:$A$1001,"&gt;="&amp;A197-6,$A$2:$A$1001,"&lt;="&amp;A197),""))</f>
        <v/>
      </c>
    </row>
    <row r="198">
      <c r="A198" s="7" t="n"/>
      <c r="B198" s="8" t="n"/>
      <c r="E198">
        <f>IF(C198="","",C198-Cfg_TDEE-IFERROR(D198,0))</f>
        <v/>
      </c>
      <c r="F198">
        <f>IF(E198="","",IFERROR(F197,0)+(-E198))</f>
        <v/>
      </c>
      <c r="G198" s="9">
        <f>IF(F198="","",F198/Cfg_FatConstant)</f>
        <v/>
      </c>
      <c r="H198" s="8">
        <f>IF(G198="","",Cfg_StartWeight-G198)</f>
        <v/>
      </c>
      <c r="I198" s="8">
        <f>IF(B198="","",Cfg_StartWeight-B198)</f>
        <v/>
      </c>
      <c r="J198" s="10">
        <f>IF(OR(B198="",G198=""),"",I198-G198)</f>
        <v/>
      </c>
      <c r="K198" s="9">
        <f>IF(B198="","",IFERROR(AVERAGEIFS($B$2:$B$1001,$A$2:$A$1001,"&gt;="&amp;A198-6,$A$2:$A$1001,"&lt;="&amp;A198),""))</f>
        <v/>
      </c>
    </row>
    <row r="199">
      <c r="A199" s="7" t="n"/>
      <c r="B199" s="8" t="n"/>
      <c r="E199">
        <f>IF(C199="","",C199-Cfg_TDEE-IFERROR(D199,0))</f>
        <v/>
      </c>
      <c r="F199">
        <f>IF(E199="","",IFERROR(F198,0)+(-E199))</f>
        <v/>
      </c>
      <c r="G199" s="9">
        <f>IF(F199="","",F199/Cfg_FatConstant)</f>
        <v/>
      </c>
      <c r="H199" s="8">
        <f>IF(G199="","",Cfg_StartWeight-G199)</f>
        <v/>
      </c>
      <c r="I199" s="8">
        <f>IF(B199="","",Cfg_StartWeight-B199)</f>
        <v/>
      </c>
      <c r="J199" s="10">
        <f>IF(OR(B199="",G199=""),"",I199-G199)</f>
        <v/>
      </c>
      <c r="K199" s="9">
        <f>IF(B199="","",IFERROR(AVERAGEIFS($B$2:$B$1001,$A$2:$A$1001,"&gt;="&amp;A199-6,$A$2:$A$1001,"&lt;="&amp;A199),""))</f>
        <v/>
      </c>
    </row>
    <row r="200">
      <c r="A200" s="7" t="n"/>
      <c r="B200" s="8" t="n"/>
      <c r="E200">
        <f>IF(C200="","",C200-Cfg_TDEE-IFERROR(D200,0))</f>
        <v/>
      </c>
      <c r="F200">
        <f>IF(E200="","",IFERROR(F199,0)+(-E200))</f>
        <v/>
      </c>
      <c r="G200" s="9">
        <f>IF(F200="","",F200/Cfg_FatConstant)</f>
        <v/>
      </c>
      <c r="H200" s="8">
        <f>IF(G200="","",Cfg_StartWeight-G200)</f>
        <v/>
      </c>
      <c r="I200" s="8">
        <f>IF(B200="","",Cfg_StartWeight-B200)</f>
        <v/>
      </c>
      <c r="J200" s="10">
        <f>IF(OR(B200="",G200=""),"",I200-G200)</f>
        <v/>
      </c>
      <c r="K200" s="9">
        <f>IF(B200="","",IFERROR(AVERAGEIFS($B$2:$B$1001,$A$2:$A$1001,"&gt;="&amp;A200-6,$A$2:$A$1001,"&lt;="&amp;A200),""))</f>
        <v/>
      </c>
    </row>
    <row r="201">
      <c r="A201" s="7" t="n"/>
      <c r="B201" s="8" t="n"/>
      <c r="E201">
        <f>IF(C201="","",C201-Cfg_TDEE-IFERROR(D201,0))</f>
        <v/>
      </c>
      <c r="F201">
        <f>IF(E201="","",IFERROR(F200,0)+(-E201))</f>
        <v/>
      </c>
      <c r="G201" s="9">
        <f>IF(F201="","",F201/Cfg_FatConstant)</f>
        <v/>
      </c>
      <c r="H201" s="8">
        <f>IF(G201="","",Cfg_StartWeight-G201)</f>
        <v/>
      </c>
      <c r="I201" s="8">
        <f>IF(B201="","",Cfg_StartWeight-B201)</f>
        <v/>
      </c>
      <c r="J201" s="10">
        <f>IF(OR(B201="",G201=""),"",I201-G201)</f>
        <v/>
      </c>
      <c r="K201" s="9">
        <f>IF(B201="","",IFERROR(AVERAGEIFS($B$2:$B$1001,$A$2:$A$1001,"&gt;="&amp;A201-6,$A$2:$A$1001,"&lt;="&amp;A201),""))</f>
        <v/>
      </c>
    </row>
    <row r="202">
      <c r="A202" s="7" t="n"/>
      <c r="B202" s="8" t="n"/>
      <c r="E202">
        <f>IF(C202="","",C202-Cfg_TDEE-IFERROR(D202,0))</f>
        <v/>
      </c>
      <c r="F202">
        <f>IF(E202="","",IFERROR(F201,0)+(-E202))</f>
        <v/>
      </c>
      <c r="G202" s="9">
        <f>IF(F202="","",F202/Cfg_FatConstant)</f>
        <v/>
      </c>
      <c r="H202" s="8">
        <f>IF(G202="","",Cfg_StartWeight-G202)</f>
        <v/>
      </c>
      <c r="I202" s="8">
        <f>IF(B202="","",Cfg_StartWeight-B202)</f>
        <v/>
      </c>
      <c r="J202" s="10">
        <f>IF(OR(B202="",G202=""),"",I202-G202)</f>
        <v/>
      </c>
      <c r="K202" s="9">
        <f>IF(B202="","",IFERROR(AVERAGEIFS($B$2:$B$1001,$A$2:$A$1001,"&gt;="&amp;A202-6,$A$2:$A$1001,"&lt;="&amp;A202),""))</f>
        <v/>
      </c>
    </row>
    <row r="203">
      <c r="A203" s="7" t="n"/>
      <c r="B203" s="8" t="n"/>
      <c r="E203">
        <f>IF(C203="","",C203-Cfg_TDEE-IFERROR(D203,0))</f>
        <v/>
      </c>
      <c r="F203">
        <f>IF(E203="","",IFERROR(F202,0)+(-E203))</f>
        <v/>
      </c>
      <c r="G203" s="9">
        <f>IF(F203="","",F203/Cfg_FatConstant)</f>
        <v/>
      </c>
      <c r="H203" s="8">
        <f>IF(G203="","",Cfg_StartWeight-G203)</f>
        <v/>
      </c>
      <c r="I203" s="8">
        <f>IF(B203="","",Cfg_StartWeight-B203)</f>
        <v/>
      </c>
      <c r="J203" s="10">
        <f>IF(OR(B203="",G203=""),"",I203-G203)</f>
        <v/>
      </c>
      <c r="K203" s="9">
        <f>IF(B203="","",IFERROR(AVERAGEIFS($B$2:$B$1001,$A$2:$A$1001,"&gt;="&amp;A203-6,$A$2:$A$1001,"&lt;="&amp;A203),""))</f>
        <v/>
      </c>
    </row>
    <row r="204">
      <c r="A204" s="7" t="n"/>
      <c r="B204" s="8" t="n"/>
      <c r="E204">
        <f>IF(C204="","",C204-Cfg_TDEE-IFERROR(D204,0))</f>
        <v/>
      </c>
      <c r="F204">
        <f>IF(E204="","",IFERROR(F203,0)+(-E204))</f>
        <v/>
      </c>
      <c r="G204" s="9">
        <f>IF(F204="","",F204/Cfg_FatConstant)</f>
        <v/>
      </c>
      <c r="H204" s="8">
        <f>IF(G204="","",Cfg_StartWeight-G204)</f>
        <v/>
      </c>
      <c r="I204" s="8">
        <f>IF(B204="","",Cfg_StartWeight-B204)</f>
        <v/>
      </c>
      <c r="J204" s="10">
        <f>IF(OR(B204="",G204=""),"",I204-G204)</f>
        <v/>
      </c>
      <c r="K204" s="9">
        <f>IF(B204="","",IFERROR(AVERAGEIFS($B$2:$B$1001,$A$2:$A$1001,"&gt;="&amp;A204-6,$A$2:$A$1001,"&lt;="&amp;A204),""))</f>
        <v/>
      </c>
    </row>
    <row r="205">
      <c r="A205" s="7" t="n"/>
      <c r="B205" s="8" t="n"/>
      <c r="E205">
        <f>IF(C205="","",C205-Cfg_TDEE-IFERROR(D205,0))</f>
        <v/>
      </c>
      <c r="F205">
        <f>IF(E205="","",IFERROR(F204,0)+(-E205))</f>
        <v/>
      </c>
      <c r="G205" s="9">
        <f>IF(F205="","",F205/Cfg_FatConstant)</f>
        <v/>
      </c>
      <c r="H205" s="8">
        <f>IF(G205="","",Cfg_StartWeight-G205)</f>
        <v/>
      </c>
      <c r="I205" s="8">
        <f>IF(B205="","",Cfg_StartWeight-B205)</f>
        <v/>
      </c>
      <c r="J205" s="10">
        <f>IF(OR(B205="",G205=""),"",I205-G205)</f>
        <v/>
      </c>
      <c r="K205" s="9">
        <f>IF(B205="","",IFERROR(AVERAGEIFS($B$2:$B$1001,$A$2:$A$1001,"&gt;="&amp;A205-6,$A$2:$A$1001,"&lt;="&amp;A205),""))</f>
        <v/>
      </c>
    </row>
    <row r="206">
      <c r="A206" s="7" t="n"/>
      <c r="B206" s="8" t="n"/>
      <c r="E206">
        <f>IF(C206="","",C206-Cfg_TDEE-IFERROR(D206,0))</f>
        <v/>
      </c>
      <c r="F206">
        <f>IF(E206="","",IFERROR(F205,0)+(-E206))</f>
        <v/>
      </c>
      <c r="G206" s="9">
        <f>IF(F206="","",F206/Cfg_FatConstant)</f>
        <v/>
      </c>
      <c r="H206" s="8">
        <f>IF(G206="","",Cfg_StartWeight-G206)</f>
        <v/>
      </c>
      <c r="I206" s="8">
        <f>IF(B206="","",Cfg_StartWeight-B206)</f>
        <v/>
      </c>
      <c r="J206" s="10">
        <f>IF(OR(B206="",G206=""),"",I206-G206)</f>
        <v/>
      </c>
      <c r="K206" s="9">
        <f>IF(B206="","",IFERROR(AVERAGEIFS($B$2:$B$1001,$A$2:$A$1001,"&gt;="&amp;A206-6,$A$2:$A$1001,"&lt;="&amp;A206),""))</f>
        <v/>
      </c>
    </row>
    <row r="207">
      <c r="A207" s="7" t="n"/>
      <c r="B207" s="8" t="n"/>
      <c r="E207">
        <f>IF(C207="","",C207-Cfg_TDEE-IFERROR(D207,0))</f>
        <v/>
      </c>
      <c r="F207">
        <f>IF(E207="","",IFERROR(F206,0)+(-E207))</f>
        <v/>
      </c>
      <c r="G207" s="9">
        <f>IF(F207="","",F207/Cfg_FatConstant)</f>
        <v/>
      </c>
      <c r="H207" s="8">
        <f>IF(G207="","",Cfg_StartWeight-G207)</f>
        <v/>
      </c>
      <c r="I207" s="8">
        <f>IF(B207="","",Cfg_StartWeight-B207)</f>
        <v/>
      </c>
      <c r="J207" s="10">
        <f>IF(OR(B207="",G207=""),"",I207-G207)</f>
        <v/>
      </c>
      <c r="K207" s="9">
        <f>IF(B207="","",IFERROR(AVERAGEIFS($B$2:$B$1001,$A$2:$A$1001,"&gt;="&amp;A207-6,$A$2:$A$1001,"&lt;="&amp;A207),""))</f>
        <v/>
      </c>
    </row>
    <row r="208">
      <c r="A208" s="7" t="n"/>
      <c r="B208" s="8" t="n"/>
      <c r="E208">
        <f>IF(C208="","",C208-Cfg_TDEE-IFERROR(D208,0))</f>
        <v/>
      </c>
      <c r="F208">
        <f>IF(E208="","",IFERROR(F207,0)+(-E208))</f>
        <v/>
      </c>
      <c r="G208" s="9">
        <f>IF(F208="","",F208/Cfg_FatConstant)</f>
        <v/>
      </c>
      <c r="H208" s="8">
        <f>IF(G208="","",Cfg_StartWeight-G208)</f>
        <v/>
      </c>
      <c r="I208" s="8">
        <f>IF(B208="","",Cfg_StartWeight-B208)</f>
        <v/>
      </c>
      <c r="J208" s="10">
        <f>IF(OR(B208="",G208=""),"",I208-G208)</f>
        <v/>
      </c>
      <c r="K208" s="9">
        <f>IF(B208="","",IFERROR(AVERAGEIFS($B$2:$B$1001,$A$2:$A$1001,"&gt;="&amp;A208-6,$A$2:$A$1001,"&lt;="&amp;A208),""))</f>
        <v/>
      </c>
    </row>
    <row r="209">
      <c r="A209" s="7" t="n"/>
      <c r="B209" s="8" t="n"/>
      <c r="E209">
        <f>IF(C209="","",C209-Cfg_TDEE-IFERROR(D209,0))</f>
        <v/>
      </c>
      <c r="F209">
        <f>IF(E209="","",IFERROR(F208,0)+(-E209))</f>
        <v/>
      </c>
      <c r="G209" s="9">
        <f>IF(F209="","",F209/Cfg_FatConstant)</f>
        <v/>
      </c>
      <c r="H209" s="8">
        <f>IF(G209="","",Cfg_StartWeight-G209)</f>
        <v/>
      </c>
      <c r="I209" s="8">
        <f>IF(B209="","",Cfg_StartWeight-B209)</f>
        <v/>
      </c>
      <c r="J209" s="10">
        <f>IF(OR(B209="",G209=""),"",I209-G209)</f>
        <v/>
      </c>
      <c r="K209" s="9">
        <f>IF(B209="","",IFERROR(AVERAGEIFS($B$2:$B$1001,$A$2:$A$1001,"&gt;="&amp;A209-6,$A$2:$A$1001,"&lt;="&amp;A209),""))</f>
        <v/>
      </c>
    </row>
    <row r="210">
      <c r="A210" s="7" t="n"/>
      <c r="B210" s="8" t="n"/>
      <c r="E210">
        <f>IF(C210="","",C210-Cfg_TDEE-IFERROR(D210,0))</f>
        <v/>
      </c>
      <c r="F210">
        <f>IF(E210="","",IFERROR(F209,0)+(-E210))</f>
        <v/>
      </c>
      <c r="G210" s="9">
        <f>IF(F210="","",F210/Cfg_FatConstant)</f>
        <v/>
      </c>
      <c r="H210" s="8">
        <f>IF(G210="","",Cfg_StartWeight-G210)</f>
        <v/>
      </c>
      <c r="I210" s="8">
        <f>IF(B210="","",Cfg_StartWeight-B210)</f>
        <v/>
      </c>
      <c r="J210" s="10">
        <f>IF(OR(B210="",G210=""),"",I210-G210)</f>
        <v/>
      </c>
      <c r="K210" s="9">
        <f>IF(B210="","",IFERROR(AVERAGEIFS($B$2:$B$1001,$A$2:$A$1001,"&gt;="&amp;A210-6,$A$2:$A$1001,"&lt;="&amp;A210),""))</f>
        <v/>
      </c>
    </row>
    <row r="211">
      <c r="A211" s="7" t="n"/>
      <c r="B211" s="8" t="n"/>
      <c r="E211">
        <f>IF(C211="","",C211-Cfg_TDEE-IFERROR(D211,0))</f>
        <v/>
      </c>
      <c r="F211">
        <f>IF(E211="","",IFERROR(F210,0)+(-E211))</f>
        <v/>
      </c>
      <c r="G211" s="9">
        <f>IF(F211="","",F211/Cfg_FatConstant)</f>
        <v/>
      </c>
      <c r="H211" s="8">
        <f>IF(G211="","",Cfg_StartWeight-G211)</f>
        <v/>
      </c>
      <c r="I211" s="8">
        <f>IF(B211="","",Cfg_StartWeight-B211)</f>
        <v/>
      </c>
      <c r="J211" s="10">
        <f>IF(OR(B211="",G211=""),"",I211-G211)</f>
        <v/>
      </c>
      <c r="K211" s="9">
        <f>IF(B211="","",IFERROR(AVERAGEIFS($B$2:$B$1001,$A$2:$A$1001,"&gt;="&amp;A211-6,$A$2:$A$1001,"&lt;="&amp;A211),""))</f>
        <v/>
      </c>
    </row>
    <row r="212">
      <c r="A212" s="7" t="n"/>
      <c r="B212" s="8" t="n"/>
      <c r="E212">
        <f>IF(C212="","",C212-Cfg_TDEE-IFERROR(D212,0))</f>
        <v/>
      </c>
      <c r="F212">
        <f>IF(E212="","",IFERROR(F211,0)+(-E212))</f>
        <v/>
      </c>
      <c r="G212" s="9">
        <f>IF(F212="","",F212/Cfg_FatConstant)</f>
        <v/>
      </c>
      <c r="H212" s="8">
        <f>IF(G212="","",Cfg_StartWeight-G212)</f>
        <v/>
      </c>
      <c r="I212" s="8">
        <f>IF(B212="","",Cfg_StartWeight-B212)</f>
        <v/>
      </c>
      <c r="J212" s="10">
        <f>IF(OR(B212="",G212=""),"",I212-G212)</f>
        <v/>
      </c>
      <c r="K212" s="9">
        <f>IF(B212="","",IFERROR(AVERAGEIFS($B$2:$B$1001,$A$2:$A$1001,"&gt;="&amp;A212-6,$A$2:$A$1001,"&lt;="&amp;A212),""))</f>
        <v/>
      </c>
    </row>
    <row r="213">
      <c r="A213" s="7" t="n"/>
      <c r="B213" s="8" t="n"/>
      <c r="E213">
        <f>IF(C213="","",C213-Cfg_TDEE-IFERROR(D213,0))</f>
        <v/>
      </c>
      <c r="F213">
        <f>IF(E213="","",IFERROR(F212,0)+(-E213))</f>
        <v/>
      </c>
      <c r="G213" s="9">
        <f>IF(F213="","",F213/Cfg_FatConstant)</f>
        <v/>
      </c>
      <c r="H213" s="8">
        <f>IF(G213="","",Cfg_StartWeight-G213)</f>
        <v/>
      </c>
      <c r="I213" s="8">
        <f>IF(B213="","",Cfg_StartWeight-B213)</f>
        <v/>
      </c>
      <c r="J213" s="10">
        <f>IF(OR(B213="",G213=""),"",I213-G213)</f>
        <v/>
      </c>
      <c r="K213" s="9">
        <f>IF(B213="","",IFERROR(AVERAGEIFS($B$2:$B$1001,$A$2:$A$1001,"&gt;="&amp;A213-6,$A$2:$A$1001,"&lt;="&amp;A213),""))</f>
        <v/>
      </c>
    </row>
    <row r="214">
      <c r="A214" s="7" t="n"/>
      <c r="B214" s="8" t="n"/>
      <c r="E214">
        <f>IF(C214="","",C214-Cfg_TDEE-IFERROR(D214,0))</f>
        <v/>
      </c>
      <c r="F214">
        <f>IF(E214="","",IFERROR(F213,0)+(-E214))</f>
        <v/>
      </c>
      <c r="G214" s="9">
        <f>IF(F214="","",F214/Cfg_FatConstant)</f>
        <v/>
      </c>
      <c r="H214" s="8">
        <f>IF(G214="","",Cfg_StartWeight-G214)</f>
        <v/>
      </c>
      <c r="I214" s="8">
        <f>IF(B214="","",Cfg_StartWeight-B214)</f>
        <v/>
      </c>
      <c r="J214" s="10">
        <f>IF(OR(B214="",G214=""),"",I214-G214)</f>
        <v/>
      </c>
      <c r="K214" s="9">
        <f>IF(B214="","",IFERROR(AVERAGEIFS($B$2:$B$1001,$A$2:$A$1001,"&gt;="&amp;A214-6,$A$2:$A$1001,"&lt;="&amp;A214),""))</f>
        <v/>
      </c>
    </row>
    <row r="215">
      <c r="A215" s="7" t="n"/>
      <c r="B215" s="8" t="n"/>
      <c r="E215">
        <f>IF(C215="","",C215-Cfg_TDEE-IFERROR(D215,0))</f>
        <v/>
      </c>
      <c r="F215">
        <f>IF(E215="","",IFERROR(F214,0)+(-E215))</f>
        <v/>
      </c>
      <c r="G215" s="9">
        <f>IF(F215="","",F215/Cfg_FatConstant)</f>
        <v/>
      </c>
      <c r="H215" s="8">
        <f>IF(G215="","",Cfg_StartWeight-G215)</f>
        <v/>
      </c>
      <c r="I215" s="8">
        <f>IF(B215="","",Cfg_StartWeight-B215)</f>
        <v/>
      </c>
      <c r="J215" s="10">
        <f>IF(OR(B215="",G215=""),"",I215-G215)</f>
        <v/>
      </c>
      <c r="K215" s="9">
        <f>IF(B215="","",IFERROR(AVERAGEIFS($B$2:$B$1001,$A$2:$A$1001,"&gt;="&amp;A215-6,$A$2:$A$1001,"&lt;="&amp;A215),""))</f>
        <v/>
      </c>
    </row>
    <row r="216">
      <c r="A216" s="7" t="n"/>
      <c r="B216" s="8" t="n"/>
      <c r="E216">
        <f>IF(C216="","",C216-Cfg_TDEE-IFERROR(D216,0))</f>
        <v/>
      </c>
      <c r="F216">
        <f>IF(E216="","",IFERROR(F215,0)+(-E216))</f>
        <v/>
      </c>
      <c r="G216" s="9">
        <f>IF(F216="","",F216/Cfg_FatConstant)</f>
        <v/>
      </c>
      <c r="H216" s="8">
        <f>IF(G216="","",Cfg_StartWeight-G216)</f>
        <v/>
      </c>
      <c r="I216" s="8">
        <f>IF(B216="","",Cfg_StartWeight-B216)</f>
        <v/>
      </c>
      <c r="J216" s="10">
        <f>IF(OR(B216="",G216=""),"",I216-G216)</f>
        <v/>
      </c>
      <c r="K216" s="9">
        <f>IF(B216="","",IFERROR(AVERAGEIFS($B$2:$B$1001,$A$2:$A$1001,"&gt;="&amp;A216-6,$A$2:$A$1001,"&lt;="&amp;A216),""))</f>
        <v/>
      </c>
    </row>
    <row r="217">
      <c r="A217" s="7" t="n"/>
      <c r="B217" s="8" t="n"/>
      <c r="E217">
        <f>IF(C217="","",C217-Cfg_TDEE-IFERROR(D217,0))</f>
        <v/>
      </c>
      <c r="F217">
        <f>IF(E217="","",IFERROR(F216,0)+(-E217))</f>
        <v/>
      </c>
      <c r="G217" s="9">
        <f>IF(F217="","",F217/Cfg_FatConstant)</f>
        <v/>
      </c>
      <c r="H217" s="8">
        <f>IF(G217="","",Cfg_StartWeight-G217)</f>
        <v/>
      </c>
      <c r="I217" s="8">
        <f>IF(B217="","",Cfg_StartWeight-B217)</f>
        <v/>
      </c>
      <c r="J217" s="10">
        <f>IF(OR(B217="",G217=""),"",I217-G217)</f>
        <v/>
      </c>
      <c r="K217" s="9">
        <f>IF(B217="","",IFERROR(AVERAGEIFS($B$2:$B$1001,$A$2:$A$1001,"&gt;="&amp;A217-6,$A$2:$A$1001,"&lt;="&amp;A217),""))</f>
        <v/>
      </c>
    </row>
    <row r="218">
      <c r="A218" s="7" t="n"/>
      <c r="B218" s="8" t="n"/>
      <c r="E218">
        <f>IF(C218="","",C218-Cfg_TDEE-IFERROR(D218,0))</f>
        <v/>
      </c>
      <c r="F218">
        <f>IF(E218="","",IFERROR(F217,0)+(-E218))</f>
        <v/>
      </c>
      <c r="G218" s="9">
        <f>IF(F218="","",F218/Cfg_FatConstant)</f>
        <v/>
      </c>
      <c r="H218" s="8">
        <f>IF(G218="","",Cfg_StartWeight-G218)</f>
        <v/>
      </c>
      <c r="I218" s="8">
        <f>IF(B218="","",Cfg_StartWeight-B218)</f>
        <v/>
      </c>
      <c r="J218" s="10">
        <f>IF(OR(B218="",G218=""),"",I218-G218)</f>
        <v/>
      </c>
      <c r="K218" s="9">
        <f>IF(B218="","",IFERROR(AVERAGEIFS($B$2:$B$1001,$A$2:$A$1001,"&gt;="&amp;A218-6,$A$2:$A$1001,"&lt;="&amp;A218),""))</f>
        <v/>
      </c>
    </row>
    <row r="219">
      <c r="A219" s="7" t="n"/>
      <c r="B219" s="8" t="n"/>
      <c r="E219">
        <f>IF(C219="","",C219-Cfg_TDEE-IFERROR(D219,0))</f>
        <v/>
      </c>
      <c r="F219">
        <f>IF(E219="","",IFERROR(F218,0)+(-E219))</f>
        <v/>
      </c>
      <c r="G219" s="9">
        <f>IF(F219="","",F219/Cfg_FatConstant)</f>
        <v/>
      </c>
      <c r="H219" s="8">
        <f>IF(G219="","",Cfg_StartWeight-G219)</f>
        <v/>
      </c>
      <c r="I219" s="8">
        <f>IF(B219="","",Cfg_StartWeight-B219)</f>
        <v/>
      </c>
      <c r="J219" s="10">
        <f>IF(OR(B219="",G219=""),"",I219-G219)</f>
        <v/>
      </c>
      <c r="K219" s="9">
        <f>IF(B219="","",IFERROR(AVERAGEIFS($B$2:$B$1001,$A$2:$A$1001,"&gt;="&amp;A219-6,$A$2:$A$1001,"&lt;="&amp;A219),""))</f>
        <v/>
      </c>
    </row>
    <row r="220">
      <c r="A220" s="7" t="n"/>
      <c r="B220" s="8" t="n"/>
      <c r="E220">
        <f>IF(C220="","",C220-Cfg_TDEE-IFERROR(D220,0))</f>
        <v/>
      </c>
      <c r="F220">
        <f>IF(E220="","",IFERROR(F219,0)+(-E220))</f>
        <v/>
      </c>
      <c r="G220" s="9">
        <f>IF(F220="","",F220/Cfg_FatConstant)</f>
        <v/>
      </c>
      <c r="H220" s="8">
        <f>IF(G220="","",Cfg_StartWeight-G220)</f>
        <v/>
      </c>
      <c r="I220" s="8">
        <f>IF(B220="","",Cfg_StartWeight-B220)</f>
        <v/>
      </c>
      <c r="J220" s="10">
        <f>IF(OR(B220="",G220=""),"",I220-G220)</f>
        <v/>
      </c>
      <c r="K220" s="9">
        <f>IF(B220="","",IFERROR(AVERAGEIFS($B$2:$B$1001,$A$2:$A$1001,"&gt;="&amp;A220-6,$A$2:$A$1001,"&lt;="&amp;A220),""))</f>
        <v/>
      </c>
    </row>
    <row r="221">
      <c r="A221" s="7" t="n"/>
      <c r="B221" s="8" t="n"/>
      <c r="E221">
        <f>IF(C221="","",C221-Cfg_TDEE-IFERROR(D221,0))</f>
        <v/>
      </c>
      <c r="F221">
        <f>IF(E221="","",IFERROR(F220,0)+(-E221))</f>
        <v/>
      </c>
      <c r="G221" s="9">
        <f>IF(F221="","",F221/Cfg_FatConstant)</f>
        <v/>
      </c>
      <c r="H221" s="8">
        <f>IF(G221="","",Cfg_StartWeight-G221)</f>
        <v/>
      </c>
      <c r="I221" s="8">
        <f>IF(B221="","",Cfg_StartWeight-B221)</f>
        <v/>
      </c>
      <c r="J221" s="10">
        <f>IF(OR(B221="",G221=""),"",I221-G221)</f>
        <v/>
      </c>
      <c r="K221" s="9">
        <f>IF(B221="","",IFERROR(AVERAGEIFS($B$2:$B$1001,$A$2:$A$1001,"&gt;="&amp;A221-6,$A$2:$A$1001,"&lt;="&amp;A221),""))</f>
        <v/>
      </c>
    </row>
    <row r="222">
      <c r="A222" s="7" t="n"/>
      <c r="B222" s="8" t="n"/>
      <c r="E222">
        <f>IF(C222="","",C222-Cfg_TDEE-IFERROR(D222,0))</f>
        <v/>
      </c>
      <c r="F222">
        <f>IF(E222="","",IFERROR(F221,0)+(-E222))</f>
        <v/>
      </c>
      <c r="G222" s="9">
        <f>IF(F222="","",F222/Cfg_FatConstant)</f>
        <v/>
      </c>
      <c r="H222" s="8">
        <f>IF(G222="","",Cfg_StartWeight-G222)</f>
        <v/>
      </c>
      <c r="I222" s="8">
        <f>IF(B222="","",Cfg_StartWeight-B222)</f>
        <v/>
      </c>
      <c r="J222" s="10">
        <f>IF(OR(B222="",G222=""),"",I222-G222)</f>
        <v/>
      </c>
      <c r="K222" s="9">
        <f>IF(B222="","",IFERROR(AVERAGEIFS($B$2:$B$1001,$A$2:$A$1001,"&gt;="&amp;A222-6,$A$2:$A$1001,"&lt;="&amp;A222),""))</f>
        <v/>
      </c>
    </row>
    <row r="223">
      <c r="A223" s="7" t="n"/>
      <c r="B223" s="8" t="n"/>
      <c r="E223">
        <f>IF(C223="","",C223-Cfg_TDEE-IFERROR(D223,0))</f>
        <v/>
      </c>
      <c r="F223">
        <f>IF(E223="","",IFERROR(F222,0)+(-E223))</f>
        <v/>
      </c>
      <c r="G223" s="9">
        <f>IF(F223="","",F223/Cfg_FatConstant)</f>
        <v/>
      </c>
      <c r="H223" s="8">
        <f>IF(G223="","",Cfg_StartWeight-G223)</f>
        <v/>
      </c>
      <c r="I223" s="8">
        <f>IF(B223="","",Cfg_StartWeight-B223)</f>
        <v/>
      </c>
      <c r="J223" s="10">
        <f>IF(OR(B223="",G223=""),"",I223-G223)</f>
        <v/>
      </c>
      <c r="K223" s="9">
        <f>IF(B223="","",IFERROR(AVERAGEIFS($B$2:$B$1001,$A$2:$A$1001,"&gt;="&amp;A223-6,$A$2:$A$1001,"&lt;="&amp;A223),""))</f>
        <v/>
      </c>
    </row>
    <row r="224">
      <c r="A224" s="7" t="n"/>
      <c r="B224" s="8" t="n"/>
      <c r="E224">
        <f>IF(C224="","",C224-Cfg_TDEE-IFERROR(D224,0))</f>
        <v/>
      </c>
      <c r="F224">
        <f>IF(E224="","",IFERROR(F223,0)+(-E224))</f>
        <v/>
      </c>
      <c r="G224" s="9">
        <f>IF(F224="","",F224/Cfg_FatConstant)</f>
        <v/>
      </c>
      <c r="H224" s="8">
        <f>IF(G224="","",Cfg_StartWeight-G224)</f>
        <v/>
      </c>
      <c r="I224" s="8">
        <f>IF(B224="","",Cfg_StartWeight-B224)</f>
        <v/>
      </c>
      <c r="J224" s="10">
        <f>IF(OR(B224="",G224=""),"",I224-G224)</f>
        <v/>
      </c>
      <c r="K224" s="9">
        <f>IF(B224="","",IFERROR(AVERAGEIFS($B$2:$B$1001,$A$2:$A$1001,"&gt;="&amp;A224-6,$A$2:$A$1001,"&lt;="&amp;A224),""))</f>
        <v/>
      </c>
    </row>
    <row r="225">
      <c r="A225" s="7" t="n"/>
      <c r="B225" s="8" t="n"/>
      <c r="E225">
        <f>IF(C225="","",C225-Cfg_TDEE-IFERROR(D225,0))</f>
        <v/>
      </c>
      <c r="F225">
        <f>IF(E225="","",IFERROR(F224,0)+(-E225))</f>
        <v/>
      </c>
      <c r="G225" s="9">
        <f>IF(F225="","",F225/Cfg_FatConstant)</f>
        <v/>
      </c>
      <c r="H225" s="8">
        <f>IF(G225="","",Cfg_StartWeight-G225)</f>
        <v/>
      </c>
      <c r="I225" s="8">
        <f>IF(B225="","",Cfg_StartWeight-B225)</f>
        <v/>
      </c>
      <c r="J225" s="10">
        <f>IF(OR(B225="",G225=""),"",I225-G225)</f>
        <v/>
      </c>
      <c r="K225" s="9">
        <f>IF(B225="","",IFERROR(AVERAGEIFS($B$2:$B$1001,$A$2:$A$1001,"&gt;="&amp;A225-6,$A$2:$A$1001,"&lt;="&amp;A225),""))</f>
        <v/>
      </c>
    </row>
    <row r="226">
      <c r="A226" s="7" t="n"/>
      <c r="B226" s="8" t="n"/>
      <c r="E226">
        <f>IF(C226="","",C226-Cfg_TDEE-IFERROR(D226,0))</f>
        <v/>
      </c>
      <c r="F226">
        <f>IF(E226="","",IFERROR(F225,0)+(-E226))</f>
        <v/>
      </c>
      <c r="G226" s="9">
        <f>IF(F226="","",F226/Cfg_FatConstant)</f>
        <v/>
      </c>
      <c r="H226" s="8">
        <f>IF(G226="","",Cfg_StartWeight-G226)</f>
        <v/>
      </c>
      <c r="I226" s="8">
        <f>IF(B226="","",Cfg_StartWeight-B226)</f>
        <v/>
      </c>
      <c r="J226" s="10">
        <f>IF(OR(B226="",G226=""),"",I226-G226)</f>
        <v/>
      </c>
      <c r="K226" s="9">
        <f>IF(B226="","",IFERROR(AVERAGEIFS($B$2:$B$1001,$A$2:$A$1001,"&gt;="&amp;A226-6,$A$2:$A$1001,"&lt;="&amp;A226),""))</f>
        <v/>
      </c>
    </row>
    <row r="227">
      <c r="A227" s="7" t="n"/>
      <c r="B227" s="8" t="n"/>
      <c r="E227">
        <f>IF(C227="","",C227-Cfg_TDEE-IFERROR(D227,0))</f>
        <v/>
      </c>
      <c r="F227">
        <f>IF(E227="","",IFERROR(F226,0)+(-E227))</f>
        <v/>
      </c>
      <c r="G227" s="9">
        <f>IF(F227="","",F227/Cfg_FatConstant)</f>
        <v/>
      </c>
      <c r="H227" s="8">
        <f>IF(G227="","",Cfg_StartWeight-G227)</f>
        <v/>
      </c>
      <c r="I227" s="8">
        <f>IF(B227="","",Cfg_StartWeight-B227)</f>
        <v/>
      </c>
      <c r="J227" s="10">
        <f>IF(OR(B227="",G227=""),"",I227-G227)</f>
        <v/>
      </c>
      <c r="K227" s="9">
        <f>IF(B227="","",IFERROR(AVERAGEIFS($B$2:$B$1001,$A$2:$A$1001,"&gt;="&amp;A227-6,$A$2:$A$1001,"&lt;="&amp;A227),""))</f>
        <v/>
      </c>
    </row>
    <row r="228">
      <c r="A228" s="7" t="n"/>
      <c r="B228" s="8" t="n"/>
      <c r="E228">
        <f>IF(C228="","",C228-Cfg_TDEE-IFERROR(D228,0))</f>
        <v/>
      </c>
      <c r="F228">
        <f>IF(E228="","",IFERROR(F227,0)+(-E228))</f>
        <v/>
      </c>
      <c r="G228" s="9">
        <f>IF(F228="","",F228/Cfg_FatConstant)</f>
        <v/>
      </c>
      <c r="H228" s="8">
        <f>IF(G228="","",Cfg_StartWeight-G228)</f>
        <v/>
      </c>
      <c r="I228" s="8">
        <f>IF(B228="","",Cfg_StartWeight-B228)</f>
        <v/>
      </c>
      <c r="J228" s="10">
        <f>IF(OR(B228="",G228=""),"",I228-G228)</f>
        <v/>
      </c>
      <c r="K228" s="9">
        <f>IF(B228="","",IFERROR(AVERAGEIFS($B$2:$B$1001,$A$2:$A$1001,"&gt;="&amp;A228-6,$A$2:$A$1001,"&lt;="&amp;A228),""))</f>
        <v/>
      </c>
    </row>
    <row r="229">
      <c r="A229" s="7" t="n"/>
      <c r="B229" s="8" t="n"/>
      <c r="E229">
        <f>IF(C229="","",C229-Cfg_TDEE-IFERROR(D229,0))</f>
        <v/>
      </c>
      <c r="F229">
        <f>IF(E229="","",IFERROR(F228,0)+(-E229))</f>
        <v/>
      </c>
      <c r="G229" s="9">
        <f>IF(F229="","",F229/Cfg_FatConstant)</f>
        <v/>
      </c>
      <c r="H229" s="8">
        <f>IF(G229="","",Cfg_StartWeight-G229)</f>
        <v/>
      </c>
      <c r="I229" s="8">
        <f>IF(B229="","",Cfg_StartWeight-B229)</f>
        <v/>
      </c>
      <c r="J229" s="10">
        <f>IF(OR(B229="",G229=""),"",I229-G229)</f>
        <v/>
      </c>
      <c r="K229" s="9">
        <f>IF(B229="","",IFERROR(AVERAGEIFS($B$2:$B$1001,$A$2:$A$1001,"&gt;="&amp;A229-6,$A$2:$A$1001,"&lt;="&amp;A229),""))</f>
        <v/>
      </c>
    </row>
    <row r="230">
      <c r="A230" s="7" t="n"/>
      <c r="B230" s="8" t="n"/>
      <c r="E230">
        <f>IF(C230="","",C230-Cfg_TDEE-IFERROR(D230,0))</f>
        <v/>
      </c>
      <c r="F230">
        <f>IF(E230="","",IFERROR(F229,0)+(-E230))</f>
        <v/>
      </c>
      <c r="G230" s="9">
        <f>IF(F230="","",F230/Cfg_FatConstant)</f>
        <v/>
      </c>
      <c r="H230" s="8">
        <f>IF(G230="","",Cfg_StartWeight-G230)</f>
        <v/>
      </c>
      <c r="I230" s="8">
        <f>IF(B230="","",Cfg_StartWeight-B230)</f>
        <v/>
      </c>
      <c r="J230" s="10">
        <f>IF(OR(B230="",G230=""),"",I230-G230)</f>
        <v/>
      </c>
      <c r="K230" s="9">
        <f>IF(B230="","",IFERROR(AVERAGEIFS($B$2:$B$1001,$A$2:$A$1001,"&gt;="&amp;A230-6,$A$2:$A$1001,"&lt;="&amp;A230),""))</f>
        <v/>
      </c>
    </row>
    <row r="231">
      <c r="A231" s="7" t="n"/>
      <c r="B231" s="8" t="n"/>
      <c r="E231">
        <f>IF(C231="","",C231-Cfg_TDEE-IFERROR(D231,0))</f>
        <v/>
      </c>
      <c r="F231">
        <f>IF(E231="","",IFERROR(F230,0)+(-E231))</f>
        <v/>
      </c>
      <c r="G231" s="9">
        <f>IF(F231="","",F231/Cfg_FatConstant)</f>
        <v/>
      </c>
      <c r="H231" s="8">
        <f>IF(G231="","",Cfg_StartWeight-G231)</f>
        <v/>
      </c>
      <c r="I231" s="8">
        <f>IF(B231="","",Cfg_StartWeight-B231)</f>
        <v/>
      </c>
      <c r="J231" s="10">
        <f>IF(OR(B231="",G231=""),"",I231-G231)</f>
        <v/>
      </c>
      <c r="K231" s="9">
        <f>IF(B231="","",IFERROR(AVERAGEIFS($B$2:$B$1001,$A$2:$A$1001,"&gt;="&amp;A231-6,$A$2:$A$1001,"&lt;="&amp;A231),""))</f>
        <v/>
      </c>
    </row>
    <row r="232">
      <c r="A232" s="7" t="n"/>
      <c r="B232" s="8" t="n"/>
      <c r="E232">
        <f>IF(C232="","",C232-Cfg_TDEE-IFERROR(D232,0))</f>
        <v/>
      </c>
      <c r="F232">
        <f>IF(E232="","",IFERROR(F231,0)+(-E232))</f>
        <v/>
      </c>
      <c r="G232" s="9">
        <f>IF(F232="","",F232/Cfg_FatConstant)</f>
        <v/>
      </c>
      <c r="H232" s="8">
        <f>IF(G232="","",Cfg_StartWeight-G232)</f>
        <v/>
      </c>
      <c r="I232" s="8">
        <f>IF(B232="","",Cfg_StartWeight-B232)</f>
        <v/>
      </c>
      <c r="J232" s="10">
        <f>IF(OR(B232="",G232=""),"",I232-G232)</f>
        <v/>
      </c>
      <c r="K232" s="9">
        <f>IF(B232="","",IFERROR(AVERAGEIFS($B$2:$B$1001,$A$2:$A$1001,"&gt;="&amp;A232-6,$A$2:$A$1001,"&lt;="&amp;A232),""))</f>
        <v/>
      </c>
    </row>
    <row r="233">
      <c r="A233" s="7" t="n"/>
      <c r="B233" s="8" t="n"/>
      <c r="E233">
        <f>IF(C233="","",C233-Cfg_TDEE-IFERROR(D233,0))</f>
        <v/>
      </c>
      <c r="F233">
        <f>IF(E233="","",IFERROR(F232,0)+(-E233))</f>
        <v/>
      </c>
      <c r="G233" s="9">
        <f>IF(F233="","",F233/Cfg_FatConstant)</f>
        <v/>
      </c>
      <c r="H233" s="8">
        <f>IF(G233="","",Cfg_StartWeight-G233)</f>
        <v/>
      </c>
      <c r="I233" s="8">
        <f>IF(B233="","",Cfg_StartWeight-B233)</f>
        <v/>
      </c>
      <c r="J233" s="10">
        <f>IF(OR(B233="",G233=""),"",I233-G233)</f>
        <v/>
      </c>
      <c r="K233" s="9">
        <f>IF(B233="","",IFERROR(AVERAGEIFS($B$2:$B$1001,$A$2:$A$1001,"&gt;="&amp;A233-6,$A$2:$A$1001,"&lt;="&amp;A233),""))</f>
        <v/>
      </c>
    </row>
    <row r="234">
      <c r="A234" s="7" t="n"/>
      <c r="B234" s="8" t="n"/>
      <c r="E234">
        <f>IF(C234="","",C234-Cfg_TDEE-IFERROR(D234,0))</f>
        <v/>
      </c>
      <c r="F234">
        <f>IF(E234="","",IFERROR(F233,0)+(-E234))</f>
        <v/>
      </c>
      <c r="G234" s="9">
        <f>IF(F234="","",F234/Cfg_FatConstant)</f>
        <v/>
      </c>
      <c r="H234" s="8">
        <f>IF(G234="","",Cfg_StartWeight-G234)</f>
        <v/>
      </c>
      <c r="I234" s="8">
        <f>IF(B234="","",Cfg_StartWeight-B234)</f>
        <v/>
      </c>
      <c r="J234" s="10">
        <f>IF(OR(B234="",G234=""),"",I234-G234)</f>
        <v/>
      </c>
      <c r="K234" s="9">
        <f>IF(B234="","",IFERROR(AVERAGEIFS($B$2:$B$1001,$A$2:$A$1001,"&gt;="&amp;A234-6,$A$2:$A$1001,"&lt;="&amp;A234),""))</f>
        <v/>
      </c>
    </row>
    <row r="235">
      <c r="A235" s="7" t="n"/>
      <c r="B235" s="8" t="n"/>
      <c r="E235">
        <f>IF(C235="","",C235-Cfg_TDEE-IFERROR(D235,0))</f>
        <v/>
      </c>
      <c r="F235">
        <f>IF(E235="","",IFERROR(F234,0)+(-E235))</f>
        <v/>
      </c>
      <c r="G235" s="9">
        <f>IF(F235="","",F235/Cfg_FatConstant)</f>
        <v/>
      </c>
      <c r="H235" s="8">
        <f>IF(G235="","",Cfg_StartWeight-G235)</f>
        <v/>
      </c>
      <c r="I235" s="8">
        <f>IF(B235="","",Cfg_StartWeight-B235)</f>
        <v/>
      </c>
      <c r="J235" s="10">
        <f>IF(OR(B235="",G235=""),"",I235-G235)</f>
        <v/>
      </c>
      <c r="K235" s="9">
        <f>IF(B235="","",IFERROR(AVERAGEIFS($B$2:$B$1001,$A$2:$A$1001,"&gt;="&amp;A235-6,$A$2:$A$1001,"&lt;="&amp;A235),""))</f>
        <v/>
      </c>
    </row>
    <row r="236">
      <c r="A236" s="7" t="n"/>
      <c r="B236" s="8" t="n"/>
      <c r="E236">
        <f>IF(C236="","",C236-Cfg_TDEE-IFERROR(D236,0))</f>
        <v/>
      </c>
      <c r="F236">
        <f>IF(E236="","",IFERROR(F235,0)+(-E236))</f>
        <v/>
      </c>
      <c r="G236" s="9">
        <f>IF(F236="","",F236/Cfg_FatConstant)</f>
        <v/>
      </c>
      <c r="H236" s="8">
        <f>IF(G236="","",Cfg_StartWeight-G236)</f>
        <v/>
      </c>
      <c r="I236" s="8">
        <f>IF(B236="","",Cfg_StartWeight-B236)</f>
        <v/>
      </c>
      <c r="J236" s="10">
        <f>IF(OR(B236="",G236=""),"",I236-G236)</f>
        <v/>
      </c>
      <c r="K236" s="9">
        <f>IF(B236="","",IFERROR(AVERAGEIFS($B$2:$B$1001,$A$2:$A$1001,"&gt;="&amp;A236-6,$A$2:$A$1001,"&lt;="&amp;A236),""))</f>
        <v/>
      </c>
    </row>
    <row r="237">
      <c r="A237" s="7" t="n"/>
      <c r="B237" s="8" t="n"/>
      <c r="E237">
        <f>IF(C237="","",C237-Cfg_TDEE-IFERROR(D237,0))</f>
        <v/>
      </c>
      <c r="F237">
        <f>IF(E237="","",IFERROR(F236,0)+(-E237))</f>
        <v/>
      </c>
      <c r="G237" s="9">
        <f>IF(F237="","",F237/Cfg_FatConstant)</f>
        <v/>
      </c>
      <c r="H237" s="8">
        <f>IF(G237="","",Cfg_StartWeight-G237)</f>
        <v/>
      </c>
      <c r="I237" s="8">
        <f>IF(B237="","",Cfg_StartWeight-B237)</f>
        <v/>
      </c>
      <c r="J237" s="10">
        <f>IF(OR(B237="",G237=""),"",I237-G237)</f>
        <v/>
      </c>
      <c r="K237" s="9">
        <f>IF(B237="","",IFERROR(AVERAGEIFS($B$2:$B$1001,$A$2:$A$1001,"&gt;="&amp;A237-6,$A$2:$A$1001,"&lt;="&amp;A237),""))</f>
        <v/>
      </c>
    </row>
    <row r="238">
      <c r="A238" s="7" t="n"/>
      <c r="B238" s="8" t="n"/>
      <c r="E238">
        <f>IF(C238="","",C238-Cfg_TDEE-IFERROR(D238,0))</f>
        <v/>
      </c>
      <c r="F238">
        <f>IF(E238="","",IFERROR(F237,0)+(-E238))</f>
        <v/>
      </c>
      <c r="G238" s="9">
        <f>IF(F238="","",F238/Cfg_FatConstant)</f>
        <v/>
      </c>
      <c r="H238" s="8">
        <f>IF(G238="","",Cfg_StartWeight-G238)</f>
        <v/>
      </c>
      <c r="I238" s="8">
        <f>IF(B238="","",Cfg_StartWeight-B238)</f>
        <v/>
      </c>
      <c r="J238" s="10">
        <f>IF(OR(B238="",G238=""),"",I238-G238)</f>
        <v/>
      </c>
      <c r="K238" s="9">
        <f>IF(B238="","",IFERROR(AVERAGEIFS($B$2:$B$1001,$A$2:$A$1001,"&gt;="&amp;A238-6,$A$2:$A$1001,"&lt;="&amp;A238),""))</f>
        <v/>
      </c>
    </row>
    <row r="239">
      <c r="A239" s="7" t="n"/>
      <c r="B239" s="8" t="n"/>
      <c r="E239">
        <f>IF(C239="","",C239-Cfg_TDEE-IFERROR(D239,0))</f>
        <v/>
      </c>
      <c r="F239">
        <f>IF(E239="","",IFERROR(F238,0)+(-E239))</f>
        <v/>
      </c>
      <c r="G239" s="9">
        <f>IF(F239="","",F239/Cfg_FatConstant)</f>
        <v/>
      </c>
      <c r="H239" s="8">
        <f>IF(G239="","",Cfg_StartWeight-G239)</f>
        <v/>
      </c>
      <c r="I239" s="8">
        <f>IF(B239="","",Cfg_StartWeight-B239)</f>
        <v/>
      </c>
      <c r="J239" s="10">
        <f>IF(OR(B239="",G239=""),"",I239-G239)</f>
        <v/>
      </c>
      <c r="K239" s="9">
        <f>IF(B239="","",IFERROR(AVERAGEIFS($B$2:$B$1001,$A$2:$A$1001,"&gt;="&amp;A239-6,$A$2:$A$1001,"&lt;="&amp;A239),""))</f>
        <v/>
      </c>
    </row>
    <row r="240">
      <c r="A240" s="7" t="n"/>
      <c r="B240" s="8" t="n"/>
      <c r="E240">
        <f>IF(C240="","",C240-Cfg_TDEE-IFERROR(D240,0))</f>
        <v/>
      </c>
      <c r="F240">
        <f>IF(E240="","",IFERROR(F239,0)+(-E240))</f>
        <v/>
      </c>
      <c r="G240" s="9">
        <f>IF(F240="","",F240/Cfg_FatConstant)</f>
        <v/>
      </c>
      <c r="H240" s="8">
        <f>IF(G240="","",Cfg_StartWeight-G240)</f>
        <v/>
      </c>
      <c r="I240" s="8">
        <f>IF(B240="","",Cfg_StartWeight-B240)</f>
        <v/>
      </c>
      <c r="J240" s="10">
        <f>IF(OR(B240="",G240=""),"",I240-G240)</f>
        <v/>
      </c>
      <c r="K240" s="9">
        <f>IF(B240="","",IFERROR(AVERAGEIFS($B$2:$B$1001,$A$2:$A$1001,"&gt;="&amp;A240-6,$A$2:$A$1001,"&lt;="&amp;A240),""))</f>
        <v/>
      </c>
    </row>
    <row r="241">
      <c r="A241" s="7" t="n"/>
      <c r="B241" s="8" t="n"/>
      <c r="E241">
        <f>IF(C241="","",C241-Cfg_TDEE-IFERROR(D241,0))</f>
        <v/>
      </c>
      <c r="F241">
        <f>IF(E241="","",IFERROR(F240,0)+(-E241))</f>
        <v/>
      </c>
      <c r="G241" s="9">
        <f>IF(F241="","",F241/Cfg_FatConstant)</f>
        <v/>
      </c>
      <c r="H241" s="8">
        <f>IF(G241="","",Cfg_StartWeight-G241)</f>
        <v/>
      </c>
      <c r="I241" s="8">
        <f>IF(B241="","",Cfg_StartWeight-B241)</f>
        <v/>
      </c>
      <c r="J241" s="10">
        <f>IF(OR(B241="",G241=""),"",I241-G241)</f>
        <v/>
      </c>
      <c r="K241" s="9">
        <f>IF(B241="","",IFERROR(AVERAGEIFS($B$2:$B$1001,$A$2:$A$1001,"&gt;="&amp;A241-6,$A$2:$A$1001,"&lt;="&amp;A241),""))</f>
        <v/>
      </c>
    </row>
    <row r="242">
      <c r="A242" s="7" t="n"/>
      <c r="B242" s="8" t="n"/>
      <c r="E242">
        <f>IF(C242="","",C242-Cfg_TDEE-IFERROR(D242,0))</f>
        <v/>
      </c>
      <c r="F242">
        <f>IF(E242="","",IFERROR(F241,0)+(-E242))</f>
        <v/>
      </c>
      <c r="G242" s="9">
        <f>IF(F242="","",F242/Cfg_FatConstant)</f>
        <v/>
      </c>
      <c r="H242" s="8">
        <f>IF(G242="","",Cfg_StartWeight-G242)</f>
        <v/>
      </c>
      <c r="I242" s="8">
        <f>IF(B242="","",Cfg_StartWeight-B242)</f>
        <v/>
      </c>
      <c r="J242" s="10">
        <f>IF(OR(B242="",G242=""),"",I242-G242)</f>
        <v/>
      </c>
      <c r="K242" s="9">
        <f>IF(B242="","",IFERROR(AVERAGEIFS($B$2:$B$1001,$A$2:$A$1001,"&gt;="&amp;A242-6,$A$2:$A$1001,"&lt;="&amp;A242),""))</f>
        <v/>
      </c>
    </row>
    <row r="243">
      <c r="A243" s="7" t="n"/>
      <c r="B243" s="8" t="n"/>
      <c r="E243">
        <f>IF(C243="","",C243-Cfg_TDEE-IFERROR(D243,0))</f>
        <v/>
      </c>
      <c r="F243">
        <f>IF(E243="","",IFERROR(F242,0)+(-E243))</f>
        <v/>
      </c>
      <c r="G243" s="9">
        <f>IF(F243="","",F243/Cfg_FatConstant)</f>
        <v/>
      </c>
      <c r="H243" s="8">
        <f>IF(G243="","",Cfg_StartWeight-G243)</f>
        <v/>
      </c>
      <c r="I243" s="8">
        <f>IF(B243="","",Cfg_StartWeight-B243)</f>
        <v/>
      </c>
      <c r="J243" s="10">
        <f>IF(OR(B243="",G243=""),"",I243-G243)</f>
        <v/>
      </c>
      <c r="K243" s="9">
        <f>IF(B243="","",IFERROR(AVERAGEIFS($B$2:$B$1001,$A$2:$A$1001,"&gt;="&amp;A243-6,$A$2:$A$1001,"&lt;="&amp;A243),""))</f>
        <v/>
      </c>
    </row>
    <row r="244">
      <c r="A244" s="7" t="n"/>
      <c r="B244" s="8" t="n"/>
      <c r="E244">
        <f>IF(C244="","",C244-Cfg_TDEE-IFERROR(D244,0))</f>
        <v/>
      </c>
      <c r="F244">
        <f>IF(E244="","",IFERROR(F243,0)+(-E244))</f>
        <v/>
      </c>
      <c r="G244" s="9">
        <f>IF(F244="","",F244/Cfg_FatConstant)</f>
        <v/>
      </c>
      <c r="H244" s="8">
        <f>IF(G244="","",Cfg_StartWeight-G244)</f>
        <v/>
      </c>
      <c r="I244" s="8">
        <f>IF(B244="","",Cfg_StartWeight-B244)</f>
        <v/>
      </c>
      <c r="J244" s="10">
        <f>IF(OR(B244="",G244=""),"",I244-G244)</f>
        <v/>
      </c>
      <c r="K244" s="9">
        <f>IF(B244="","",IFERROR(AVERAGEIFS($B$2:$B$1001,$A$2:$A$1001,"&gt;="&amp;A244-6,$A$2:$A$1001,"&lt;="&amp;A244),""))</f>
        <v/>
      </c>
    </row>
    <row r="245">
      <c r="A245" s="7" t="n"/>
      <c r="B245" s="8" t="n"/>
      <c r="E245">
        <f>IF(C245="","",C245-Cfg_TDEE-IFERROR(D245,0))</f>
        <v/>
      </c>
      <c r="F245">
        <f>IF(E245="","",IFERROR(F244,0)+(-E245))</f>
        <v/>
      </c>
      <c r="G245" s="9">
        <f>IF(F245="","",F245/Cfg_FatConstant)</f>
        <v/>
      </c>
      <c r="H245" s="8">
        <f>IF(G245="","",Cfg_StartWeight-G245)</f>
        <v/>
      </c>
      <c r="I245" s="8">
        <f>IF(B245="","",Cfg_StartWeight-B245)</f>
        <v/>
      </c>
      <c r="J245" s="10">
        <f>IF(OR(B245="",G245=""),"",I245-G245)</f>
        <v/>
      </c>
      <c r="K245" s="9">
        <f>IF(B245="","",IFERROR(AVERAGEIFS($B$2:$B$1001,$A$2:$A$1001,"&gt;="&amp;A245-6,$A$2:$A$1001,"&lt;="&amp;A245),""))</f>
        <v/>
      </c>
    </row>
    <row r="246">
      <c r="A246" s="7" t="n"/>
      <c r="B246" s="8" t="n"/>
      <c r="E246">
        <f>IF(C246="","",C246-Cfg_TDEE-IFERROR(D246,0))</f>
        <v/>
      </c>
      <c r="F246">
        <f>IF(E246="","",IFERROR(F245,0)+(-E246))</f>
        <v/>
      </c>
      <c r="G246" s="9">
        <f>IF(F246="","",F246/Cfg_FatConstant)</f>
        <v/>
      </c>
      <c r="H246" s="8">
        <f>IF(G246="","",Cfg_StartWeight-G246)</f>
        <v/>
      </c>
      <c r="I246" s="8">
        <f>IF(B246="","",Cfg_StartWeight-B246)</f>
        <v/>
      </c>
      <c r="J246" s="10">
        <f>IF(OR(B246="",G246=""),"",I246-G246)</f>
        <v/>
      </c>
      <c r="K246" s="9">
        <f>IF(B246="","",IFERROR(AVERAGEIFS($B$2:$B$1001,$A$2:$A$1001,"&gt;="&amp;A246-6,$A$2:$A$1001,"&lt;="&amp;A246),""))</f>
        <v/>
      </c>
    </row>
    <row r="247">
      <c r="A247" s="7" t="n"/>
      <c r="B247" s="8" t="n"/>
      <c r="E247">
        <f>IF(C247="","",C247-Cfg_TDEE-IFERROR(D247,0))</f>
        <v/>
      </c>
      <c r="F247">
        <f>IF(E247="","",IFERROR(F246,0)+(-E247))</f>
        <v/>
      </c>
      <c r="G247" s="9">
        <f>IF(F247="","",F247/Cfg_FatConstant)</f>
        <v/>
      </c>
      <c r="H247" s="8">
        <f>IF(G247="","",Cfg_StartWeight-G247)</f>
        <v/>
      </c>
      <c r="I247" s="8">
        <f>IF(B247="","",Cfg_StartWeight-B247)</f>
        <v/>
      </c>
      <c r="J247" s="10">
        <f>IF(OR(B247="",G247=""),"",I247-G247)</f>
        <v/>
      </c>
      <c r="K247" s="9">
        <f>IF(B247="","",IFERROR(AVERAGEIFS($B$2:$B$1001,$A$2:$A$1001,"&gt;="&amp;A247-6,$A$2:$A$1001,"&lt;="&amp;A247),""))</f>
        <v/>
      </c>
    </row>
    <row r="248">
      <c r="A248" s="7" t="n"/>
      <c r="B248" s="8" t="n"/>
      <c r="E248">
        <f>IF(C248="","",C248-Cfg_TDEE-IFERROR(D248,0))</f>
        <v/>
      </c>
      <c r="F248">
        <f>IF(E248="","",IFERROR(F247,0)+(-E248))</f>
        <v/>
      </c>
      <c r="G248" s="9">
        <f>IF(F248="","",F248/Cfg_FatConstant)</f>
        <v/>
      </c>
      <c r="H248" s="8">
        <f>IF(G248="","",Cfg_StartWeight-G248)</f>
        <v/>
      </c>
      <c r="I248" s="8">
        <f>IF(B248="","",Cfg_StartWeight-B248)</f>
        <v/>
      </c>
      <c r="J248" s="10">
        <f>IF(OR(B248="",G248=""),"",I248-G248)</f>
        <v/>
      </c>
      <c r="K248" s="9">
        <f>IF(B248="","",IFERROR(AVERAGEIFS($B$2:$B$1001,$A$2:$A$1001,"&gt;="&amp;A248-6,$A$2:$A$1001,"&lt;="&amp;A248),""))</f>
        <v/>
      </c>
    </row>
    <row r="249">
      <c r="A249" s="7" t="n"/>
      <c r="B249" s="8" t="n"/>
      <c r="E249">
        <f>IF(C249="","",C249-Cfg_TDEE-IFERROR(D249,0))</f>
        <v/>
      </c>
      <c r="F249">
        <f>IF(E249="","",IFERROR(F248,0)+(-E249))</f>
        <v/>
      </c>
      <c r="G249" s="9">
        <f>IF(F249="","",F249/Cfg_FatConstant)</f>
        <v/>
      </c>
      <c r="H249" s="8">
        <f>IF(G249="","",Cfg_StartWeight-G249)</f>
        <v/>
      </c>
      <c r="I249" s="8">
        <f>IF(B249="","",Cfg_StartWeight-B249)</f>
        <v/>
      </c>
      <c r="J249" s="10">
        <f>IF(OR(B249="",G249=""),"",I249-G249)</f>
        <v/>
      </c>
      <c r="K249" s="9">
        <f>IF(B249="","",IFERROR(AVERAGEIFS($B$2:$B$1001,$A$2:$A$1001,"&gt;="&amp;A249-6,$A$2:$A$1001,"&lt;="&amp;A249),""))</f>
        <v/>
      </c>
    </row>
    <row r="250">
      <c r="A250" s="7" t="n"/>
      <c r="B250" s="8" t="n"/>
      <c r="E250">
        <f>IF(C250="","",C250-Cfg_TDEE-IFERROR(D250,0))</f>
        <v/>
      </c>
      <c r="F250">
        <f>IF(E250="","",IFERROR(F249,0)+(-E250))</f>
        <v/>
      </c>
      <c r="G250" s="9">
        <f>IF(F250="","",F250/Cfg_FatConstant)</f>
        <v/>
      </c>
      <c r="H250" s="8">
        <f>IF(G250="","",Cfg_StartWeight-G250)</f>
        <v/>
      </c>
      <c r="I250" s="8">
        <f>IF(B250="","",Cfg_StartWeight-B250)</f>
        <v/>
      </c>
      <c r="J250" s="10">
        <f>IF(OR(B250="",G250=""),"",I250-G250)</f>
        <v/>
      </c>
      <c r="K250" s="9">
        <f>IF(B250="","",IFERROR(AVERAGEIFS($B$2:$B$1001,$A$2:$A$1001,"&gt;="&amp;A250-6,$A$2:$A$1001,"&lt;="&amp;A250),""))</f>
        <v/>
      </c>
    </row>
    <row r="251">
      <c r="A251" s="7" t="n"/>
      <c r="B251" s="8" t="n"/>
      <c r="E251">
        <f>IF(C251="","",C251-Cfg_TDEE-IFERROR(D251,0))</f>
        <v/>
      </c>
      <c r="F251">
        <f>IF(E251="","",IFERROR(F250,0)+(-E251))</f>
        <v/>
      </c>
      <c r="G251" s="9">
        <f>IF(F251="","",F251/Cfg_FatConstant)</f>
        <v/>
      </c>
      <c r="H251" s="8">
        <f>IF(G251="","",Cfg_StartWeight-G251)</f>
        <v/>
      </c>
      <c r="I251" s="8">
        <f>IF(B251="","",Cfg_StartWeight-B251)</f>
        <v/>
      </c>
      <c r="J251" s="10">
        <f>IF(OR(B251="",G251=""),"",I251-G251)</f>
        <v/>
      </c>
      <c r="K251" s="9">
        <f>IF(B251="","",IFERROR(AVERAGEIFS($B$2:$B$1001,$A$2:$A$1001,"&gt;="&amp;A251-6,$A$2:$A$1001,"&lt;="&amp;A251),""))</f>
        <v/>
      </c>
    </row>
    <row r="252">
      <c r="A252" s="7" t="n"/>
      <c r="B252" s="8" t="n"/>
      <c r="E252">
        <f>IF(C252="","",C252-Cfg_TDEE-IFERROR(D252,0))</f>
        <v/>
      </c>
      <c r="F252">
        <f>IF(E252="","",IFERROR(F251,0)+(-E252))</f>
        <v/>
      </c>
      <c r="G252" s="9">
        <f>IF(F252="","",F252/Cfg_FatConstant)</f>
        <v/>
      </c>
      <c r="H252" s="8">
        <f>IF(G252="","",Cfg_StartWeight-G252)</f>
        <v/>
      </c>
      <c r="I252" s="8">
        <f>IF(B252="","",Cfg_StartWeight-B252)</f>
        <v/>
      </c>
      <c r="J252" s="10">
        <f>IF(OR(B252="",G252=""),"",I252-G252)</f>
        <v/>
      </c>
      <c r="K252" s="9">
        <f>IF(B252="","",IFERROR(AVERAGEIFS($B$2:$B$1001,$A$2:$A$1001,"&gt;="&amp;A252-6,$A$2:$A$1001,"&lt;="&amp;A252),""))</f>
        <v/>
      </c>
    </row>
    <row r="253">
      <c r="A253" s="7" t="n"/>
      <c r="B253" s="8" t="n"/>
      <c r="E253">
        <f>IF(C253="","",C253-Cfg_TDEE-IFERROR(D253,0))</f>
        <v/>
      </c>
      <c r="F253">
        <f>IF(E253="","",IFERROR(F252,0)+(-E253))</f>
        <v/>
      </c>
      <c r="G253" s="9">
        <f>IF(F253="","",F253/Cfg_FatConstant)</f>
        <v/>
      </c>
      <c r="H253" s="8">
        <f>IF(G253="","",Cfg_StartWeight-G253)</f>
        <v/>
      </c>
      <c r="I253" s="8">
        <f>IF(B253="","",Cfg_StartWeight-B253)</f>
        <v/>
      </c>
      <c r="J253" s="10">
        <f>IF(OR(B253="",G253=""),"",I253-G253)</f>
        <v/>
      </c>
      <c r="K253" s="9">
        <f>IF(B253="","",IFERROR(AVERAGEIFS($B$2:$B$1001,$A$2:$A$1001,"&gt;="&amp;A253-6,$A$2:$A$1001,"&lt;="&amp;A253),""))</f>
        <v/>
      </c>
    </row>
    <row r="254">
      <c r="A254" s="7" t="n"/>
      <c r="B254" s="8" t="n"/>
      <c r="E254">
        <f>IF(C254="","",C254-Cfg_TDEE-IFERROR(D254,0))</f>
        <v/>
      </c>
      <c r="F254">
        <f>IF(E254="","",IFERROR(F253,0)+(-E254))</f>
        <v/>
      </c>
      <c r="G254" s="9">
        <f>IF(F254="","",F254/Cfg_FatConstant)</f>
        <v/>
      </c>
      <c r="H254" s="8">
        <f>IF(G254="","",Cfg_StartWeight-G254)</f>
        <v/>
      </c>
      <c r="I254" s="8">
        <f>IF(B254="","",Cfg_StartWeight-B254)</f>
        <v/>
      </c>
      <c r="J254" s="10">
        <f>IF(OR(B254="",G254=""),"",I254-G254)</f>
        <v/>
      </c>
      <c r="K254" s="9">
        <f>IF(B254="","",IFERROR(AVERAGEIFS($B$2:$B$1001,$A$2:$A$1001,"&gt;="&amp;A254-6,$A$2:$A$1001,"&lt;="&amp;A254),""))</f>
        <v/>
      </c>
    </row>
    <row r="255">
      <c r="A255" s="7" t="n"/>
      <c r="B255" s="8" t="n"/>
      <c r="E255">
        <f>IF(C255="","",C255-Cfg_TDEE-IFERROR(D255,0))</f>
        <v/>
      </c>
      <c r="F255">
        <f>IF(E255="","",IFERROR(F254,0)+(-E255))</f>
        <v/>
      </c>
      <c r="G255" s="9">
        <f>IF(F255="","",F255/Cfg_FatConstant)</f>
        <v/>
      </c>
      <c r="H255" s="8">
        <f>IF(G255="","",Cfg_StartWeight-G255)</f>
        <v/>
      </c>
      <c r="I255" s="8">
        <f>IF(B255="","",Cfg_StartWeight-B255)</f>
        <v/>
      </c>
      <c r="J255" s="10">
        <f>IF(OR(B255="",G255=""),"",I255-G255)</f>
        <v/>
      </c>
      <c r="K255" s="9">
        <f>IF(B255="","",IFERROR(AVERAGEIFS($B$2:$B$1001,$A$2:$A$1001,"&gt;="&amp;A255-6,$A$2:$A$1001,"&lt;="&amp;A255),""))</f>
        <v/>
      </c>
    </row>
    <row r="256">
      <c r="A256" s="7" t="n"/>
      <c r="B256" s="8" t="n"/>
      <c r="E256">
        <f>IF(C256="","",C256-Cfg_TDEE-IFERROR(D256,0))</f>
        <v/>
      </c>
      <c r="F256">
        <f>IF(E256="","",IFERROR(F255,0)+(-E256))</f>
        <v/>
      </c>
      <c r="G256" s="9">
        <f>IF(F256="","",F256/Cfg_FatConstant)</f>
        <v/>
      </c>
      <c r="H256" s="8">
        <f>IF(G256="","",Cfg_StartWeight-G256)</f>
        <v/>
      </c>
      <c r="I256" s="8">
        <f>IF(B256="","",Cfg_StartWeight-B256)</f>
        <v/>
      </c>
      <c r="J256" s="10">
        <f>IF(OR(B256="",G256=""),"",I256-G256)</f>
        <v/>
      </c>
      <c r="K256" s="9">
        <f>IF(B256="","",IFERROR(AVERAGEIFS($B$2:$B$1001,$A$2:$A$1001,"&gt;="&amp;A256-6,$A$2:$A$1001,"&lt;="&amp;A256),""))</f>
        <v/>
      </c>
    </row>
    <row r="257">
      <c r="A257" s="7" t="n"/>
      <c r="B257" s="8" t="n"/>
      <c r="E257">
        <f>IF(C257="","",C257-Cfg_TDEE-IFERROR(D257,0))</f>
        <v/>
      </c>
      <c r="F257">
        <f>IF(E257="","",IFERROR(F256,0)+(-E257))</f>
        <v/>
      </c>
      <c r="G257" s="9">
        <f>IF(F257="","",F257/Cfg_FatConstant)</f>
        <v/>
      </c>
      <c r="H257" s="8">
        <f>IF(G257="","",Cfg_StartWeight-G257)</f>
        <v/>
      </c>
      <c r="I257" s="8">
        <f>IF(B257="","",Cfg_StartWeight-B257)</f>
        <v/>
      </c>
      <c r="J257" s="10">
        <f>IF(OR(B257="",G257=""),"",I257-G257)</f>
        <v/>
      </c>
      <c r="K257" s="9">
        <f>IF(B257="","",IFERROR(AVERAGEIFS($B$2:$B$1001,$A$2:$A$1001,"&gt;="&amp;A257-6,$A$2:$A$1001,"&lt;="&amp;A257),""))</f>
        <v/>
      </c>
    </row>
    <row r="258">
      <c r="A258" s="7" t="n"/>
      <c r="B258" s="8" t="n"/>
      <c r="E258">
        <f>IF(C258="","",C258-Cfg_TDEE-IFERROR(D258,0))</f>
        <v/>
      </c>
      <c r="F258">
        <f>IF(E258="","",IFERROR(F257,0)+(-E258))</f>
        <v/>
      </c>
      <c r="G258" s="9">
        <f>IF(F258="","",F258/Cfg_FatConstant)</f>
        <v/>
      </c>
      <c r="H258" s="8">
        <f>IF(G258="","",Cfg_StartWeight-G258)</f>
        <v/>
      </c>
      <c r="I258" s="8">
        <f>IF(B258="","",Cfg_StartWeight-B258)</f>
        <v/>
      </c>
      <c r="J258" s="10">
        <f>IF(OR(B258="",G258=""),"",I258-G258)</f>
        <v/>
      </c>
      <c r="K258" s="9">
        <f>IF(B258="","",IFERROR(AVERAGEIFS($B$2:$B$1001,$A$2:$A$1001,"&gt;="&amp;A258-6,$A$2:$A$1001,"&lt;="&amp;A258),""))</f>
        <v/>
      </c>
    </row>
    <row r="259">
      <c r="A259" s="7" t="n"/>
      <c r="B259" s="8" t="n"/>
      <c r="E259">
        <f>IF(C259="","",C259-Cfg_TDEE-IFERROR(D259,0))</f>
        <v/>
      </c>
      <c r="F259">
        <f>IF(E259="","",IFERROR(F258,0)+(-E259))</f>
        <v/>
      </c>
      <c r="G259" s="9">
        <f>IF(F259="","",F259/Cfg_FatConstant)</f>
        <v/>
      </c>
      <c r="H259" s="8">
        <f>IF(G259="","",Cfg_StartWeight-G259)</f>
        <v/>
      </c>
      <c r="I259" s="8">
        <f>IF(B259="","",Cfg_StartWeight-B259)</f>
        <v/>
      </c>
      <c r="J259" s="10">
        <f>IF(OR(B259="",G259=""),"",I259-G259)</f>
        <v/>
      </c>
      <c r="K259" s="9">
        <f>IF(B259="","",IFERROR(AVERAGEIFS($B$2:$B$1001,$A$2:$A$1001,"&gt;="&amp;A259-6,$A$2:$A$1001,"&lt;="&amp;A259),""))</f>
        <v/>
      </c>
    </row>
    <row r="260">
      <c r="A260" s="7" t="n"/>
      <c r="B260" s="8" t="n"/>
      <c r="E260">
        <f>IF(C260="","",C260-Cfg_TDEE-IFERROR(D260,0))</f>
        <v/>
      </c>
      <c r="F260">
        <f>IF(E260="","",IFERROR(F259,0)+(-E260))</f>
        <v/>
      </c>
      <c r="G260" s="9">
        <f>IF(F260="","",F260/Cfg_FatConstant)</f>
        <v/>
      </c>
      <c r="H260" s="8">
        <f>IF(G260="","",Cfg_StartWeight-G260)</f>
        <v/>
      </c>
      <c r="I260" s="8">
        <f>IF(B260="","",Cfg_StartWeight-B260)</f>
        <v/>
      </c>
      <c r="J260" s="10">
        <f>IF(OR(B260="",G260=""),"",I260-G260)</f>
        <v/>
      </c>
      <c r="K260" s="9">
        <f>IF(B260="","",IFERROR(AVERAGEIFS($B$2:$B$1001,$A$2:$A$1001,"&gt;="&amp;A260-6,$A$2:$A$1001,"&lt;="&amp;A260),""))</f>
        <v/>
      </c>
    </row>
    <row r="261">
      <c r="A261" s="7" t="n"/>
      <c r="B261" s="8" t="n"/>
      <c r="E261">
        <f>IF(C261="","",C261-Cfg_TDEE-IFERROR(D261,0))</f>
        <v/>
      </c>
      <c r="F261">
        <f>IF(E261="","",IFERROR(F260,0)+(-E261))</f>
        <v/>
      </c>
      <c r="G261" s="9">
        <f>IF(F261="","",F261/Cfg_FatConstant)</f>
        <v/>
      </c>
      <c r="H261" s="8">
        <f>IF(G261="","",Cfg_StartWeight-G261)</f>
        <v/>
      </c>
      <c r="I261" s="8">
        <f>IF(B261="","",Cfg_StartWeight-B261)</f>
        <v/>
      </c>
      <c r="J261" s="10">
        <f>IF(OR(B261="",G261=""),"",I261-G261)</f>
        <v/>
      </c>
      <c r="K261" s="9">
        <f>IF(B261="","",IFERROR(AVERAGEIFS($B$2:$B$1001,$A$2:$A$1001,"&gt;="&amp;A261-6,$A$2:$A$1001,"&lt;="&amp;A261),""))</f>
        <v/>
      </c>
    </row>
    <row r="262">
      <c r="A262" s="7" t="n"/>
      <c r="B262" s="8" t="n"/>
      <c r="E262">
        <f>IF(C262="","",C262-Cfg_TDEE-IFERROR(D262,0))</f>
        <v/>
      </c>
      <c r="F262">
        <f>IF(E262="","",IFERROR(F261,0)+(-E262))</f>
        <v/>
      </c>
      <c r="G262" s="9">
        <f>IF(F262="","",F262/Cfg_FatConstant)</f>
        <v/>
      </c>
      <c r="H262" s="8">
        <f>IF(G262="","",Cfg_StartWeight-G262)</f>
        <v/>
      </c>
      <c r="I262" s="8">
        <f>IF(B262="","",Cfg_StartWeight-B262)</f>
        <v/>
      </c>
      <c r="J262" s="10">
        <f>IF(OR(B262="",G262=""),"",I262-G262)</f>
        <v/>
      </c>
      <c r="K262" s="9">
        <f>IF(B262="","",IFERROR(AVERAGEIFS($B$2:$B$1001,$A$2:$A$1001,"&gt;="&amp;A262-6,$A$2:$A$1001,"&lt;="&amp;A262),""))</f>
        <v/>
      </c>
    </row>
    <row r="263">
      <c r="A263" s="7" t="n"/>
      <c r="B263" s="8" t="n"/>
      <c r="E263">
        <f>IF(C263="","",C263-Cfg_TDEE-IFERROR(D263,0))</f>
        <v/>
      </c>
      <c r="F263">
        <f>IF(E263="","",IFERROR(F262,0)+(-E263))</f>
        <v/>
      </c>
      <c r="G263" s="9">
        <f>IF(F263="","",F263/Cfg_FatConstant)</f>
        <v/>
      </c>
      <c r="H263" s="8">
        <f>IF(G263="","",Cfg_StartWeight-G263)</f>
        <v/>
      </c>
      <c r="I263" s="8">
        <f>IF(B263="","",Cfg_StartWeight-B263)</f>
        <v/>
      </c>
      <c r="J263" s="10">
        <f>IF(OR(B263="",G263=""),"",I263-G263)</f>
        <v/>
      </c>
      <c r="K263" s="9">
        <f>IF(B263="","",IFERROR(AVERAGEIFS($B$2:$B$1001,$A$2:$A$1001,"&gt;="&amp;A263-6,$A$2:$A$1001,"&lt;="&amp;A263),""))</f>
        <v/>
      </c>
    </row>
    <row r="264">
      <c r="A264" s="7" t="n"/>
      <c r="B264" s="8" t="n"/>
      <c r="E264">
        <f>IF(C264="","",C264-Cfg_TDEE-IFERROR(D264,0))</f>
        <v/>
      </c>
      <c r="F264">
        <f>IF(E264="","",IFERROR(F263,0)+(-E264))</f>
        <v/>
      </c>
      <c r="G264" s="9">
        <f>IF(F264="","",F264/Cfg_FatConstant)</f>
        <v/>
      </c>
      <c r="H264" s="8">
        <f>IF(G264="","",Cfg_StartWeight-G264)</f>
        <v/>
      </c>
      <c r="I264" s="8">
        <f>IF(B264="","",Cfg_StartWeight-B264)</f>
        <v/>
      </c>
      <c r="J264" s="10">
        <f>IF(OR(B264="",G264=""),"",I264-G264)</f>
        <v/>
      </c>
      <c r="K264" s="9">
        <f>IF(B264="","",IFERROR(AVERAGEIFS($B$2:$B$1001,$A$2:$A$1001,"&gt;="&amp;A264-6,$A$2:$A$1001,"&lt;="&amp;A264),""))</f>
        <v/>
      </c>
    </row>
    <row r="265">
      <c r="A265" s="7" t="n"/>
      <c r="B265" s="8" t="n"/>
      <c r="E265">
        <f>IF(C265="","",C265-Cfg_TDEE-IFERROR(D265,0))</f>
        <v/>
      </c>
      <c r="F265">
        <f>IF(E265="","",IFERROR(F264,0)+(-E265))</f>
        <v/>
      </c>
      <c r="G265" s="9">
        <f>IF(F265="","",F265/Cfg_FatConstant)</f>
        <v/>
      </c>
      <c r="H265" s="8">
        <f>IF(G265="","",Cfg_StartWeight-G265)</f>
        <v/>
      </c>
      <c r="I265" s="8">
        <f>IF(B265="","",Cfg_StartWeight-B265)</f>
        <v/>
      </c>
      <c r="J265" s="10">
        <f>IF(OR(B265="",G265=""),"",I265-G265)</f>
        <v/>
      </c>
      <c r="K265" s="9">
        <f>IF(B265="","",IFERROR(AVERAGEIFS($B$2:$B$1001,$A$2:$A$1001,"&gt;="&amp;A265-6,$A$2:$A$1001,"&lt;="&amp;A265),""))</f>
        <v/>
      </c>
    </row>
    <row r="266">
      <c r="A266" s="7" t="n"/>
      <c r="B266" s="8" t="n"/>
      <c r="E266">
        <f>IF(C266="","",C266-Cfg_TDEE-IFERROR(D266,0))</f>
        <v/>
      </c>
      <c r="F266">
        <f>IF(E266="","",IFERROR(F265,0)+(-E266))</f>
        <v/>
      </c>
      <c r="G266" s="9">
        <f>IF(F266="","",F266/Cfg_FatConstant)</f>
        <v/>
      </c>
      <c r="H266" s="8">
        <f>IF(G266="","",Cfg_StartWeight-G266)</f>
        <v/>
      </c>
      <c r="I266" s="8">
        <f>IF(B266="","",Cfg_StartWeight-B266)</f>
        <v/>
      </c>
      <c r="J266" s="10">
        <f>IF(OR(B266="",G266=""),"",I266-G266)</f>
        <v/>
      </c>
      <c r="K266" s="9">
        <f>IF(B266="","",IFERROR(AVERAGEIFS($B$2:$B$1001,$A$2:$A$1001,"&gt;="&amp;A266-6,$A$2:$A$1001,"&lt;="&amp;A266),""))</f>
        <v/>
      </c>
    </row>
    <row r="267">
      <c r="A267" s="7" t="n"/>
      <c r="B267" s="8" t="n"/>
      <c r="E267">
        <f>IF(C267="","",C267-Cfg_TDEE-IFERROR(D267,0))</f>
        <v/>
      </c>
      <c r="F267">
        <f>IF(E267="","",IFERROR(F266,0)+(-E267))</f>
        <v/>
      </c>
      <c r="G267" s="9">
        <f>IF(F267="","",F267/Cfg_FatConstant)</f>
        <v/>
      </c>
      <c r="H267" s="8">
        <f>IF(G267="","",Cfg_StartWeight-G267)</f>
        <v/>
      </c>
      <c r="I267" s="8">
        <f>IF(B267="","",Cfg_StartWeight-B267)</f>
        <v/>
      </c>
      <c r="J267" s="10">
        <f>IF(OR(B267="",G267=""),"",I267-G267)</f>
        <v/>
      </c>
      <c r="K267" s="9">
        <f>IF(B267="","",IFERROR(AVERAGEIFS($B$2:$B$1001,$A$2:$A$1001,"&gt;="&amp;A267-6,$A$2:$A$1001,"&lt;="&amp;A267),""))</f>
        <v/>
      </c>
    </row>
    <row r="268">
      <c r="A268" s="7" t="n"/>
      <c r="B268" s="8" t="n"/>
      <c r="E268">
        <f>IF(C268="","",C268-Cfg_TDEE-IFERROR(D268,0))</f>
        <v/>
      </c>
      <c r="F268">
        <f>IF(E268="","",IFERROR(F267,0)+(-E268))</f>
        <v/>
      </c>
      <c r="G268" s="9">
        <f>IF(F268="","",F268/Cfg_FatConstant)</f>
        <v/>
      </c>
      <c r="H268" s="8">
        <f>IF(G268="","",Cfg_StartWeight-G268)</f>
        <v/>
      </c>
      <c r="I268" s="8">
        <f>IF(B268="","",Cfg_StartWeight-B268)</f>
        <v/>
      </c>
      <c r="J268" s="10">
        <f>IF(OR(B268="",G268=""),"",I268-G268)</f>
        <v/>
      </c>
      <c r="K268" s="9">
        <f>IF(B268="","",IFERROR(AVERAGEIFS($B$2:$B$1001,$A$2:$A$1001,"&gt;="&amp;A268-6,$A$2:$A$1001,"&lt;="&amp;A268),""))</f>
        <v/>
      </c>
    </row>
    <row r="269">
      <c r="A269" s="7" t="n"/>
      <c r="B269" s="8" t="n"/>
      <c r="E269">
        <f>IF(C269="","",C269-Cfg_TDEE-IFERROR(D269,0))</f>
        <v/>
      </c>
      <c r="F269">
        <f>IF(E269="","",IFERROR(F268,0)+(-E269))</f>
        <v/>
      </c>
      <c r="G269" s="9">
        <f>IF(F269="","",F269/Cfg_FatConstant)</f>
        <v/>
      </c>
      <c r="H269" s="8">
        <f>IF(G269="","",Cfg_StartWeight-G269)</f>
        <v/>
      </c>
      <c r="I269" s="8">
        <f>IF(B269="","",Cfg_StartWeight-B269)</f>
        <v/>
      </c>
      <c r="J269" s="10">
        <f>IF(OR(B269="",G269=""),"",I269-G269)</f>
        <v/>
      </c>
      <c r="K269" s="9">
        <f>IF(B269="","",IFERROR(AVERAGEIFS($B$2:$B$1001,$A$2:$A$1001,"&gt;="&amp;A269-6,$A$2:$A$1001,"&lt;="&amp;A269),""))</f>
        <v/>
      </c>
    </row>
    <row r="270">
      <c r="A270" s="7" t="n"/>
      <c r="B270" s="8" t="n"/>
      <c r="E270">
        <f>IF(C270="","",C270-Cfg_TDEE-IFERROR(D270,0))</f>
        <v/>
      </c>
      <c r="F270">
        <f>IF(E270="","",IFERROR(F269,0)+(-E270))</f>
        <v/>
      </c>
      <c r="G270" s="9">
        <f>IF(F270="","",F270/Cfg_FatConstant)</f>
        <v/>
      </c>
      <c r="H270" s="8">
        <f>IF(G270="","",Cfg_StartWeight-G270)</f>
        <v/>
      </c>
      <c r="I270" s="8">
        <f>IF(B270="","",Cfg_StartWeight-B270)</f>
        <v/>
      </c>
      <c r="J270" s="10">
        <f>IF(OR(B270="",G270=""),"",I270-G270)</f>
        <v/>
      </c>
      <c r="K270" s="9">
        <f>IF(B270="","",IFERROR(AVERAGEIFS($B$2:$B$1001,$A$2:$A$1001,"&gt;="&amp;A270-6,$A$2:$A$1001,"&lt;="&amp;A270),""))</f>
        <v/>
      </c>
    </row>
    <row r="271">
      <c r="A271" s="7" t="n"/>
      <c r="B271" s="8" t="n"/>
      <c r="E271">
        <f>IF(C271="","",C271-Cfg_TDEE-IFERROR(D271,0))</f>
        <v/>
      </c>
      <c r="F271">
        <f>IF(E271="","",IFERROR(F270,0)+(-E271))</f>
        <v/>
      </c>
      <c r="G271" s="9">
        <f>IF(F271="","",F271/Cfg_FatConstant)</f>
        <v/>
      </c>
      <c r="H271" s="8">
        <f>IF(G271="","",Cfg_StartWeight-G271)</f>
        <v/>
      </c>
      <c r="I271" s="8">
        <f>IF(B271="","",Cfg_StartWeight-B271)</f>
        <v/>
      </c>
      <c r="J271" s="10">
        <f>IF(OR(B271="",G271=""),"",I271-G271)</f>
        <v/>
      </c>
      <c r="K271" s="9">
        <f>IF(B271="","",IFERROR(AVERAGEIFS($B$2:$B$1001,$A$2:$A$1001,"&gt;="&amp;A271-6,$A$2:$A$1001,"&lt;="&amp;A271),""))</f>
        <v/>
      </c>
    </row>
    <row r="272">
      <c r="A272" s="7" t="n"/>
      <c r="B272" s="8" t="n"/>
      <c r="E272">
        <f>IF(C272="","",C272-Cfg_TDEE-IFERROR(D272,0))</f>
        <v/>
      </c>
      <c r="F272">
        <f>IF(E272="","",IFERROR(F271,0)+(-E272))</f>
        <v/>
      </c>
      <c r="G272" s="9">
        <f>IF(F272="","",F272/Cfg_FatConstant)</f>
        <v/>
      </c>
      <c r="H272" s="8">
        <f>IF(G272="","",Cfg_StartWeight-G272)</f>
        <v/>
      </c>
      <c r="I272" s="8">
        <f>IF(B272="","",Cfg_StartWeight-B272)</f>
        <v/>
      </c>
      <c r="J272" s="10">
        <f>IF(OR(B272="",G272=""),"",I272-G272)</f>
        <v/>
      </c>
      <c r="K272" s="9">
        <f>IF(B272="","",IFERROR(AVERAGEIFS($B$2:$B$1001,$A$2:$A$1001,"&gt;="&amp;A272-6,$A$2:$A$1001,"&lt;="&amp;A272),""))</f>
        <v/>
      </c>
    </row>
    <row r="273">
      <c r="A273" s="7" t="n"/>
      <c r="B273" s="8" t="n"/>
      <c r="E273">
        <f>IF(C273="","",C273-Cfg_TDEE-IFERROR(D273,0))</f>
        <v/>
      </c>
      <c r="F273">
        <f>IF(E273="","",IFERROR(F272,0)+(-E273))</f>
        <v/>
      </c>
      <c r="G273" s="9">
        <f>IF(F273="","",F273/Cfg_FatConstant)</f>
        <v/>
      </c>
      <c r="H273" s="8">
        <f>IF(G273="","",Cfg_StartWeight-G273)</f>
        <v/>
      </c>
      <c r="I273" s="8">
        <f>IF(B273="","",Cfg_StartWeight-B273)</f>
        <v/>
      </c>
      <c r="J273" s="10">
        <f>IF(OR(B273="",G273=""),"",I273-G273)</f>
        <v/>
      </c>
      <c r="K273" s="9">
        <f>IF(B273="","",IFERROR(AVERAGEIFS($B$2:$B$1001,$A$2:$A$1001,"&gt;="&amp;A273-6,$A$2:$A$1001,"&lt;="&amp;A273),""))</f>
        <v/>
      </c>
    </row>
    <row r="274">
      <c r="A274" s="7" t="n"/>
      <c r="B274" s="8" t="n"/>
      <c r="E274">
        <f>IF(C274="","",C274-Cfg_TDEE-IFERROR(D274,0))</f>
        <v/>
      </c>
      <c r="F274">
        <f>IF(E274="","",IFERROR(F273,0)+(-E274))</f>
        <v/>
      </c>
      <c r="G274" s="9">
        <f>IF(F274="","",F274/Cfg_FatConstant)</f>
        <v/>
      </c>
      <c r="H274" s="8">
        <f>IF(G274="","",Cfg_StartWeight-G274)</f>
        <v/>
      </c>
      <c r="I274" s="8">
        <f>IF(B274="","",Cfg_StartWeight-B274)</f>
        <v/>
      </c>
      <c r="J274" s="10">
        <f>IF(OR(B274="",G274=""),"",I274-G274)</f>
        <v/>
      </c>
      <c r="K274" s="9">
        <f>IF(B274="","",IFERROR(AVERAGEIFS($B$2:$B$1001,$A$2:$A$1001,"&gt;="&amp;A274-6,$A$2:$A$1001,"&lt;="&amp;A274),""))</f>
        <v/>
      </c>
    </row>
    <row r="275">
      <c r="A275" s="7" t="n"/>
      <c r="B275" s="8" t="n"/>
      <c r="E275">
        <f>IF(C275="","",C275-Cfg_TDEE-IFERROR(D275,0))</f>
        <v/>
      </c>
      <c r="F275">
        <f>IF(E275="","",IFERROR(F274,0)+(-E275))</f>
        <v/>
      </c>
      <c r="G275" s="9">
        <f>IF(F275="","",F275/Cfg_FatConstant)</f>
        <v/>
      </c>
      <c r="H275" s="8">
        <f>IF(G275="","",Cfg_StartWeight-G275)</f>
        <v/>
      </c>
      <c r="I275" s="8">
        <f>IF(B275="","",Cfg_StartWeight-B275)</f>
        <v/>
      </c>
      <c r="J275" s="10">
        <f>IF(OR(B275="",G275=""),"",I275-G275)</f>
        <v/>
      </c>
      <c r="K275" s="9">
        <f>IF(B275="","",IFERROR(AVERAGEIFS($B$2:$B$1001,$A$2:$A$1001,"&gt;="&amp;A275-6,$A$2:$A$1001,"&lt;="&amp;A275),""))</f>
        <v/>
      </c>
    </row>
    <row r="276">
      <c r="A276" s="7" t="n"/>
      <c r="B276" s="8" t="n"/>
      <c r="E276">
        <f>IF(C276="","",C276-Cfg_TDEE-IFERROR(D276,0))</f>
        <v/>
      </c>
      <c r="F276">
        <f>IF(E276="","",IFERROR(F275,0)+(-E276))</f>
        <v/>
      </c>
      <c r="G276" s="9">
        <f>IF(F276="","",F276/Cfg_FatConstant)</f>
        <v/>
      </c>
      <c r="H276" s="8">
        <f>IF(G276="","",Cfg_StartWeight-G276)</f>
        <v/>
      </c>
      <c r="I276" s="8">
        <f>IF(B276="","",Cfg_StartWeight-B276)</f>
        <v/>
      </c>
      <c r="J276" s="10">
        <f>IF(OR(B276="",G276=""),"",I276-G276)</f>
        <v/>
      </c>
      <c r="K276" s="9">
        <f>IF(B276="","",IFERROR(AVERAGEIFS($B$2:$B$1001,$A$2:$A$1001,"&gt;="&amp;A276-6,$A$2:$A$1001,"&lt;="&amp;A276),""))</f>
        <v/>
      </c>
    </row>
    <row r="277">
      <c r="A277" s="7" t="n"/>
      <c r="B277" s="8" t="n"/>
      <c r="E277">
        <f>IF(C277="","",C277-Cfg_TDEE-IFERROR(D277,0))</f>
        <v/>
      </c>
      <c r="F277">
        <f>IF(E277="","",IFERROR(F276,0)+(-E277))</f>
        <v/>
      </c>
      <c r="G277" s="9">
        <f>IF(F277="","",F277/Cfg_FatConstant)</f>
        <v/>
      </c>
      <c r="H277" s="8">
        <f>IF(G277="","",Cfg_StartWeight-G277)</f>
        <v/>
      </c>
      <c r="I277" s="8">
        <f>IF(B277="","",Cfg_StartWeight-B277)</f>
        <v/>
      </c>
      <c r="J277" s="10">
        <f>IF(OR(B277="",G277=""),"",I277-G277)</f>
        <v/>
      </c>
      <c r="K277" s="9">
        <f>IF(B277="","",IFERROR(AVERAGEIFS($B$2:$B$1001,$A$2:$A$1001,"&gt;="&amp;A277-6,$A$2:$A$1001,"&lt;="&amp;A277),""))</f>
        <v/>
      </c>
    </row>
    <row r="278">
      <c r="A278" s="7" t="n"/>
      <c r="B278" s="8" t="n"/>
      <c r="E278">
        <f>IF(C278="","",C278-Cfg_TDEE-IFERROR(D278,0))</f>
        <v/>
      </c>
      <c r="F278">
        <f>IF(E278="","",IFERROR(F277,0)+(-E278))</f>
        <v/>
      </c>
      <c r="G278" s="9">
        <f>IF(F278="","",F278/Cfg_FatConstant)</f>
        <v/>
      </c>
      <c r="H278" s="8">
        <f>IF(G278="","",Cfg_StartWeight-G278)</f>
        <v/>
      </c>
      <c r="I278" s="8">
        <f>IF(B278="","",Cfg_StartWeight-B278)</f>
        <v/>
      </c>
      <c r="J278" s="10">
        <f>IF(OR(B278="",G278=""),"",I278-G278)</f>
        <v/>
      </c>
      <c r="K278" s="9">
        <f>IF(B278="","",IFERROR(AVERAGEIFS($B$2:$B$1001,$A$2:$A$1001,"&gt;="&amp;A278-6,$A$2:$A$1001,"&lt;="&amp;A278),""))</f>
        <v/>
      </c>
    </row>
    <row r="279">
      <c r="A279" s="7" t="n"/>
      <c r="B279" s="8" t="n"/>
      <c r="E279">
        <f>IF(C279="","",C279-Cfg_TDEE-IFERROR(D279,0))</f>
        <v/>
      </c>
      <c r="F279">
        <f>IF(E279="","",IFERROR(F278,0)+(-E279))</f>
        <v/>
      </c>
      <c r="G279" s="9">
        <f>IF(F279="","",F279/Cfg_FatConstant)</f>
        <v/>
      </c>
      <c r="H279" s="8">
        <f>IF(G279="","",Cfg_StartWeight-G279)</f>
        <v/>
      </c>
      <c r="I279" s="8">
        <f>IF(B279="","",Cfg_StartWeight-B279)</f>
        <v/>
      </c>
      <c r="J279" s="10">
        <f>IF(OR(B279="",G279=""),"",I279-G279)</f>
        <v/>
      </c>
      <c r="K279" s="9">
        <f>IF(B279="","",IFERROR(AVERAGEIFS($B$2:$B$1001,$A$2:$A$1001,"&gt;="&amp;A279-6,$A$2:$A$1001,"&lt;="&amp;A279),""))</f>
        <v/>
      </c>
    </row>
    <row r="280">
      <c r="A280" s="7" t="n"/>
      <c r="B280" s="8" t="n"/>
      <c r="E280">
        <f>IF(C280="","",C280-Cfg_TDEE-IFERROR(D280,0))</f>
        <v/>
      </c>
      <c r="F280">
        <f>IF(E280="","",IFERROR(F279,0)+(-E280))</f>
        <v/>
      </c>
      <c r="G280" s="9">
        <f>IF(F280="","",F280/Cfg_FatConstant)</f>
        <v/>
      </c>
      <c r="H280" s="8">
        <f>IF(G280="","",Cfg_StartWeight-G280)</f>
        <v/>
      </c>
      <c r="I280" s="8">
        <f>IF(B280="","",Cfg_StartWeight-B280)</f>
        <v/>
      </c>
      <c r="J280" s="10">
        <f>IF(OR(B280="",G280=""),"",I280-G280)</f>
        <v/>
      </c>
      <c r="K280" s="9">
        <f>IF(B280="","",IFERROR(AVERAGEIFS($B$2:$B$1001,$A$2:$A$1001,"&gt;="&amp;A280-6,$A$2:$A$1001,"&lt;="&amp;A280),""))</f>
        <v/>
      </c>
    </row>
    <row r="281">
      <c r="A281" s="7" t="n"/>
      <c r="B281" s="8" t="n"/>
      <c r="E281">
        <f>IF(C281="","",C281-Cfg_TDEE-IFERROR(D281,0))</f>
        <v/>
      </c>
      <c r="F281">
        <f>IF(E281="","",IFERROR(F280,0)+(-E281))</f>
        <v/>
      </c>
      <c r="G281" s="9">
        <f>IF(F281="","",F281/Cfg_FatConstant)</f>
        <v/>
      </c>
      <c r="H281" s="8">
        <f>IF(G281="","",Cfg_StartWeight-G281)</f>
        <v/>
      </c>
      <c r="I281" s="8">
        <f>IF(B281="","",Cfg_StartWeight-B281)</f>
        <v/>
      </c>
      <c r="J281" s="10">
        <f>IF(OR(B281="",G281=""),"",I281-G281)</f>
        <v/>
      </c>
      <c r="K281" s="9">
        <f>IF(B281="","",IFERROR(AVERAGEIFS($B$2:$B$1001,$A$2:$A$1001,"&gt;="&amp;A281-6,$A$2:$A$1001,"&lt;="&amp;A281),""))</f>
        <v/>
      </c>
    </row>
    <row r="282">
      <c r="A282" s="7" t="n"/>
      <c r="B282" s="8" t="n"/>
      <c r="E282">
        <f>IF(C282="","",C282-Cfg_TDEE-IFERROR(D282,0))</f>
        <v/>
      </c>
      <c r="F282">
        <f>IF(E282="","",IFERROR(F281,0)+(-E282))</f>
        <v/>
      </c>
      <c r="G282" s="9">
        <f>IF(F282="","",F282/Cfg_FatConstant)</f>
        <v/>
      </c>
      <c r="H282" s="8">
        <f>IF(G282="","",Cfg_StartWeight-G282)</f>
        <v/>
      </c>
      <c r="I282" s="8">
        <f>IF(B282="","",Cfg_StartWeight-B282)</f>
        <v/>
      </c>
      <c r="J282" s="10">
        <f>IF(OR(B282="",G282=""),"",I282-G282)</f>
        <v/>
      </c>
      <c r="K282" s="9">
        <f>IF(B282="","",IFERROR(AVERAGEIFS($B$2:$B$1001,$A$2:$A$1001,"&gt;="&amp;A282-6,$A$2:$A$1001,"&lt;="&amp;A282),""))</f>
        <v/>
      </c>
    </row>
    <row r="283">
      <c r="A283" s="7" t="n"/>
      <c r="B283" s="8" t="n"/>
      <c r="E283">
        <f>IF(C283="","",C283-Cfg_TDEE-IFERROR(D283,0))</f>
        <v/>
      </c>
      <c r="F283">
        <f>IF(E283="","",IFERROR(F282,0)+(-E283))</f>
        <v/>
      </c>
      <c r="G283" s="9">
        <f>IF(F283="","",F283/Cfg_FatConstant)</f>
        <v/>
      </c>
      <c r="H283" s="8">
        <f>IF(G283="","",Cfg_StartWeight-G283)</f>
        <v/>
      </c>
      <c r="I283" s="8">
        <f>IF(B283="","",Cfg_StartWeight-B283)</f>
        <v/>
      </c>
      <c r="J283" s="10">
        <f>IF(OR(B283="",G283=""),"",I283-G283)</f>
        <v/>
      </c>
      <c r="K283" s="9">
        <f>IF(B283="","",IFERROR(AVERAGEIFS($B$2:$B$1001,$A$2:$A$1001,"&gt;="&amp;A283-6,$A$2:$A$1001,"&lt;="&amp;A283),""))</f>
        <v/>
      </c>
    </row>
    <row r="284">
      <c r="A284" s="7" t="n"/>
      <c r="B284" s="8" t="n"/>
      <c r="E284">
        <f>IF(C284="","",C284-Cfg_TDEE-IFERROR(D284,0))</f>
        <v/>
      </c>
      <c r="F284">
        <f>IF(E284="","",IFERROR(F283,0)+(-E284))</f>
        <v/>
      </c>
      <c r="G284" s="9">
        <f>IF(F284="","",F284/Cfg_FatConstant)</f>
        <v/>
      </c>
      <c r="H284" s="8">
        <f>IF(G284="","",Cfg_StartWeight-G284)</f>
        <v/>
      </c>
      <c r="I284" s="8">
        <f>IF(B284="","",Cfg_StartWeight-B284)</f>
        <v/>
      </c>
      <c r="J284" s="10">
        <f>IF(OR(B284="",G284=""),"",I284-G284)</f>
        <v/>
      </c>
      <c r="K284" s="9">
        <f>IF(B284="","",IFERROR(AVERAGEIFS($B$2:$B$1001,$A$2:$A$1001,"&gt;="&amp;A284-6,$A$2:$A$1001,"&lt;="&amp;A284),""))</f>
        <v/>
      </c>
    </row>
    <row r="285">
      <c r="A285" s="7" t="n"/>
      <c r="B285" s="8" t="n"/>
      <c r="E285">
        <f>IF(C285="","",C285-Cfg_TDEE-IFERROR(D285,0))</f>
        <v/>
      </c>
      <c r="F285">
        <f>IF(E285="","",IFERROR(F284,0)+(-E285))</f>
        <v/>
      </c>
      <c r="G285" s="9">
        <f>IF(F285="","",F285/Cfg_FatConstant)</f>
        <v/>
      </c>
      <c r="H285" s="8">
        <f>IF(G285="","",Cfg_StartWeight-G285)</f>
        <v/>
      </c>
      <c r="I285" s="8">
        <f>IF(B285="","",Cfg_StartWeight-B285)</f>
        <v/>
      </c>
      <c r="J285" s="10">
        <f>IF(OR(B285="",G285=""),"",I285-G285)</f>
        <v/>
      </c>
      <c r="K285" s="9">
        <f>IF(B285="","",IFERROR(AVERAGEIFS($B$2:$B$1001,$A$2:$A$1001,"&gt;="&amp;A285-6,$A$2:$A$1001,"&lt;="&amp;A285),""))</f>
        <v/>
      </c>
    </row>
    <row r="286">
      <c r="A286" s="7" t="n"/>
      <c r="B286" s="8" t="n"/>
      <c r="E286">
        <f>IF(C286="","",C286-Cfg_TDEE-IFERROR(D286,0))</f>
        <v/>
      </c>
      <c r="F286">
        <f>IF(E286="","",IFERROR(F285,0)+(-E286))</f>
        <v/>
      </c>
      <c r="G286" s="9">
        <f>IF(F286="","",F286/Cfg_FatConstant)</f>
        <v/>
      </c>
      <c r="H286" s="8">
        <f>IF(G286="","",Cfg_StartWeight-G286)</f>
        <v/>
      </c>
      <c r="I286" s="8">
        <f>IF(B286="","",Cfg_StartWeight-B286)</f>
        <v/>
      </c>
      <c r="J286" s="10">
        <f>IF(OR(B286="",G286=""),"",I286-G286)</f>
        <v/>
      </c>
      <c r="K286" s="9">
        <f>IF(B286="","",IFERROR(AVERAGEIFS($B$2:$B$1001,$A$2:$A$1001,"&gt;="&amp;A286-6,$A$2:$A$1001,"&lt;="&amp;A286),""))</f>
        <v/>
      </c>
    </row>
    <row r="287">
      <c r="A287" s="7" t="n"/>
      <c r="B287" s="8" t="n"/>
      <c r="E287">
        <f>IF(C287="","",C287-Cfg_TDEE-IFERROR(D287,0))</f>
        <v/>
      </c>
      <c r="F287">
        <f>IF(E287="","",IFERROR(F286,0)+(-E287))</f>
        <v/>
      </c>
      <c r="G287" s="9">
        <f>IF(F287="","",F287/Cfg_FatConstant)</f>
        <v/>
      </c>
      <c r="H287" s="8">
        <f>IF(G287="","",Cfg_StartWeight-G287)</f>
        <v/>
      </c>
      <c r="I287" s="8">
        <f>IF(B287="","",Cfg_StartWeight-B287)</f>
        <v/>
      </c>
      <c r="J287" s="10">
        <f>IF(OR(B287="",G287=""),"",I287-G287)</f>
        <v/>
      </c>
      <c r="K287" s="9">
        <f>IF(B287="","",IFERROR(AVERAGEIFS($B$2:$B$1001,$A$2:$A$1001,"&gt;="&amp;A287-6,$A$2:$A$1001,"&lt;="&amp;A287),""))</f>
        <v/>
      </c>
    </row>
    <row r="288">
      <c r="A288" s="7" t="n"/>
      <c r="B288" s="8" t="n"/>
      <c r="E288">
        <f>IF(C288="","",C288-Cfg_TDEE-IFERROR(D288,0))</f>
        <v/>
      </c>
      <c r="F288">
        <f>IF(E288="","",IFERROR(F287,0)+(-E288))</f>
        <v/>
      </c>
      <c r="G288" s="9">
        <f>IF(F288="","",F288/Cfg_FatConstant)</f>
        <v/>
      </c>
      <c r="H288" s="8">
        <f>IF(G288="","",Cfg_StartWeight-G288)</f>
        <v/>
      </c>
      <c r="I288" s="8">
        <f>IF(B288="","",Cfg_StartWeight-B288)</f>
        <v/>
      </c>
      <c r="J288" s="10">
        <f>IF(OR(B288="",G288=""),"",I288-G288)</f>
        <v/>
      </c>
      <c r="K288" s="9">
        <f>IF(B288="","",IFERROR(AVERAGEIFS($B$2:$B$1001,$A$2:$A$1001,"&gt;="&amp;A288-6,$A$2:$A$1001,"&lt;="&amp;A288),""))</f>
        <v/>
      </c>
    </row>
    <row r="289">
      <c r="A289" s="7" t="n"/>
      <c r="B289" s="8" t="n"/>
      <c r="E289">
        <f>IF(C289="","",C289-Cfg_TDEE-IFERROR(D289,0))</f>
        <v/>
      </c>
      <c r="F289">
        <f>IF(E289="","",IFERROR(F288,0)+(-E289))</f>
        <v/>
      </c>
      <c r="G289" s="9">
        <f>IF(F289="","",F289/Cfg_FatConstant)</f>
        <v/>
      </c>
      <c r="H289" s="8">
        <f>IF(G289="","",Cfg_StartWeight-G289)</f>
        <v/>
      </c>
      <c r="I289" s="8">
        <f>IF(B289="","",Cfg_StartWeight-B289)</f>
        <v/>
      </c>
      <c r="J289" s="10">
        <f>IF(OR(B289="",G289=""),"",I289-G289)</f>
        <v/>
      </c>
      <c r="K289" s="9">
        <f>IF(B289="","",IFERROR(AVERAGEIFS($B$2:$B$1001,$A$2:$A$1001,"&gt;="&amp;A289-6,$A$2:$A$1001,"&lt;="&amp;A289),""))</f>
        <v/>
      </c>
    </row>
    <row r="290">
      <c r="A290" s="7" t="n"/>
      <c r="B290" s="8" t="n"/>
      <c r="E290">
        <f>IF(C290="","",C290-Cfg_TDEE-IFERROR(D290,0))</f>
        <v/>
      </c>
      <c r="F290">
        <f>IF(E290="","",IFERROR(F289,0)+(-E290))</f>
        <v/>
      </c>
      <c r="G290" s="9">
        <f>IF(F290="","",F290/Cfg_FatConstant)</f>
        <v/>
      </c>
      <c r="H290" s="8">
        <f>IF(G290="","",Cfg_StartWeight-G290)</f>
        <v/>
      </c>
      <c r="I290" s="8">
        <f>IF(B290="","",Cfg_StartWeight-B290)</f>
        <v/>
      </c>
      <c r="J290" s="10">
        <f>IF(OR(B290="",G290=""),"",I290-G290)</f>
        <v/>
      </c>
      <c r="K290" s="9">
        <f>IF(B290="","",IFERROR(AVERAGEIFS($B$2:$B$1001,$A$2:$A$1001,"&gt;="&amp;A290-6,$A$2:$A$1001,"&lt;="&amp;A290),""))</f>
        <v/>
      </c>
    </row>
    <row r="291">
      <c r="A291" s="7" t="n"/>
      <c r="B291" s="8" t="n"/>
      <c r="E291">
        <f>IF(C291="","",C291-Cfg_TDEE-IFERROR(D291,0))</f>
        <v/>
      </c>
      <c r="F291">
        <f>IF(E291="","",IFERROR(F290,0)+(-E291))</f>
        <v/>
      </c>
      <c r="G291" s="9">
        <f>IF(F291="","",F291/Cfg_FatConstant)</f>
        <v/>
      </c>
      <c r="H291" s="8">
        <f>IF(G291="","",Cfg_StartWeight-G291)</f>
        <v/>
      </c>
      <c r="I291" s="8">
        <f>IF(B291="","",Cfg_StartWeight-B291)</f>
        <v/>
      </c>
      <c r="J291" s="10">
        <f>IF(OR(B291="",G291=""),"",I291-G291)</f>
        <v/>
      </c>
      <c r="K291" s="9">
        <f>IF(B291="","",IFERROR(AVERAGEIFS($B$2:$B$1001,$A$2:$A$1001,"&gt;="&amp;A291-6,$A$2:$A$1001,"&lt;="&amp;A291),""))</f>
        <v/>
      </c>
    </row>
    <row r="292">
      <c r="A292" s="7" t="n"/>
      <c r="B292" s="8" t="n"/>
      <c r="E292">
        <f>IF(C292="","",C292-Cfg_TDEE-IFERROR(D292,0))</f>
        <v/>
      </c>
      <c r="F292">
        <f>IF(E292="","",IFERROR(F291,0)+(-E292))</f>
        <v/>
      </c>
      <c r="G292" s="9">
        <f>IF(F292="","",F292/Cfg_FatConstant)</f>
        <v/>
      </c>
      <c r="H292" s="8">
        <f>IF(G292="","",Cfg_StartWeight-G292)</f>
        <v/>
      </c>
      <c r="I292" s="8">
        <f>IF(B292="","",Cfg_StartWeight-B292)</f>
        <v/>
      </c>
      <c r="J292" s="10">
        <f>IF(OR(B292="",G292=""),"",I292-G292)</f>
        <v/>
      </c>
      <c r="K292" s="9">
        <f>IF(B292="","",IFERROR(AVERAGEIFS($B$2:$B$1001,$A$2:$A$1001,"&gt;="&amp;A292-6,$A$2:$A$1001,"&lt;="&amp;A292),""))</f>
        <v/>
      </c>
    </row>
    <row r="293">
      <c r="A293" s="7" t="n"/>
      <c r="B293" s="8" t="n"/>
      <c r="E293">
        <f>IF(C293="","",C293-Cfg_TDEE-IFERROR(D293,0))</f>
        <v/>
      </c>
      <c r="F293">
        <f>IF(E293="","",IFERROR(F292,0)+(-E293))</f>
        <v/>
      </c>
      <c r="G293" s="9">
        <f>IF(F293="","",F293/Cfg_FatConstant)</f>
        <v/>
      </c>
      <c r="H293" s="8">
        <f>IF(G293="","",Cfg_StartWeight-G293)</f>
        <v/>
      </c>
      <c r="I293" s="8">
        <f>IF(B293="","",Cfg_StartWeight-B293)</f>
        <v/>
      </c>
      <c r="J293" s="10">
        <f>IF(OR(B293="",G293=""),"",I293-G293)</f>
        <v/>
      </c>
      <c r="K293" s="9">
        <f>IF(B293="","",IFERROR(AVERAGEIFS($B$2:$B$1001,$A$2:$A$1001,"&gt;="&amp;A293-6,$A$2:$A$1001,"&lt;="&amp;A293),""))</f>
        <v/>
      </c>
    </row>
    <row r="294">
      <c r="A294" s="7" t="n"/>
      <c r="B294" s="8" t="n"/>
      <c r="E294">
        <f>IF(C294="","",C294-Cfg_TDEE-IFERROR(D294,0))</f>
        <v/>
      </c>
      <c r="F294">
        <f>IF(E294="","",IFERROR(F293,0)+(-E294))</f>
        <v/>
      </c>
      <c r="G294" s="9">
        <f>IF(F294="","",F294/Cfg_FatConstant)</f>
        <v/>
      </c>
      <c r="H294" s="8">
        <f>IF(G294="","",Cfg_StartWeight-G294)</f>
        <v/>
      </c>
      <c r="I294" s="8">
        <f>IF(B294="","",Cfg_StartWeight-B294)</f>
        <v/>
      </c>
      <c r="J294" s="10">
        <f>IF(OR(B294="",G294=""),"",I294-G294)</f>
        <v/>
      </c>
      <c r="K294" s="9">
        <f>IF(B294="","",IFERROR(AVERAGEIFS($B$2:$B$1001,$A$2:$A$1001,"&gt;="&amp;A294-6,$A$2:$A$1001,"&lt;="&amp;A294),""))</f>
        <v/>
      </c>
    </row>
    <row r="295">
      <c r="A295" s="7" t="n"/>
      <c r="B295" s="8" t="n"/>
      <c r="E295">
        <f>IF(C295="","",C295-Cfg_TDEE-IFERROR(D295,0))</f>
        <v/>
      </c>
      <c r="F295">
        <f>IF(E295="","",IFERROR(F294,0)+(-E295))</f>
        <v/>
      </c>
      <c r="G295" s="9">
        <f>IF(F295="","",F295/Cfg_FatConstant)</f>
        <v/>
      </c>
      <c r="H295" s="8">
        <f>IF(G295="","",Cfg_StartWeight-G295)</f>
        <v/>
      </c>
      <c r="I295" s="8">
        <f>IF(B295="","",Cfg_StartWeight-B295)</f>
        <v/>
      </c>
      <c r="J295" s="10">
        <f>IF(OR(B295="",G295=""),"",I295-G295)</f>
        <v/>
      </c>
      <c r="K295" s="9">
        <f>IF(B295="","",IFERROR(AVERAGEIFS($B$2:$B$1001,$A$2:$A$1001,"&gt;="&amp;A295-6,$A$2:$A$1001,"&lt;="&amp;A295),""))</f>
        <v/>
      </c>
    </row>
    <row r="296">
      <c r="A296" s="7" t="n"/>
      <c r="B296" s="8" t="n"/>
      <c r="E296">
        <f>IF(C296="","",C296-Cfg_TDEE-IFERROR(D296,0))</f>
        <v/>
      </c>
      <c r="F296">
        <f>IF(E296="","",IFERROR(F295,0)+(-E296))</f>
        <v/>
      </c>
      <c r="G296" s="9">
        <f>IF(F296="","",F296/Cfg_FatConstant)</f>
        <v/>
      </c>
      <c r="H296" s="8">
        <f>IF(G296="","",Cfg_StartWeight-G296)</f>
        <v/>
      </c>
      <c r="I296" s="8">
        <f>IF(B296="","",Cfg_StartWeight-B296)</f>
        <v/>
      </c>
      <c r="J296" s="10">
        <f>IF(OR(B296="",G296=""),"",I296-G296)</f>
        <v/>
      </c>
      <c r="K296" s="9">
        <f>IF(B296="","",IFERROR(AVERAGEIFS($B$2:$B$1001,$A$2:$A$1001,"&gt;="&amp;A296-6,$A$2:$A$1001,"&lt;="&amp;A296),""))</f>
        <v/>
      </c>
    </row>
    <row r="297">
      <c r="A297" s="7" t="n"/>
      <c r="B297" s="8" t="n"/>
      <c r="E297">
        <f>IF(C297="","",C297-Cfg_TDEE-IFERROR(D297,0))</f>
        <v/>
      </c>
      <c r="F297">
        <f>IF(E297="","",IFERROR(F296,0)+(-E297))</f>
        <v/>
      </c>
      <c r="G297" s="9">
        <f>IF(F297="","",F297/Cfg_FatConstant)</f>
        <v/>
      </c>
      <c r="H297" s="8">
        <f>IF(G297="","",Cfg_StartWeight-G297)</f>
        <v/>
      </c>
      <c r="I297" s="8">
        <f>IF(B297="","",Cfg_StartWeight-B297)</f>
        <v/>
      </c>
      <c r="J297" s="10">
        <f>IF(OR(B297="",G297=""),"",I297-G297)</f>
        <v/>
      </c>
      <c r="K297" s="9">
        <f>IF(B297="","",IFERROR(AVERAGEIFS($B$2:$B$1001,$A$2:$A$1001,"&gt;="&amp;A297-6,$A$2:$A$1001,"&lt;="&amp;A297),""))</f>
        <v/>
      </c>
    </row>
    <row r="298">
      <c r="A298" s="7" t="n"/>
      <c r="B298" s="8" t="n"/>
      <c r="E298">
        <f>IF(C298="","",C298-Cfg_TDEE-IFERROR(D298,0))</f>
        <v/>
      </c>
      <c r="F298">
        <f>IF(E298="","",IFERROR(F297,0)+(-E298))</f>
        <v/>
      </c>
      <c r="G298" s="9">
        <f>IF(F298="","",F298/Cfg_FatConstant)</f>
        <v/>
      </c>
      <c r="H298" s="8">
        <f>IF(G298="","",Cfg_StartWeight-G298)</f>
        <v/>
      </c>
      <c r="I298" s="8">
        <f>IF(B298="","",Cfg_StartWeight-B298)</f>
        <v/>
      </c>
      <c r="J298" s="10">
        <f>IF(OR(B298="",G298=""),"",I298-G298)</f>
        <v/>
      </c>
      <c r="K298" s="9">
        <f>IF(B298="","",IFERROR(AVERAGEIFS($B$2:$B$1001,$A$2:$A$1001,"&gt;="&amp;A298-6,$A$2:$A$1001,"&lt;="&amp;A298),""))</f>
        <v/>
      </c>
    </row>
    <row r="299">
      <c r="A299" s="7" t="n"/>
      <c r="B299" s="8" t="n"/>
      <c r="E299">
        <f>IF(C299="","",C299-Cfg_TDEE-IFERROR(D299,0))</f>
        <v/>
      </c>
      <c r="F299">
        <f>IF(E299="","",IFERROR(F298,0)+(-E299))</f>
        <v/>
      </c>
      <c r="G299" s="9">
        <f>IF(F299="","",F299/Cfg_FatConstant)</f>
        <v/>
      </c>
      <c r="H299" s="8">
        <f>IF(G299="","",Cfg_StartWeight-G299)</f>
        <v/>
      </c>
      <c r="I299" s="8">
        <f>IF(B299="","",Cfg_StartWeight-B299)</f>
        <v/>
      </c>
      <c r="J299" s="10">
        <f>IF(OR(B299="",G299=""),"",I299-G299)</f>
        <v/>
      </c>
      <c r="K299" s="9">
        <f>IF(B299="","",IFERROR(AVERAGEIFS($B$2:$B$1001,$A$2:$A$1001,"&gt;="&amp;A299-6,$A$2:$A$1001,"&lt;="&amp;A299),""))</f>
        <v/>
      </c>
    </row>
    <row r="300">
      <c r="A300" s="7" t="n"/>
      <c r="B300" s="8" t="n"/>
      <c r="E300">
        <f>IF(C300="","",C300-Cfg_TDEE-IFERROR(D300,0))</f>
        <v/>
      </c>
      <c r="F300">
        <f>IF(E300="","",IFERROR(F299,0)+(-E300))</f>
        <v/>
      </c>
      <c r="G300" s="9">
        <f>IF(F300="","",F300/Cfg_FatConstant)</f>
        <v/>
      </c>
      <c r="H300" s="8">
        <f>IF(G300="","",Cfg_StartWeight-G300)</f>
        <v/>
      </c>
      <c r="I300" s="8">
        <f>IF(B300="","",Cfg_StartWeight-B300)</f>
        <v/>
      </c>
      <c r="J300" s="10">
        <f>IF(OR(B300="",G300=""),"",I300-G300)</f>
        <v/>
      </c>
      <c r="K300" s="9">
        <f>IF(B300="","",IFERROR(AVERAGEIFS($B$2:$B$1001,$A$2:$A$1001,"&gt;="&amp;A300-6,$A$2:$A$1001,"&lt;="&amp;A300),""))</f>
        <v/>
      </c>
    </row>
    <row r="301">
      <c r="A301" s="7" t="n"/>
      <c r="B301" s="8" t="n"/>
      <c r="E301">
        <f>IF(C301="","",C301-Cfg_TDEE-IFERROR(D301,0))</f>
        <v/>
      </c>
      <c r="F301">
        <f>IF(E301="","",IFERROR(F300,0)+(-E301))</f>
        <v/>
      </c>
      <c r="G301" s="9">
        <f>IF(F301="","",F301/Cfg_FatConstant)</f>
        <v/>
      </c>
      <c r="H301" s="8">
        <f>IF(G301="","",Cfg_StartWeight-G301)</f>
        <v/>
      </c>
      <c r="I301" s="8">
        <f>IF(B301="","",Cfg_StartWeight-B301)</f>
        <v/>
      </c>
      <c r="J301" s="10">
        <f>IF(OR(B301="",G301=""),"",I301-G301)</f>
        <v/>
      </c>
      <c r="K301" s="9">
        <f>IF(B301="","",IFERROR(AVERAGEIFS($B$2:$B$1001,$A$2:$A$1001,"&gt;="&amp;A301-6,$A$2:$A$1001,"&lt;="&amp;A301),""))</f>
        <v/>
      </c>
    </row>
    <row r="302">
      <c r="A302" s="7" t="n"/>
      <c r="B302" s="8" t="n"/>
      <c r="E302">
        <f>IF(C302="","",C302-Cfg_TDEE-IFERROR(D302,0))</f>
        <v/>
      </c>
      <c r="F302">
        <f>IF(E302="","",IFERROR(F301,0)+(-E302))</f>
        <v/>
      </c>
      <c r="G302" s="9">
        <f>IF(F302="","",F302/Cfg_FatConstant)</f>
        <v/>
      </c>
      <c r="H302" s="8">
        <f>IF(G302="","",Cfg_StartWeight-G302)</f>
        <v/>
      </c>
      <c r="I302" s="8">
        <f>IF(B302="","",Cfg_StartWeight-B302)</f>
        <v/>
      </c>
      <c r="J302" s="10">
        <f>IF(OR(B302="",G302=""),"",I302-G302)</f>
        <v/>
      </c>
      <c r="K302" s="9">
        <f>IF(B302="","",IFERROR(AVERAGEIFS($B$2:$B$1001,$A$2:$A$1001,"&gt;="&amp;A302-6,$A$2:$A$1001,"&lt;="&amp;A302),""))</f>
        <v/>
      </c>
    </row>
    <row r="303">
      <c r="A303" s="7" t="n"/>
      <c r="B303" s="8" t="n"/>
      <c r="E303">
        <f>IF(C303="","",C303-Cfg_TDEE-IFERROR(D303,0))</f>
        <v/>
      </c>
      <c r="F303">
        <f>IF(E303="","",IFERROR(F302,0)+(-E303))</f>
        <v/>
      </c>
      <c r="G303" s="9">
        <f>IF(F303="","",F303/Cfg_FatConstant)</f>
        <v/>
      </c>
      <c r="H303" s="8">
        <f>IF(G303="","",Cfg_StartWeight-G303)</f>
        <v/>
      </c>
      <c r="I303" s="8">
        <f>IF(B303="","",Cfg_StartWeight-B303)</f>
        <v/>
      </c>
      <c r="J303" s="10">
        <f>IF(OR(B303="",G303=""),"",I303-G303)</f>
        <v/>
      </c>
      <c r="K303" s="9">
        <f>IF(B303="","",IFERROR(AVERAGEIFS($B$2:$B$1001,$A$2:$A$1001,"&gt;="&amp;A303-6,$A$2:$A$1001,"&lt;="&amp;A303),""))</f>
        <v/>
      </c>
    </row>
    <row r="304">
      <c r="A304" s="7" t="n"/>
      <c r="B304" s="8" t="n"/>
      <c r="E304">
        <f>IF(C304="","",C304-Cfg_TDEE-IFERROR(D304,0))</f>
        <v/>
      </c>
      <c r="F304">
        <f>IF(E304="","",IFERROR(F303,0)+(-E304))</f>
        <v/>
      </c>
      <c r="G304" s="9">
        <f>IF(F304="","",F304/Cfg_FatConstant)</f>
        <v/>
      </c>
      <c r="H304" s="8">
        <f>IF(G304="","",Cfg_StartWeight-G304)</f>
        <v/>
      </c>
      <c r="I304" s="8">
        <f>IF(B304="","",Cfg_StartWeight-B304)</f>
        <v/>
      </c>
      <c r="J304" s="10">
        <f>IF(OR(B304="",G304=""),"",I304-G304)</f>
        <v/>
      </c>
      <c r="K304" s="9">
        <f>IF(B304="","",IFERROR(AVERAGEIFS($B$2:$B$1001,$A$2:$A$1001,"&gt;="&amp;A304-6,$A$2:$A$1001,"&lt;="&amp;A304),""))</f>
        <v/>
      </c>
    </row>
    <row r="305">
      <c r="A305" s="7" t="n"/>
      <c r="B305" s="8" t="n"/>
      <c r="E305">
        <f>IF(C305="","",C305-Cfg_TDEE-IFERROR(D305,0))</f>
        <v/>
      </c>
      <c r="F305">
        <f>IF(E305="","",IFERROR(F304,0)+(-E305))</f>
        <v/>
      </c>
      <c r="G305" s="9">
        <f>IF(F305="","",F305/Cfg_FatConstant)</f>
        <v/>
      </c>
      <c r="H305" s="8">
        <f>IF(G305="","",Cfg_StartWeight-G305)</f>
        <v/>
      </c>
      <c r="I305" s="8">
        <f>IF(B305="","",Cfg_StartWeight-B305)</f>
        <v/>
      </c>
      <c r="J305" s="10">
        <f>IF(OR(B305="",G305=""),"",I305-G305)</f>
        <v/>
      </c>
      <c r="K305" s="9">
        <f>IF(B305="","",IFERROR(AVERAGEIFS($B$2:$B$1001,$A$2:$A$1001,"&gt;="&amp;A305-6,$A$2:$A$1001,"&lt;="&amp;A305),""))</f>
        <v/>
      </c>
    </row>
    <row r="306">
      <c r="A306" s="7" t="n"/>
      <c r="B306" s="8" t="n"/>
      <c r="E306">
        <f>IF(C306="","",C306-Cfg_TDEE-IFERROR(D306,0))</f>
        <v/>
      </c>
      <c r="F306">
        <f>IF(E306="","",IFERROR(F305,0)+(-E306))</f>
        <v/>
      </c>
      <c r="G306" s="9">
        <f>IF(F306="","",F306/Cfg_FatConstant)</f>
        <v/>
      </c>
      <c r="H306" s="8">
        <f>IF(G306="","",Cfg_StartWeight-G306)</f>
        <v/>
      </c>
      <c r="I306" s="8">
        <f>IF(B306="","",Cfg_StartWeight-B306)</f>
        <v/>
      </c>
      <c r="J306" s="10">
        <f>IF(OR(B306="",G306=""),"",I306-G306)</f>
        <v/>
      </c>
      <c r="K306" s="9">
        <f>IF(B306="","",IFERROR(AVERAGEIFS($B$2:$B$1001,$A$2:$A$1001,"&gt;="&amp;A306-6,$A$2:$A$1001,"&lt;="&amp;A306),""))</f>
        <v/>
      </c>
    </row>
    <row r="307">
      <c r="A307" s="7" t="n"/>
      <c r="B307" s="8" t="n"/>
      <c r="E307">
        <f>IF(C307="","",C307-Cfg_TDEE-IFERROR(D307,0))</f>
        <v/>
      </c>
      <c r="F307">
        <f>IF(E307="","",IFERROR(F306,0)+(-E307))</f>
        <v/>
      </c>
      <c r="G307" s="9">
        <f>IF(F307="","",F307/Cfg_FatConstant)</f>
        <v/>
      </c>
      <c r="H307" s="8">
        <f>IF(G307="","",Cfg_StartWeight-G307)</f>
        <v/>
      </c>
      <c r="I307" s="8">
        <f>IF(B307="","",Cfg_StartWeight-B307)</f>
        <v/>
      </c>
      <c r="J307" s="10">
        <f>IF(OR(B307="",G307=""),"",I307-G307)</f>
        <v/>
      </c>
      <c r="K307" s="9">
        <f>IF(B307="","",IFERROR(AVERAGEIFS($B$2:$B$1001,$A$2:$A$1001,"&gt;="&amp;A307-6,$A$2:$A$1001,"&lt;="&amp;A307),""))</f>
        <v/>
      </c>
    </row>
    <row r="308">
      <c r="A308" s="7" t="n"/>
      <c r="B308" s="8" t="n"/>
      <c r="E308">
        <f>IF(C308="","",C308-Cfg_TDEE-IFERROR(D308,0))</f>
        <v/>
      </c>
      <c r="F308">
        <f>IF(E308="","",IFERROR(F307,0)+(-E308))</f>
        <v/>
      </c>
      <c r="G308" s="9">
        <f>IF(F308="","",F308/Cfg_FatConstant)</f>
        <v/>
      </c>
      <c r="H308" s="8">
        <f>IF(G308="","",Cfg_StartWeight-G308)</f>
        <v/>
      </c>
      <c r="I308" s="8">
        <f>IF(B308="","",Cfg_StartWeight-B308)</f>
        <v/>
      </c>
      <c r="J308" s="10">
        <f>IF(OR(B308="",G308=""),"",I308-G308)</f>
        <v/>
      </c>
      <c r="K308" s="9">
        <f>IF(B308="","",IFERROR(AVERAGEIFS($B$2:$B$1001,$A$2:$A$1001,"&gt;="&amp;A308-6,$A$2:$A$1001,"&lt;="&amp;A308),""))</f>
        <v/>
      </c>
    </row>
    <row r="309">
      <c r="A309" s="7" t="n"/>
      <c r="B309" s="8" t="n"/>
      <c r="E309">
        <f>IF(C309="","",C309-Cfg_TDEE-IFERROR(D309,0))</f>
        <v/>
      </c>
      <c r="F309">
        <f>IF(E309="","",IFERROR(F308,0)+(-E309))</f>
        <v/>
      </c>
      <c r="G309" s="9">
        <f>IF(F309="","",F309/Cfg_FatConstant)</f>
        <v/>
      </c>
      <c r="H309" s="8">
        <f>IF(G309="","",Cfg_StartWeight-G309)</f>
        <v/>
      </c>
      <c r="I309" s="8">
        <f>IF(B309="","",Cfg_StartWeight-B309)</f>
        <v/>
      </c>
      <c r="J309" s="10">
        <f>IF(OR(B309="",G309=""),"",I309-G309)</f>
        <v/>
      </c>
      <c r="K309" s="9">
        <f>IF(B309="","",IFERROR(AVERAGEIFS($B$2:$B$1001,$A$2:$A$1001,"&gt;="&amp;A309-6,$A$2:$A$1001,"&lt;="&amp;A309),""))</f>
        <v/>
      </c>
    </row>
    <row r="310">
      <c r="A310" s="7" t="n"/>
      <c r="B310" s="8" t="n"/>
      <c r="E310">
        <f>IF(C310="","",C310-Cfg_TDEE-IFERROR(D310,0))</f>
        <v/>
      </c>
      <c r="F310">
        <f>IF(E310="","",IFERROR(F309,0)+(-E310))</f>
        <v/>
      </c>
      <c r="G310" s="9">
        <f>IF(F310="","",F310/Cfg_FatConstant)</f>
        <v/>
      </c>
      <c r="H310" s="8">
        <f>IF(G310="","",Cfg_StartWeight-G310)</f>
        <v/>
      </c>
      <c r="I310" s="8">
        <f>IF(B310="","",Cfg_StartWeight-B310)</f>
        <v/>
      </c>
      <c r="J310" s="10">
        <f>IF(OR(B310="",G310=""),"",I310-G310)</f>
        <v/>
      </c>
      <c r="K310" s="9">
        <f>IF(B310="","",IFERROR(AVERAGEIFS($B$2:$B$1001,$A$2:$A$1001,"&gt;="&amp;A310-6,$A$2:$A$1001,"&lt;="&amp;A310),""))</f>
        <v/>
      </c>
    </row>
    <row r="311">
      <c r="A311" s="7" t="n"/>
      <c r="B311" s="8" t="n"/>
      <c r="E311">
        <f>IF(C311="","",C311-Cfg_TDEE-IFERROR(D311,0))</f>
        <v/>
      </c>
      <c r="F311">
        <f>IF(E311="","",IFERROR(F310,0)+(-E311))</f>
        <v/>
      </c>
      <c r="G311" s="9">
        <f>IF(F311="","",F311/Cfg_FatConstant)</f>
        <v/>
      </c>
      <c r="H311" s="8">
        <f>IF(G311="","",Cfg_StartWeight-G311)</f>
        <v/>
      </c>
      <c r="I311" s="8">
        <f>IF(B311="","",Cfg_StartWeight-B311)</f>
        <v/>
      </c>
      <c r="J311" s="10">
        <f>IF(OR(B311="",G311=""),"",I311-G311)</f>
        <v/>
      </c>
      <c r="K311" s="9">
        <f>IF(B311="","",IFERROR(AVERAGEIFS($B$2:$B$1001,$A$2:$A$1001,"&gt;="&amp;A311-6,$A$2:$A$1001,"&lt;="&amp;A311),""))</f>
        <v/>
      </c>
    </row>
    <row r="312">
      <c r="A312" s="7" t="n"/>
      <c r="B312" s="8" t="n"/>
      <c r="E312">
        <f>IF(C312="","",C312-Cfg_TDEE-IFERROR(D312,0))</f>
        <v/>
      </c>
      <c r="F312">
        <f>IF(E312="","",IFERROR(F311,0)+(-E312))</f>
        <v/>
      </c>
      <c r="G312" s="9">
        <f>IF(F312="","",F312/Cfg_FatConstant)</f>
        <v/>
      </c>
      <c r="H312" s="8">
        <f>IF(G312="","",Cfg_StartWeight-G312)</f>
        <v/>
      </c>
      <c r="I312" s="8">
        <f>IF(B312="","",Cfg_StartWeight-B312)</f>
        <v/>
      </c>
      <c r="J312" s="10">
        <f>IF(OR(B312="",G312=""),"",I312-G312)</f>
        <v/>
      </c>
      <c r="K312" s="9">
        <f>IF(B312="","",IFERROR(AVERAGEIFS($B$2:$B$1001,$A$2:$A$1001,"&gt;="&amp;A312-6,$A$2:$A$1001,"&lt;="&amp;A312),""))</f>
        <v/>
      </c>
    </row>
    <row r="313">
      <c r="A313" s="7" t="n"/>
      <c r="B313" s="8" t="n"/>
      <c r="E313">
        <f>IF(C313="","",C313-Cfg_TDEE-IFERROR(D313,0))</f>
        <v/>
      </c>
      <c r="F313">
        <f>IF(E313="","",IFERROR(F312,0)+(-E313))</f>
        <v/>
      </c>
      <c r="G313" s="9">
        <f>IF(F313="","",F313/Cfg_FatConstant)</f>
        <v/>
      </c>
      <c r="H313" s="8">
        <f>IF(G313="","",Cfg_StartWeight-G313)</f>
        <v/>
      </c>
      <c r="I313" s="8">
        <f>IF(B313="","",Cfg_StartWeight-B313)</f>
        <v/>
      </c>
      <c r="J313" s="10">
        <f>IF(OR(B313="",G313=""),"",I313-G313)</f>
        <v/>
      </c>
      <c r="K313" s="9">
        <f>IF(B313="","",IFERROR(AVERAGEIFS($B$2:$B$1001,$A$2:$A$1001,"&gt;="&amp;A313-6,$A$2:$A$1001,"&lt;="&amp;A313),""))</f>
        <v/>
      </c>
    </row>
    <row r="314">
      <c r="A314" s="7" t="n"/>
      <c r="B314" s="8" t="n"/>
      <c r="E314">
        <f>IF(C314="","",C314-Cfg_TDEE-IFERROR(D314,0))</f>
        <v/>
      </c>
      <c r="F314">
        <f>IF(E314="","",IFERROR(F313,0)+(-E314))</f>
        <v/>
      </c>
      <c r="G314" s="9">
        <f>IF(F314="","",F314/Cfg_FatConstant)</f>
        <v/>
      </c>
      <c r="H314" s="8">
        <f>IF(G314="","",Cfg_StartWeight-G314)</f>
        <v/>
      </c>
      <c r="I314" s="8">
        <f>IF(B314="","",Cfg_StartWeight-B314)</f>
        <v/>
      </c>
      <c r="J314" s="10">
        <f>IF(OR(B314="",G314=""),"",I314-G314)</f>
        <v/>
      </c>
      <c r="K314" s="9">
        <f>IF(B314="","",IFERROR(AVERAGEIFS($B$2:$B$1001,$A$2:$A$1001,"&gt;="&amp;A314-6,$A$2:$A$1001,"&lt;="&amp;A314),""))</f>
        <v/>
      </c>
    </row>
    <row r="315">
      <c r="A315" s="7" t="n"/>
      <c r="B315" s="8" t="n"/>
      <c r="E315">
        <f>IF(C315="","",C315-Cfg_TDEE-IFERROR(D315,0))</f>
        <v/>
      </c>
      <c r="F315">
        <f>IF(E315="","",IFERROR(F314,0)+(-E315))</f>
        <v/>
      </c>
      <c r="G315" s="9">
        <f>IF(F315="","",F315/Cfg_FatConstant)</f>
        <v/>
      </c>
      <c r="H315" s="8">
        <f>IF(G315="","",Cfg_StartWeight-G315)</f>
        <v/>
      </c>
      <c r="I315" s="8">
        <f>IF(B315="","",Cfg_StartWeight-B315)</f>
        <v/>
      </c>
      <c r="J315" s="10">
        <f>IF(OR(B315="",G315=""),"",I315-G315)</f>
        <v/>
      </c>
      <c r="K315" s="9">
        <f>IF(B315="","",IFERROR(AVERAGEIFS($B$2:$B$1001,$A$2:$A$1001,"&gt;="&amp;A315-6,$A$2:$A$1001,"&lt;="&amp;A315),""))</f>
        <v/>
      </c>
    </row>
    <row r="316">
      <c r="A316" s="7" t="n"/>
      <c r="B316" s="8" t="n"/>
      <c r="E316">
        <f>IF(C316="","",C316-Cfg_TDEE-IFERROR(D316,0))</f>
        <v/>
      </c>
      <c r="F316">
        <f>IF(E316="","",IFERROR(F315,0)+(-E316))</f>
        <v/>
      </c>
      <c r="G316" s="9">
        <f>IF(F316="","",F316/Cfg_FatConstant)</f>
        <v/>
      </c>
      <c r="H316" s="8">
        <f>IF(G316="","",Cfg_StartWeight-G316)</f>
        <v/>
      </c>
      <c r="I316" s="8">
        <f>IF(B316="","",Cfg_StartWeight-B316)</f>
        <v/>
      </c>
      <c r="J316" s="10">
        <f>IF(OR(B316="",G316=""),"",I316-G316)</f>
        <v/>
      </c>
      <c r="K316" s="9">
        <f>IF(B316="","",IFERROR(AVERAGEIFS($B$2:$B$1001,$A$2:$A$1001,"&gt;="&amp;A316-6,$A$2:$A$1001,"&lt;="&amp;A316),""))</f>
        <v/>
      </c>
    </row>
    <row r="317">
      <c r="A317" s="7" t="n"/>
      <c r="B317" s="8" t="n"/>
      <c r="E317">
        <f>IF(C317="","",C317-Cfg_TDEE-IFERROR(D317,0))</f>
        <v/>
      </c>
      <c r="F317">
        <f>IF(E317="","",IFERROR(F316,0)+(-E317))</f>
        <v/>
      </c>
      <c r="G317" s="9">
        <f>IF(F317="","",F317/Cfg_FatConstant)</f>
        <v/>
      </c>
      <c r="H317" s="8">
        <f>IF(G317="","",Cfg_StartWeight-G317)</f>
        <v/>
      </c>
      <c r="I317" s="8">
        <f>IF(B317="","",Cfg_StartWeight-B317)</f>
        <v/>
      </c>
      <c r="J317" s="10">
        <f>IF(OR(B317="",G317=""),"",I317-G317)</f>
        <v/>
      </c>
      <c r="K317" s="9">
        <f>IF(B317="","",IFERROR(AVERAGEIFS($B$2:$B$1001,$A$2:$A$1001,"&gt;="&amp;A317-6,$A$2:$A$1001,"&lt;="&amp;A317),""))</f>
        <v/>
      </c>
    </row>
    <row r="318">
      <c r="A318" s="7" t="n"/>
      <c r="B318" s="8" t="n"/>
      <c r="E318">
        <f>IF(C318="","",C318-Cfg_TDEE-IFERROR(D318,0))</f>
        <v/>
      </c>
      <c r="F318">
        <f>IF(E318="","",IFERROR(F317,0)+(-E318))</f>
        <v/>
      </c>
      <c r="G318" s="9">
        <f>IF(F318="","",F318/Cfg_FatConstant)</f>
        <v/>
      </c>
      <c r="H318" s="8">
        <f>IF(G318="","",Cfg_StartWeight-G318)</f>
        <v/>
      </c>
      <c r="I318" s="8">
        <f>IF(B318="","",Cfg_StartWeight-B318)</f>
        <v/>
      </c>
      <c r="J318" s="10">
        <f>IF(OR(B318="",G318=""),"",I318-G318)</f>
        <v/>
      </c>
      <c r="K318" s="9">
        <f>IF(B318="","",IFERROR(AVERAGEIFS($B$2:$B$1001,$A$2:$A$1001,"&gt;="&amp;A318-6,$A$2:$A$1001,"&lt;="&amp;A318),""))</f>
        <v/>
      </c>
    </row>
    <row r="319">
      <c r="A319" s="7" t="n"/>
      <c r="B319" s="8" t="n"/>
      <c r="E319">
        <f>IF(C319="","",C319-Cfg_TDEE-IFERROR(D319,0))</f>
        <v/>
      </c>
      <c r="F319">
        <f>IF(E319="","",IFERROR(F318,0)+(-E319))</f>
        <v/>
      </c>
      <c r="G319" s="9">
        <f>IF(F319="","",F319/Cfg_FatConstant)</f>
        <v/>
      </c>
      <c r="H319" s="8">
        <f>IF(G319="","",Cfg_StartWeight-G319)</f>
        <v/>
      </c>
      <c r="I319" s="8">
        <f>IF(B319="","",Cfg_StartWeight-B319)</f>
        <v/>
      </c>
      <c r="J319" s="10">
        <f>IF(OR(B319="",G319=""),"",I319-G319)</f>
        <v/>
      </c>
      <c r="K319" s="9">
        <f>IF(B319="","",IFERROR(AVERAGEIFS($B$2:$B$1001,$A$2:$A$1001,"&gt;="&amp;A319-6,$A$2:$A$1001,"&lt;="&amp;A319),""))</f>
        <v/>
      </c>
    </row>
    <row r="320">
      <c r="A320" s="7" t="n"/>
      <c r="B320" s="8" t="n"/>
      <c r="E320">
        <f>IF(C320="","",C320-Cfg_TDEE-IFERROR(D320,0))</f>
        <v/>
      </c>
      <c r="F320">
        <f>IF(E320="","",IFERROR(F319,0)+(-E320))</f>
        <v/>
      </c>
      <c r="G320" s="9">
        <f>IF(F320="","",F320/Cfg_FatConstant)</f>
        <v/>
      </c>
      <c r="H320" s="8">
        <f>IF(G320="","",Cfg_StartWeight-G320)</f>
        <v/>
      </c>
      <c r="I320" s="8">
        <f>IF(B320="","",Cfg_StartWeight-B320)</f>
        <v/>
      </c>
      <c r="J320" s="10">
        <f>IF(OR(B320="",G320=""),"",I320-G320)</f>
        <v/>
      </c>
      <c r="K320" s="9">
        <f>IF(B320="","",IFERROR(AVERAGEIFS($B$2:$B$1001,$A$2:$A$1001,"&gt;="&amp;A320-6,$A$2:$A$1001,"&lt;="&amp;A320),""))</f>
        <v/>
      </c>
    </row>
    <row r="321">
      <c r="A321" s="7" t="n"/>
      <c r="B321" s="8" t="n"/>
      <c r="E321">
        <f>IF(C321="","",C321-Cfg_TDEE-IFERROR(D321,0))</f>
        <v/>
      </c>
      <c r="F321">
        <f>IF(E321="","",IFERROR(F320,0)+(-E321))</f>
        <v/>
      </c>
      <c r="G321" s="9">
        <f>IF(F321="","",F321/Cfg_FatConstant)</f>
        <v/>
      </c>
      <c r="H321" s="8">
        <f>IF(G321="","",Cfg_StartWeight-G321)</f>
        <v/>
      </c>
      <c r="I321" s="8">
        <f>IF(B321="","",Cfg_StartWeight-B321)</f>
        <v/>
      </c>
      <c r="J321" s="10">
        <f>IF(OR(B321="",G321=""),"",I321-G321)</f>
        <v/>
      </c>
      <c r="K321" s="9">
        <f>IF(B321="","",IFERROR(AVERAGEIFS($B$2:$B$1001,$A$2:$A$1001,"&gt;="&amp;A321-6,$A$2:$A$1001,"&lt;="&amp;A321),""))</f>
        <v/>
      </c>
    </row>
    <row r="322">
      <c r="A322" s="7" t="n"/>
      <c r="B322" s="8" t="n"/>
      <c r="E322">
        <f>IF(C322="","",C322-Cfg_TDEE-IFERROR(D322,0))</f>
        <v/>
      </c>
      <c r="F322">
        <f>IF(E322="","",IFERROR(F321,0)+(-E322))</f>
        <v/>
      </c>
      <c r="G322" s="9">
        <f>IF(F322="","",F322/Cfg_FatConstant)</f>
        <v/>
      </c>
      <c r="H322" s="8">
        <f>IF(G322="","",Cfg_StartWeight-G322)</f>
        <v/>
      </c>
      <c r="I322" s="8">
        <f>IF(B322="","",Cfg_StartWeight-B322)</f>
        <v/>
      </c>
      <c r="J322" s="10">
        <f>IF(OR(B322="",G322=""),"",I322-G322)</f>
        <v/>
      </c>
      <c r="K322" s="9">
        <f>IF(B322="","",IFERROR(AVERAGEIFS($B$2:$B$1001,$A$2:$A$1001,"&gt;="&amp;A322-6,$A$2:$A$1001,"&lt;="&amp;A322),""))</f>
        <v/>
      </c>
    </row>
    <row r="323">
      <c r="A323" s="7" t="n"/>
      <c r="B323" s="8" t="n"/>
      <c r="E323">
        <f>IF(C323="","",C323-Cfg_TDEE-IFERROR(D323,0))</f>
        <v/>
      </c>
      <c r="F323">
        <f>IF(E323="","",IFERROR(F322,0)+(-E323))</f>
        <v/>
      </c>
      <c r="G323" s="9">
        <f>IF(F323="","",F323/Cfg_FatConstant)</f>
        <v/>
      </c>
      <c r="H323" s="8">
        <f>IF(G323="","",Cfg_StartWeight-G323)</f>
        <v/>
      </c>
      <c r="I323" s="8">
        <f>IF(B323="","",Cfg_StartWeight-B323)</f>
        <v/>
      </c>
      <c r="J323" s="10">
        <f>IF(OR(B323="",G323=""),"",I323-G323)</f>
        <v/>
      </c>
      <c r="K323" s="9">
        <f>IF(B323="","",IFERROR(AVERAGEIFS($B$2:$B$1001,$A$2:$A$1001,"&gt;="&amp;A323-6,$A$2:$A$1001,"&lt;="&amp;A323),""))</f>
        <v/>
      </c>
    </row>
    <row r="324">
      <c r="A324" s="7" t="n"/>
      <c r="B324" s="8" t="n"/>
      <c r="E324">
        <f>IF(C324="","",C324-Cfg_TDEE-IFERROR(D324,0))</f>
        <v/>
      </c>
      <c r="F324">
        <f>IF(E324="","",IFERROR(F323,0)+(-E324))</f>
        <v/>
      </c>
      <c r="G324" s="9">
        <f>IF(F324="","",F324/Cfg_FatConstant)</f>
        <v/>
      </c>
      <c r="H324" s="8">
        <f>IF(G324="","",Cfg_StartWeight-G324)</f>
        <v/>
      </c>
      <c r="I324" s="8">
        <f>IF(B324="","",Cfg_StartWeight-B324)</f>
        <v/>
      </c>
      <c r="J324" s="10">
        <f>IF(OR(B324="",G324=""),"",I324-G324)</f>
        <v/>
      </c>
      <c r="K324" s="9">
        <f>IF(B324="","",IFERROR(AVERAGEIFS($B$2:$B$1001,$A$2:$A$1001,"&gt;="&amp;A324-6,$A$2:$A$1001,"&lt;="&amp;A324),""))</f>
        <v/>
      </c>
    </row>
    <row r="325">
      <c r="A325" s="7" t="n"/>
      <c r="B325" s="8" t="n"/>
      <c r="E325">
        <f>IF(C325="","",C325-Cfg_TDEE-IFERROR(D325,0))</f>
        <v/>
      </c>
      <c r="F325">
        <f>IF(E325="","",IFERROR(F324,0)+(-E325))</f>
        <v/>
      </c>
      <c r="G325" s="9">
        <f>IF(F325="","",F325/Cfg_FatConstant)</f>
        <v/>
      </c>
      <c r="H325" s="8">
        <f>IF(G325="","",Cfg_StartWeight-G325)</f>
        <v/>
      </c>
      <c r="I325" s="8">
        <f>IF(B325="","",Cfg_StartWeight-B325)</f>
        <v/>
      </c>
      <c r="J325" s="10">
        <f>IF(OR(B325="",G325=""),"",I325-G325)</f>
        <v/>
      </c>
      <c r="K325" s="9">
        <f>IF(B325="","",IFERROR(AVERAGEIFS($B$2:$B$1001,$A$2:$A$1001,"&gt;="&amp;A325-6,$A$2:$A$1001,"&lt;="&amp;A325),""))</f>
        <v/>
      </c>
    </row>
    <row r="326">
      <c r="A326" s="7" t="n"/>
      <c r="B326" s="8" t="n"/>
      <c r="E326">
        <f>IF(C326="","",C326-Cfg_TDEE-IFERROR(D326,0))</f>
        <v/>
      </c>
      <c r="F326">
        <f>IF(E326="","",IFERROR(F325,0)+(-E326))</f>
        <v/>
      </c>
      <c r="G326" s="9">
        <f>IF(F326="","",F326/Cfg_FatConstant)</f>
        <v/>
      </c>
      <c r="H326" s="8">
        <f>IF(G326="","",Cfg_StartWeight-G326)</f>
        <v/>
      </c>
      <c r="I326" s="8">
        <f>IF(B326="","",Cfg_StartWeight-B326)</f>
        <v/>
      </c>
      <c r="J326" s="10">
        <f>IF(OR(B326="",G326=""),"",I326-G326)</f>
        <v/>
      </c>
      <c r="K326" s="9">
        <f>IF(B326="","",IFERROR(AVERAGEIFS($B$2:$B$1001,$A$2:$A$1001,"&gt;="&amp;A326-6,$A$2:$A$1001,"&lt;="&amp;A326),""))</f>
        <v/>
      </c>
    </row>
    <row r="327">
      <c r="A327" s="7" t="n"/>
      <c r="B327" s="8" t="n"/>
      <c r="E327">
        <f>IF(C327="","",C327-Cfg_TDEE-IFERROR(D327,0))</f>
        <v/>
      </c>
      <c r="F327">
        <f>IF(E327="","",IFERROR(F326,0)+(-E327))</f>
        <v/>
      </c>
      <c r="G327" s="9">
        <f>IF(F327="","",F327/Cfg_FatConstant)</f>
        <v/>
      </c>
      <c r="H327" s="8">
        <f>IF(G327="","",Cfg_StartWeight-G327)</f>
        <v/>
      </c>
      <c r="I327" s="8">
        <f>IF(B327="","",Cfg_StartWeight-B327)</f>
        <v/>
      </c>
      <c r="J327" s="10">
        <f>IF(OR(B327="",G327=""),"",I327-G327)</f>
        <v/>
      </c>
      <c r="K327" s="9">
        <f>IF(B327="","",IFERROR(AVERAGEIFS($B$2:$B$1001,$A$2:$A$1001,"&gt;="&amp;A327-6,$A$2:$A$1001,"&lt;="&amp;A327),""))</f>
        <v/>
      </c>
    </row>
    <row r="328">
      <c r="A328" s="7" t="n"/>
      <c r="B328" s="8" t="n"/>
      <c r="E328">
        <f>IF(C328="","",C328-Cfg_TDEE-IFERROR(D328,0))</f>
        <v/>
      </c>
      <c r="F328">
        <f>IF(E328="","",IFERROR(F327,0)+(-E328))</f>
        <v/>
      </c>
      <c r="G328" s="9">
        <f>IF(F328="","",F328/Cfg_FatConstant)</f>
        <v/>
      </c>
      <c r="H328" s="8">
        <f>IF(G328="","",Cfg_StartWeight-G328)</f>
        <v/>
      </c>
      <c r="I328" s="8">
        <f>IF(B328="","",Cfg_StartWeight-B328)</f>
        <v/>
      </c>
      <c r="J328" s="10">
        <f>IF(OR(B328="",G328=""),"",I328-G328)</f>
        <v/>
      </c>
      <c r="K328" s="9">
        <f>IF(B328="","",IFERROR(AVERAGEIFS($B$2:$B$1001,$A$2:$A$1001,"&gt;="&amp;A328-6,$A$2:$A$1001,"&lt;="&amp;A328),""))</f>
        <v/>
      </c>
    </row>
    <row r="329">
      <c r="A329" s="7" t="n"/>
      <c r="B329" s="8" t="n"/>
      <c r="E329">
        <f>IF(C329="","",C329-Cfg_TDEE-IFERROR(D329,0))</f>
        <v/>
      </c>
      <c r="F329">
        <f>IF(E329="","",IFERROR(F328,0)+(-E329))</f>
        <v/>
      </c>
      <c r="G329" s="9">
        <f>IF(F329="","",F329/Cfg_FatConstant)</f>
        <v/>
      </c>
      <c r="H329" s="8">
        <f>IF(G329="","",Cfg_StartWeight-G329)</f>
        <v/>
      </c>
      <c r="I329" s="8">
        <f>IF(B329="","",Cfg_StartWeight-B329)</f>
        <v/>
      </c>
      <c r="J329" s="10">
        <f>IF(OR(B329="",G329=""),"",I329-G329)</f>
        <v/>
      </c>
      <c r="K329" s="9">
        <f>IF(B329="","",IFERROR(AVERAGEIFS($B$2:$B$1001,$A$2:$A$1001,"&gt;="&amp;A329-6,$A$2:$A$1001,"&lt;="&amp;A329),""))</f>
        <v/>
      </c>
    </row>
    <row r="330">
      <c r="A330" s="7" t="n"/>
      <c r="B330" s="8" t="n"/>
      <c r="E330">
        <f>IF(C330="","",C330-Cfg_TDEE-IFERROR(D330,0))</f>
        <v/>
      </c>
      <c r="F330">
        <f>IF(E330="","",IFERROR(F329,0)+(-E330))</f>
        <v/>
      </c>
      <c r="G330" s="9">
        <f>IF(F330="","",F330/Cfg_FatConstant)</f>
        <v/>
      </c>
      <c r="H330" s="8">
        <f>IF(G330="","",Cfg_StartWeight-G330)</f>
        <v/>
      </c>
      <c r="I330" s="8">
        <f>IF(B330="","",Cfg_StartWeight-B330)</f>
        <v/>
      </c>
      <c r="J330" s="10">
        <f>IF(OR(B330="",G330=""),"",I330-G330)</f>
        <v/>
      </c>
      <c r="K330" s="9">
        <f>IF(B330="","",IFERROR(AVERAGEIFS($B$2:$B$1001,$A$2:$A$1001,"&gt;="&amp;A330-6,$A$2:$A$1001,"&lt;="&amp;A330),""))</f>
        <v/>
      </c>
    </row>
    <row r="331">
      <c r="A331" s="7" t="n"/>
      <c r="B331" s="8" t="n"/>
      <c r="E331">
        <f>IF(C331="","",C331-Cfg_TDEE-IFERROR(D331,0))</f>
        <v/>
      </c>
      <c r="F331">
        <f>IF(E331="","",IFERROR(F330,0)+(-E331))</f>
        <v/>
      </c>
      <c r="G331" s="9">
        <f>IF(F331="","",F331/Cfg_FatConstant)</f>
        <v/>
      </c>
      <c r="H331" s="8">
        <f>IF(G331="","",Cfg_StartWeight-G331)</f>
        <v/>
      </c>
      <c r="I331" s="8">
        <f>IF(B331="","",Cfg_StartWeight-B331)</f>
        <v/>
      </c>
      <c r="J331" s="10">
        <f>IF(OR(B331="",G331=""),"",I331-G331)</f>
        <v/>
      </c>
      <c r="K331" s="9">
        <f>IF(B331="","",IFERROR(AVERAGEIFS($B$2:$B$1001,$A$2:$A$1001,"&gt;="&amp;A331-6,$A$2:$A$1001,"&lt;="&amp;A331),""))</f>
        <v/>
      </c>
    </row>
    <row r="332">
      <c r="A332" s="7" t="n"/>
      <c r="B332" s="8" t="n"/>
      <c r="E332">
        <f>IF(C332="","",C332-Cfg_TDEE-IFERROR(D332,0))</f>
        <v/>
      </c>
      <c r="F332">
        <f>IF(E332="","",IFERROR(F331,0)+(-E332))</f>
        <v/>
      </c>
      <c r="G332" s="9">
        <f>IF(F332="","",F332/Cfg_FatConstant)</f>
        <v/>
      </c>
      <c r="H332" s="8">
        <f>IF(G332="","",Cfg_StartWeight-G332)</f>
        <v/>
      </c>
      <c r="I332" s="8">
        <f>IF(B332="","",Cfg_StartWeight-B332)</f>
        <v/>
      </c>
      <c r="J332" s="10">
        <f>IF(OR(B332="",G332=""),"",I332-G332)</f>
        <v/>
      </c>
      <c r="K332" s="9">
        <f>IF(B332="","",IFERROR(AVERAGEIFS($B$2:$B$1001,$A$2:$A$1001,"&gt;="&amp;A332-6,$A$2:$A$1001,"&lt;="&amp;A332),""))</f>
        <v/>
      </c>
    </row>
    <row r="333">
      <c r="A333" s="7" t="n"/>
      <c r="B333" s="8" t="n"/>
      <c r="E333">
        <f>IF(C333="","",C333-Cfg_TDEE-IFERROR(D333,0))</f>
        <v/>
      </c>
      <c r="F333">
        <f>IF(E333="","",IFERROR(F332,0)+(-E333))</f>
        <v/>
      </c>
      <c r="G333" s="9">
        <f>IF(F333="","",F333/Cfg_FatConstant)</f>
        <v/>
      </c>
      <c r="H333" s="8">
        <f>IF(G333="","",Cfg_StartWeight-G333)</f>
        <v/>
      </c>
      <c r="I333" s="8">
        <f>IF(B333="","",Cfg_StartWeight-B333)</f>
        <v/>
      </c>
      <c r="J333" s="10">
        <f>IF(OR(B333="",G333=""),"",I333-G333)</f>
        <v/>
      </c>
      <c r="K333" s="9">
        <f>IF(B333="","",IFERROR(AVERAGEIFS($B$2:$B$1001,$A$2:$A$1001,"&gt;="&amp;A333-6,$A$2:$A$1001,"&lt;="&amp;A333),""))</f>
        <v/>
      </c>
    </row>
    <row r="334">
      <c r="A334" s="7" t="n"/>
      <c r="B334" s="8" t="n"/>
      <c r="E334">
        <f>IF(C334="","",C334-Cfg_TDEE-IFERROR(D334,0))</f>
        <v/>
      </c>
      <c r="F334">
        <f>IF(E334="","",IFERROR(F333,0)+(-E334))</f>
        <v/>
      </c>
      <c r="G334" s="9">
        <f>IF(F334="","",F334/Cfg_FatConstant)</f>
        <v/>
      </c>
      <c r="H334" s="8">
        <f>IF(G334="","",Cfg_StartWeight-G334)</f>
        <v/>
      </c>
      <c r="I334" s="8">
        <f>IF(B334="","",Cfg_StartWeight-B334)</f>
        <v/>
      </c>
      <c r="J334" s="10">
        <f>IF(OR(B334="",G334=""),"",I334-G334)</f>
        <v/>
      </c>
      <c r="K334" s="9">
        <f>IF(B334="","",IFERROR(AVERAGEIFS($B$2:$B$1001,$A$2:$A$1001,"&gt;="&amp;A334-6,$A$2:$A$1001,"&lt;="&amp;A334),""))</f>
        <v/>
      </c>
    </row>
    <row r="335">
      <c r="A335" s="7" t="n"/>
      <c r="B335" s="8" t="n"/>
      <c r="E335">
        <f>IF(C335="","",C335-Cfg_TDEE-IFERROR(D335,0))</f>
        <v/>
      </c>
      <c r="F335">
        <f>IF(E335="","",IFERROR(F334,0)+(-E335))</f>
        <v/>
      </c>
      <c r="G335" s="9">
        <f>IF(F335="","",F335/Cfg_FatConstant)</f>
        <v/>
      </c>
      <c r="H335" s="8">
        <f>IF(G335="","",Cfg_StartWeight-G335)</f>
        <v/>
      </c>
      <c r="I335" s="8">
        <f>IF(B335="","",Cfg_StartWeight-B335)</f>
        <v/>
      </c>
      <c r="J335" s="10">
        <f>IF(OR(B335="",G335=""),"",I335-G335)</f>
        <v/>
      </c>
      <c r="K335" s="9">
        <f>IF(B335="","",IFERROR(AVERAGEIFS($B$2:$B$1001,$A$2:$A$1001,"&gt;="&amp;A335-6,$A$2:$A$1001,"&lt;="&amp;A335),""))</f>
        <v/>
      </c>
    </row>
    <row r="336">
      <c r="A336" s="7" t="n"/>
      <c r="B336" s="8" t="n"/>
      <c r="E336">
        <f>IF(C336="","",C336-Cfg_TDEE-IFERROR(D336,0))</f>
        <v/>
      </c>
      <c r="F336">
        <f>IF(E336="","",IFERROR(F335,0)+(-E336))</f>
        <v/>
      </c>
      <c r="G336" s="9">
        <f>IF(F336="","",F336/Cfg_FatConstant)</f>
        <v/>
      </c>
      <c r="H336" s="8">
        <f>IF(G336="","",Cfg_StartWeight-G336)</f>
        <v/>
      </c>
      <c r="I336" s="8">
        <f>IF(B336="","",Cfg_StartWeight-B336)</f>
        <v/>
      </c>
      <c r="J336" s="10">
        <f>IF(OR(B336="",G336=""),"",I336-G336)</f>
        <v/>
      </c>
      <c r="K336" s="9">
        <f>IF(B336="","",IFERROR(AVERAGEIFS($B$2:$B$1001,$A$2:$A$1001,"&gt;="&amp;A336-6,$A$2:$A$1001,"&lt;="&amp;A336),""))</f>
        <v/>
      </c>
    </row>
    <row r="337">
      <c r="A337" s="7" t="n"/>
      <c r="B337" s="8" t="n"/>
      <c r="E337">
        <f>IF(C337="","",C337-Cfg_TDEE-IFERROR(D337,0))</f>
        <v/>
      </c>
      <c r="F337">
        <f>IF(E337="","",IFERROR(F336,0)+(-E337))</f>
        <v/>
      </c>
      <c r="G337" s="9">
        <f>IF(F337="","",F337/Cfg_FatConstant)</f>
        <v/>
      </c>
      <c r="H337" s="8">
        <f>IF(G337="","",Cfg_StartWeight-G337)</f>
        <v/>
      </c>
      <c r="I337" s="8">
        <f>IF(B337="","",Cfg_StartWeight-B337)</f>
        <v/>
      </c>
      <c r="J337" s="10">
        <f>IF(OR(B337="",G337=""),"",I337-G337)</f>
        <v/>
      </c>
      <c r="K337" s="9">
        <f>IF(B337="","",IFERROR(AVERAGEIFS($B$2:$B$1001,$A$2:$A$1001,"&gt;="&amp;A337-6,$A$2:$A$1001,"&lt;="&amp;A337),""))</f>
        <v/>
      </c>
    </row>
    <row r="338">
      <c r="A338" s="7" t="n"/>
      <c r="B338" s="8" t="n"/>
      <c r="E338">
        <f>IF(C338="","",C338-Cfg_TDEE-IFERROR(D338,0))</f>
        <v/>
      </c>
      <c r="F338">
        <f>IF(E338="","",IFERROR(F337,0)+(-E338))</f>
        <v/>
      </c>
      <c r="G338" s="9">
        <f>IF(F338="","",F338/Cfg_FatConstant)</f>
        <v/>
      </c>
      <c r="H338" s="8">
        <f>IF(G338="","",Cfg_StartWeight-G338)</f>
        <v/>
      </c>
      <c r="I338" s="8">
        <f>IF(B338="","",Cfg_StartWeight-B338)</f>
        <v/>
      </c>
      <c r="J338" s="10">
        <f>IF(OR(B338="",G338=""),"",I338-G338)</f>
        <v/>
      </c>
      <c r="K338" s="9">
        <f>IF(B338="","",IFERROR(AVERAGEIFS($B$2:$B$1001,$A$2:$A$1001,"&gt;="&amp;A338-6,$A$2:$A$1001,"&lt;="&amp;A338),""))</f>
        <v/>
      </c>
    </row>
    <row r="339">
      <c r="A339" s="7" t="n"/>
      <c r="B339" s="8" t="n"/>
      <c r="E339">
        <f>IF(C339="","",C339-Cfg_TDEE-IFERROR(D339,0))</f>
        <v/>
      </c>
      <c r="F339">
        <f>IF(E339="","",IFERROR(F338,0)+(-E339))</f>
        <v/>
      </c>
      <c r="G339" s="9">
        <f>IF(F339="","",F339/Cfg_FatConstant)</f>
        <v/>
      </c>
      <c r="H339" s="8">
        <f>IF(G339="","",Cfg_StartWeight-G339)</f>
        <v/>
      </c>
      <c r="I339" s="8">
        <f>IF(B339="","",Cfg_StartWeight-B339)</f>
        <v/>
      </c>
      <c r="J339" s="10">
        <f>IF(OR(B339="",G339=""),"",I339-G339)</f>
        <v/>
      </c>
      <c r="K339" s="9">
        <f>IF(B339="","",IFERROR(AVERAGEIFS($B$2:$B$1001,$A$2:$A$1001,"&gt;="&amp;A339-6,$A$2:$A$1001,"&lt;="&amp;A339),""))</f>
        <v/>
      </c>
    </row>
    <row r="340">
      <c r="A340" s="7" t="n"/>
      <c r="B340" s="8" t="n"/>
      <c r="E340">
        <f>IF(C340="","",C340-Cfg_TDEE-IFERROR(D340,0))</f>
        <v/>
      </c>
      <c r="F340">
        <f>IF(E340="","",IFERROR(F339,0)+(-E340))</f>
        <v/>
      </c>
      <c r="G340" s="9">
        <f>IF(F340="","",F340/Cfg_FatConstant)</f>
        <v/>
      </c>
      <c r="H340" s="8">
        <f>IF(G340="","",Cfg_StartWeight-G340)</f>
        <v/>
      </c>
      <c r="I340" s="8">
        <f>IF(B340="","",Cfg_StartWeight-B340)</f>
        <v/>
      </c>
      <c r="J340" s="10">
        <f>IF(OR(B340="",G340=""),"",I340-G340)</f>
        <v/>
      </c>
      <c r="K340" s="9">
        <f>IF(B340="","",IFERROR(AVERAGEIFS($B$2:$B$1001,$A$2:$A$1001,"&gt;="&amp;A340-6,$A$2:$A$1001,"&lt;="&amp;A340),""))</f>
        <v/>
      </c>
    </row>
    <row r="341">
      <c r="A341" s="7" t="n"/>
      <c r="B341" s="8" t="n"/>
      <c r="E341">
        <f>IF(C341="","",C341-Cfg_TDEE-IFERROR(D341,0))</f>
        <v/>
      </c>
      <c r="F341">
        <f>IF(E341="","",IFERROR(F340,0)+(-E341))</f>
        <v/>
      </c>
      <c r="G341" s="9">
        <f>IF(F341="","",F341/Cfg_FatConstant)</f>
        <v/>
      </c>
      <c r="H341" s="8">
        <f>IF(G341="","",Cfg_StartWeight-G341)</f>
        <v/>
      </c>
      <c r="I341" s="8">
        <f>IF(B341="","",Cfg_StartWeight-B341)</f>
        <v/>
      </c>
      <c r="J341" s="10">
        <f>IF(OR(B341="",G341=""),"",I341-G341)</f>
        <v/>
      </c>
      <c r="K341" s="9">
        <f>IF(B341="","",IFERROR(AVERAGEIFS($B$2:$B$1001,$A$2:$A$1001,"&gt;="&amp;A341-6,$A$2:$A$1001,"&lt;="&amp;A341),""))</f>
        <v/>
      </c>
    </row>
    <row r="342">
      <c r="A342" s="7" t="n"/>
      <c r="B342" s="8" t="n"/>
      <c r="E342">
        <f>IF(C342="","",C342-Cfg_TDEE-IFERROR(D342,0))</f>
        <v/>
      </c>
      <c r="F342">
        <f>IF(E342="","",IFERROR(F341,0)+(-E342))</f>
        <v/>
      </c>
      <c r="G342" s="9">
        <f>IF(F342="","",F342/Cfg_FatConstant)</f>
        <v/>
      </c>
      <c r="H342" s="8">
        <f>IF(G342="","",Cfg_StartWeight-G342)</f>
        <v/>
      </c>
      <c r="I342" s="8">
        <f>IF(B342="","",Cfg_StartWeight-B342)</f>
        <v/>
      </c>
      <c r="J342" s="10">
        <f>IF(OR(B342="",G342=""),"",I342-G342)</f>
        <v/>
      </c>
      <c r="K342" s="9">
        <f>IF(B342="","",IFERROR(AVERAGEIFS($B$2:$B$1001,$A$2:$A$1001,"&gt;="&amp;A342-6,$A$2:$A$1001,"&lt;="&amp;A342),""))</f>
        <v/>
      </c>
    </row>
    <row r="343">
      <c r="A343" s="7" t="n"/>
      <c r="B343" s="8" t="n"/>
      <c r="E343">
        <f>IF(C343="","",C343-Cfg_TDEE-IFERROR(D343,0))</f>
        <v/>
      </c>
      <c r="F343">
        <f>IF(E343="","",IFERROR(F342,0)+(-E343))</f>
        <v/>
      </c>
      <c r="G343" s="9">
        <f>IF(F343="","",F343/Cfg_FatConstant)</f>
        <v/>
      </c>
      <c r="H343" s="8">
        <f>IF(G343="","",Cfg_StartWeight-G343)</f>
        <v/>
      </c>
      <c r="I343" s="8">
        <f>IF(B343="","",Cfg_StartWeight-B343)</f>
        <v/>
      </c>
      <c r="J343" s="10">
        <f>IF(OR(B343="",G343=""),"",I343-G343)</f>
        <v/>
      </c>
      <c r="K343" s="9">
        <f>IF(B343="","",IFERROR(AVERAGEIFS($B$2:$B$1001,$A$2:$A$1001,"&gt;="&amp;A343-6,$A$2:$A$1001,"&lt;="&amp;A343),""))</f>
        <v/>
      </c>
    </row>
    <row r="344">
      <c r="A344" s="7" t="n"/>
      <c r="B344" s="8" t="n"/>
      <c r="E344">
        <f>IF(C344="","",C344-Cfg_TDEE-IFERROR(D344,0))</f>
        <v/>
      </c>
      <c r="F344">
        <f>IF(E344="","",IFERROR(F343,0)+(-E344))</f>
        <v/>
      </c>
      <c r="G344" s="9">
        <f>IF(F344="","",F344/Cfg_FatConstant)</f>
        <v/>
      </c>
      <c r="H344" s="8">
        <f>IF(G344="","",Cfg_StartWeight-G344)</f>
        <v/>
      </c>
      <c r="I344" s="8">
        <f>IF(B344="","",Cfg_StartWeight-B344)</f>
        <v/>
      </c>
      <c r="J344" s="10">
        <f>IF(OR(B344="",G344=""),"",I344-G344)</f>
        <v/>
      </c>
      <c r="K344" s="9">
        <f>IF(B344="","",IFERROR(AVERAGEIFS($B$2:$B$1001,$A$2:$A$1001,"&gt;="&amp;A344-6,$A$2:$A$1001,"&lt;="&amp;A344),""))</f>
        <v/>
      </c>
    </row>
    <row r="345">
      <c r="A345" s="7" t="n"/>
      <c r="B345" s="8" t="n"/>
      <c r="E345">
        <f>IF(C345="","",C345-Cfg_TDEE-IFERROR(D345,0))</f>
        <v/>
      </c>
      <c r="F345">
        <f>IF(E345="","",IFERROR(F344,0)+(-E345))</f>
        <v/>
      </c>
      <c r="G345" s="9">
        <f>IF(F345="","",F345/Cfg_FatConstant)</f>
        <v/>
      </c>
      <c r="H345" s="8">
        <f>IF(G345="","",Cfg_StartWeight-G345)</f>
        <v/>
      </c>
      <c r="I345" s="8">
        <f>IF(B345="","",Cfg_StartWeight-B345)</f>
        <v/>
      </c>
      <c r="J345" s="10">
        <f>IF(OR(B345="",G345=""),"",I345-G345)</f>
        <v/>
      </c>
      <c r="K345" s="9">
        <f>IF(B345="","",IFERROR(AVERAGEIFS($B$2:$B$1001,$A$2:$A$1001,"&gt;="&amp;A345-6,$A$2:$A$1001,"&lt;="&amp;A345),""))</f>
        <v/>
      </c>
    </row>
    <row r="346">
      <c r="A346" s="7" t="n"/>
      <c r="B346" s="8" t="n"/>
      <c r="E346">
        <f>IF(C346="","",C346-Cfg_TDEE-IFERROR(D346,0))</f>
        <v/>
      </c>
      <c r="F346">
        <f>IF(E346="","",IFERROR(F345,0)+(-E346))</f>
        <v/>
      </c>
      <c r="G346" s="9">
        <f>IF(F346="","",F346/Cfg_FatConstant)</f>
        <v/>
      </c>
      <c r="H346" s="8">
        <f>IF(G346="","",Cfg_StartWeight-G346)</f>
        <v/>
      </c>
      <c r="I346" s="8">
        <f>IF(B346="","",Cfg_StartWeight-B346)</f>
        <v/>
      </c>
      <c r="J346" s="10">
        <f>IF(OR(B346="",G346=""),"",I346-G346)</f>
        <v/>
      </c>
      <c r="K346" s="9">
        <f>IF(B346="","",IFERROR(AVERAGEIFS($B$2:$B$1001,$A$2:$A$1001,"&gt;="&amp;A346-6,$A$2:$A$1001,"&lt;="&amp;A346),""))</f>
        <v/>
      </c>
    </row>
    <row r="347">
      <c r="A347" s="7" t="n"/>
      <c r="B347" s="8" t="n"/>
      <c r="E347">
        <f>IF(C347="","",C347-Cfg_TDEE-IFERROR(D347,0))</f>
        <v/>
      </c>
      <c r="F347">
        <f>IF(E347="","",IFERROR(F346,0)+(-E347))</f>
        <v/>
      </c>
      <c r="G347" s="9">
        <f>IF(F347="","",F347/Cfg_FatConstant)</f>
        <v/>
      </c>
      <c r="H347" s="8">
        <f>IF(G347="","",Cfg_StartWeight-G347)</f>
        <v/>
      </c>
      <c r="I347" s="8">
        <f>IF(B347="","",Cfg_StartWeight-B347)</f>
        <v/>
      </c>
      <c r="J347" s="10">
        <f>IF(OR(B347="",G347=""),"",I347-G347)</f>
        <v/>
      </c>
      <c r="K347" s="9">
        <f>IF(B347="","",IFERROR(AVERAGEIFS($B$2:$B$1001,$A$2:$A$1001,"&gt;="&amp;A347-6,$A$2:$A$1001,"&lt;="&amp;A347),""))</f>
        <v/>
      </c>
    </row>
    <row r="348">
      <c r="A348" s="7" t="n"/>
      <c r="B348" s="8" t="n"/>
      <c r="E348">
        <f>IF(C348="","",C348-Cfg_TDEE-IFERROR(D348,0))</f>
        <v/>
      </c>
      <c r="F348">
        <f>IF(E348="","",IFERROR(F347,0)+(-E348))</f>
        <v/>
      </c>
      <c r="G348" s="9">
        <f>IF(F348="","",F348/Cfg_FatConstant)</f>
        <v/>
      </c>
      <c r="H348" s="8">
        <f>IF(G348="","",Cfg_StartWeight-G348)</f>
        <v/>
      </c>
      <c r="I348" s="8">
        <f>IF(B348="","",Cfg_StartWeight-B348)</f>
        <v/>
      </c>
      <c r="J348" s="10">
        <f>IF(OR(B348="",G348=""),"",I348-G348)</f>
        <v/>
      </c>
      <c r="K348" s="9">
        <f>IF(B348="","",IFERROR(AVERAGEIFS($B$2:$B$1001,$A$2:$A$1001,"&gt;="&amp;A348-6,$A$2:$A$1001,"&lt;="&amp;A348),""))</f>
        <v/>
      </c>
    </row>
    <row r="349">
      <c r="A349" s="7" t="n"/>
      <c r="B349" s="8" t="n"/>
      <c r="E349">
        <f>IF(C349="","",C349-Cfg_TDEE-IFERROR(D349,0))</f>
        <v/>
      </c>
      <c r="F349">
        <f>IF(E349="","",IFERROR(F348,0)+(-E349))</f>
        <v/>
      </c>
      <c r="G349" s="9">
        <f>IF(F349="","",F349/Cfg_FatConstant)</f>
        <v/>
      </c>
      <c r="H349" s="8">
        <f>IF(G349="","",Cfg_StartWeight-G349)</f>
        <v/>
      </c>
      <c r="I349" s="8">
        <f>IF(B349="","",Cfg_StartWeight-B349)</f>
        <v/>
      </c>
      <c r="J349" s="10">
        <f>IF(OR(B349="",G349=""),"",I349-G349)</f>
        <v/>
      </c>
      <c r="K349" s="9">
        <f>IF(B349="","",IFERROR(AVERAGEIFS($B$2:$B$1001,$A$2:$A$1001,"&gt;="&amp;A349-6,$A$2:$A$1001,"&lt;="&amp;A349),""))</f>
        <v/>
      </c>
    </row>
    <row r="350">
      <c r="A350" s="7" t="n"/>
      <c r="B350" s="8" t="n"/>
      <c r="E350">
        <f>IF(C350="","",C350-Cfg_TDEE-IFERROR(D350,0))</f>
        <v/>
      </c>
      <c r="F350">
        <f>IF(E350="","",IFERROR(F349,0)+(-E350))</f>
        <v/>
      </c>
      <c r="G350" s="9">
        <f>IF(F350="","",F350/Cfg_FatConstant)</f>
        <v/>
      </c>
      <c r="H350" s="8">
        <f>IF(G350="","",Cfg_StartWeight-G350)</f>
        <v/>
      </c>
      <c r="I350" s="8">
        <f>IF(B350="","",Cfg_StartWeight-B350)</f>
        <v/>
      </c>
      <c r="J350" s="10">
        <f>IF(OR(B350="",G350=""),"",I350-G350)</f>
        <v/>
      </c>
      <c r="K350" s="9">
        <f>IF(B350="","",IFERROR(AVERAGEIFS($B$2:$B$1001,$A$2:$A$1001,"&gt;="&amp;A350-6,$A$2:$A$1001,"&lt;="&amp;A350),""))</f>
        <v/>
      </c>
    </row>
    <row r="351">
      <c r="A351" s="7" t="n"/>
      <c r="B351" s="8" t="n"/>
      <c r="E351">
        <f>IF(C351="","",C351-Cfg_TDEE-IFERROR(D351,0))</f>
        <v/>
      </c>
      <c r="F351">
        <f>IF(E351="","",IFERROR(F350,0)+(-E351))</f>
        <v/>
      </c>
      <c r="G351" s="9">
        <f>IF(F351="","",F351/Cfg_FatConstant)</f>
        <v/>
      </c>
      <c r="H351" s="8">
        <f>IF(G351="","",Cfg_StartWeight-G351)</f>
        <v/>
      </c>
      <c r="I351" s="8">
        <f>IF(B351="","",Cfg_StartWeight-B351)</f>
        <v/>
      </c>
      <c r="J351" s="10">
        <f>IF(OR(B351="",G351=""),"",I351-G351)</f>
        <v/>
      </c>
      <c r="K351" s="9">
        <f>IF(B351="","",IFERROR(AVERAGEIFS($B$2:$B$1001,$A$2:$A$1001,"&gt;="&amp;A351-6,$A$2:$A$1001,"&lt;="&amp;A351),""))</f>
        <v/>
      </c>
    </row>
    <row r="352">
      <c r="A352" s="7" t="n"/>
      <c r="B352" s="8" t="n"/>
      <c r="E352">
        <f>IF(C352="","",C352-Cfg_TDEE-IFERROR(D352,0))</f>
        <v/>
      </c>
      <c r="F352">
        <f>IF(E352="","",IFERROR(F351,0)+(-E352))</f>
        <v/>
      </c>
      <c r="G352" s="9">
        <f>IF(F352="","",F352/Cfg_FatConstant)</f>
        <v/>
      </c>
      <c r="H352" s="8">
        <f>IF(G352="","",Cfg_StartWeight-G352)</f>
        <v/>
      </c>
      <c r="I352" s="8">
        <f>IF(B352="","",Cfg_StartWeight-B352)</f>
        <v/>
      </c>
      <c r="J352" s="10">
        <f>IF(OR(B352="",G352=""),"",I352-G352)</f>
        <v/>
      </c>
      <c r="K352" s="9">
        <f>IF(B352="","",IFERROR(AVERAGEIFS($B$2:$B$1001,$A$2:$A$1001,"&gt;="&amp;A352-6,$A$2:$A$1001,"&lt;="&amp;A352),""))</f>
        <v/>
      </c>
    </row>
    <row r="353">
      <c r="A353" s="7" t="n"/>
      <c r="B353" s="8" t="n"/>
      <c r="E353">
        <f>IF(C353="","",C353-Cfg_TDEE-IFERROR(D353,0))</f>
        <v/>
      </c>
      <c r="F353">
        <f>IF(E353="","",IFERROR(F352,0)+(-E353))</f>
        <v/>
      </c>
      <c r="G353" s="9">
        <f>IF(F353="","",F353/Cfg_FatConstant)</f>
        <v/>
      </c>
      <c r="H353" s="8">
        <f>IF(G353="","",Cfg_StartWeight-G353)</f>
        <v/>
      </c>
      <c r="I353" s="8">
        <f>IF(B353="","",Cfg_StartWeight-B353)</f>
        <v/>
      </c>
      <c r="J353" s="10">
        <f>IF(OR(B353="",G353=""),"",I353-G353)</f>
        <v/>
      </c>
      <c r="K353" s="9">
        <f>IF(B353="","",IFERROR(AVERAGEIFS($B$2:$B$1001,$A$2:$A$1001,"&gt;="&amp;A353-6,$A$2:$A$1001,"&lt;="&amp;A353),""))</f>
        <v/>
      </c>
    </row>
    <row r="354">
      <c r="A354" s="7" t="n"/>
      <c r="B354" s="8" t="n"/>
      <c r="E354">
        <f>IF(C354="","",C354-Cfg_TDEE-IFERROR(D354,0))</f>
        <v/>
      </c>
      <c r="F354">
        <f>IF(E354="","",IFERROR(F353,0)+(-E354))</f>
        <v/>
      </c>
      <c r="G354" s="9">
        <f>IF(F354="","",F354/Cfg_FatConstant)</f>
        <v/>
      </c>
      <c r="H354" s="8">
        <f>IF(G354="","",Cfg_StartWeight-G354)</f>
        <v/>
      </c>
      <c r="I354" s="8">
        <f>IF(B354="","",Cfg_StartWeight-B354)</f>
        <v/>
      </c>
      <c r="J354" s="10">
        <f>IF(OR(B354="",G354=""),"",I354-G354)</f>
        <v/>
      </c>
      <c r="K354" s="9">
        <f>IF(B354="","",IFERROR(AVERAGEIFS($B$2:$B$1001,$A$2:$A$1001,"&gt;="&amp;A354-6,$A$2:$A$1001,"&lt;="&amp;A354),""))</f>
        <v/>
      </c>
    </row>
    <row r="355">
      <c r="A355" s="7" t="n"/>
      <c r="B355" s="8" t="n"/>
      <c r="E355">
        <f>IF(C355="","",C355-Cfg_TDEE-IFERROR(D355,0))</f>
        <v/>
      </c>
      <c r="F355">
        <f>IF(E355="","",IFERROR(F354,0)+(-E355))</f>
        <v/>
      </c>
      <c r="G355" s="9">
        <f>IF(F355="","",F355/Cfg_FatConstant)</f>
        <v/>
      </c>
      <c r="H355" s="8">
        <f>IF(G355="","",Cfg_StartWeight-G355)</f>
        <v/>
      </c>
      <c r="I355" s="8">
        <f>IF(B355="","",Cfg_StartWeight-B355)</f>
        <v/>
      </c>
      <c r="J355" s="10">
        <f>IF(OR(B355="",G355=""),"",I355-G355)</f>
        <v/>
      </c>
      <c r="K355" s="9">
        <f>IF(B355="","",IFERROR(AVERAGEIFS($B$2:$B$1001,$A$2:$A$1001,"&gt;="&amp;A355-6,$A$2:$A$1001,"&lt;="&amp;A355),""))</f>
        <v/>
      </c>
    </row>
    <row r="356">
      <c r="A356" s="7" t="n"/>
      <c r="B356" s="8" t="n"/>
      <c r="E356">
        <f>IF(C356="","",C356-Cfg_TDEE-IFERROR(D356,0))</f>
        <v/>
      </c>
      <c r="F356">
        <f>IF(E356="","",IFERROR(F355,0)+(-E356))</f>
        <v/>
      </c>
      <c r="G356" s="9">
        <f>IF(F356="","",F356/Cfg_FatConstant)</f>
        <v/>
      </c>
      <c r="H356" s="8">
        <f>IF(G356="","",Cfg_StartWeight-G356)</f>
        <v/>
      </c>
      <c r="I356" s="8">
        <f>IF(B356="","",Cfg_StartWeight-B356)</f>
        <v/>
      </c>
      <c r="J356" s="10">
        <f>IF(OR(B356="",G356=""),"",I356-G356)</f>
        <v/>
      </c>
      <c r="K356" s="9">
        <f>IF(B356="","",IFERROR(AVERAGEIFS($B$2:$B$1001,$A$2:$A$1001,"&gt;="&amp;A356-6,$A$2:$A$1001,"&lt;="&amp;A356),""))</f>
        <v/>
      </c>
    </row>
    <row r="357">
      <c r="A357" s="7" t="n"/>
      <c r="B357" s="8" t="n"/>
      <c r="E357">
        <f>IF(C357="","",C357-Cfg_TDEE-IFERROR(D357,0))</f>
        <v/>
      </c>
      <c r="F357">
        <f>IF(E357="","",IFERROR(F356,0)+(-E357))</f>
        <v/>
      </c>
      <c r="G357" s="9">
        <f>IF(F357="","",F357/Cfg_FatConstant)</f>
        <v/>
      </c>
      <c r="H357" s="8">
        <f>IF(G357="","",Cfg_StartWeight-G357)</f>
        <v/>
      </c>
      <c r="I357" s="8">
        <f>IF(B357="","",Cfg_StartWeight-B357)</f>
        <v/>
      </c>
      <c r="J357" s="10">
        <f>IF(OR(B357="",G357=""),"",I357-G357)</f>
        <v/>
      </c>
      <c r="K357" s="9">
        <f>IF(B357="","",IFERROR(AVERAGEIFS($B$2:$B$1001,$A$2:$A$1001,"&gt;="&amp;A357-6,$A$2:$A$1001,"&lt;="&amp;A357),""))</f>
        <v/>
      </c>
    </row>
    <row r="358">
      <c r="A358" s="7" t="n"/>
      <c r="B358" s="8" t="n"/>
      <c r="E358">
        <f>IF(C358="","",C358-Cfg_TDEE-IFERROR(D358,0))</f>
        <v/>
      </c>
      <c r="F358">
        <f>IF(E358="","",IFERROR(F357,0)+(-E358))</f>
        <v/>
      </c>
      <c r="G358" s="9">
        <f>IF(F358="","",F358/Cfg_FatConstant)</f>
        <v/>
      </c>
      <c r="H358" s="8">
        <f>IF(G358="","",Cfg_StartWeight-G358)</f>
        <v/>
      </c>
      <c r="I358" s="8">
        <f>IF(B358="","",Cfg_StartWeight-B358)</f>
        <v/>
      </c>
      <c r="J358" s="10">
        <f>IF(OR(B358="",G358=""),"",I358-G358)</f>
        <v/>
      </c>
      <c r="K358" s="9">
        <f>IF(B358="","",IFERROR(AVERAGEIFS($B$2:$B$1001,$A$2:$A$1001,"&gt;="&amp;A358-6,$A$2:$A$1001,"&lt;="&amp;A358),""))</f>
        <v/>
      </c>
    </row>
    <row r="359">
      <c r="A359" s="7" t="n"/>
      <c r="B359" s="8" t="n"/>
      <c r="E359">
        <f>IF(C359="","",C359-Cfg_TDEE-IFERROR(D359,0))</f>
        <v/>
      </c>
      <c r="F359">
        <f>IF(E359="","",IFERROR(F358,0)+(-E359))</f>
        <v/>
      </c>
      <c r="G359" s="9">
        <f>IF(F359="","",F359/Cfg_FatConstant)</f>
        <v/>
      </c>
      <c r="H359" s="8">
        <f>IF(G359="","",Cfg_StartWeight-G359)</f>
        <v/>
      </c>
      <c r="I359" s="8">
        <f>IF(B359="","",Cfg_StartWeight-B359)</f>
        <v/>
      </c>
      <c r="J359" s="10">
        <f>IF(OR(B359="",G359=""),"",I359-G359)</f>
        <v/>
      </c>
      <c r="K359" s="9">
        <f>IF(B359="","",IFERROR(AVERAGEIFS($B$2:$B$1001,$A$2:$A$1001,"&gt;="&amp;A359-6,$A$2:$A$1001,"&lt;="&amp;A359),""))</f>
        <v/>
      </c>
    </row>
    <row r="360">
      <c r="A360" s="7" t="n"/>
      <c r="B360" s="8" t="n"/>
      <c r="E360">
        <f>IF(C360="","",C360-Cfg_TDEE-IFERROR(D360,0))</f>
        <v/>
      </c>
      <c r="F360">
        <f>IF(E360="","",IFERROR(F359,0)+(-E360))</f>
        <v/>
      </c>
      <c r="G360" s="9">
        <f>IF(F360="","",F360/Cfg_FatConstant)</f>
        <v/>
      </c>
      <c r="H360" s="8">
        <f>IF(G360="","",Cfg_StartWeight-G360)</f>
        <v/>
      </c>
      <c r="I360" s="8">
        <f>IF(B360="","",Cfg_StartWeight-B360)</f>
        <v/>
      </c>
      <c r="J360" s="10">
        <f>IF(OR(B360="",G360=""),"",I360-G360)</f>
        <v/>
      </c>
      <c r="K360" s="9">
        <f>IF(B360="","",IFERROR(AVERAGEIFS($B$2:$B$1001,$A$2:$A$1001,"&gt;="&amp;A360-6,$A$2:$A$1001,"&lt;="&amp;A360),""))</f>
        <v/>
      </c>
    </row>
    <row r="361">
      <c r="A361" s="7" t="n"/>
      <c r="B361" s="8" t="n"/>
      <c r="E361">
        <f>IF(C361="","",C361-Cfg_TDEE-IFERROR(D361,0))</f>
        <v/>
      </c>
      <c r="F361">
        <f>IF(E361="","",IFERROR(F360,0)+(-E361))</f>
        <v/>
      </c>
      <c r="G361" s="9">
        <f>IF(F361="","",F361/Cfg_FatConstant)</f>
        <v/>
      </c>
      <c r="H361" s="8">
        <f>IF(G361="","",Cfg_StartWeight-G361)</f>
        <v/>
      </c>
      <c r="I361" s="8">
        <f>IF(B361="","",Cfg_StartWeight-B361)</f>
        <v/>
      </c>
      <c r="J361" s="10">
        <f>IF(OR(B361="",G361=""),"",I361-G361)</f>
        <v/>
      </c>
      <c r="K361" s="9">
        <f>IF(B361="","",IFERROR(AVERAGEIFS($B$2:$B$1001,$A$2:$A$1001,"&gt;="&amp;A361-6,$A$2:$A$1001,"&lt;="&amp;A361),""))</f>
        <v/>
      </c>
    </row>
    <row r="362">
      <c r="A362" s="7" t="n"/>
      <c r="B362" s="8" t="n"/>
      <c r="E362">
        <f>IF(C362="","",C362-Cfg_TDEE-IFERROR(D362,0))</f>
        <v/>
      </c>
      <c r="F362">
        <f>IF(E362="","",IFERROR(F361,0)+(-E362))</f>
        <v/>
      </c>
      <c r="G362" s="9">
        <f>IF(F362="","",F362/Cfg_FatConstant)</f>
        <v/>
      </c>
      <c r="H362" s="8">
        <f>IF(G362="","",Cfg_StartWeight-G362)</f>
        <v/>
      </c>
      <c r="I362" s="8">
        <f>IF(B362="","",Cfg_StartWeight-B362)</f>
        <v/>
      </c>
      <c r="J362" s="10">
        <f>IF(OR(B362="",G362=""),"",I362-G362)</f>
        <v/>
      </c>
      <c r="K362" s="9">
        <f>IF(B362="","",IFERROR(AVERAGEIFS($B$2:$B$1001,$A$2:$A$1001,"&gt;="&amp;A362-6,$A$2:$A$1001,"&lt;="&amp;A362),""))</f>
        <v/>
      </c>
    </row>
    <row r="363">
      <c r="A363" s="7" t="n"/>
      <c r="B363" s="8" t="n"/>
      <c r="E363">
        <f>IF(C363="","",C363-Cfg_TDEE-IFERROR(D363,0))</f>
        <v/>
      </c>
      <c r="F363">
        <f>IF(E363="","",IFERROR(F362,0)+(-E363))</f>
        <v/>
      </c>
      <c r="G363" s="9">
        <f>IF(F363="","",F363/Cfg_FatConstant)</f>
        <v/>
      </c>
      <c r="H363" s="8">
        <f>IF(G363="","",Cfg_StartWeight-G363)</f>
        <v/>
      </c>
      <c r="I363" s="8">
        <f>IF(B363="","",Cfg_StartWeight-B363)</f>
        <v/>
      </c>
      <c r="J363" s="10">
        <f>IF(OR(B363="",G363=""),"",I363-G363)</f>
        <v/>
      </c>
      <c r="K363" s="9">
        <f>IF(B363="","",IFERROR(AVERAGEIFS($B$2:$B$1001,$A$2:$A$1001,"&gt;="&amp;A363-6,$A$2:$A$1001,"&lt;="&amp;A363),""))</f>
        <v/>
      </c>
    </row>
    <row r="364">
      <c r="A364" s="7" t="n"/>
      <c r="B364" s="8" t="n"/>
      <c r="E364">
        <f>IF(C364="","",C364-Cfg_TDEE-IFERROR(D364,0))</f>
        <v/>
      </c>
      <c r="F364">
        <f>IF(E364="","",IFERROR(F363,0)+(-E364))</f>
        <v/>
      </c>
      <c r="G364" s="9">
        <f>IF(F364="","",F364/Cfg_FatConstant)</f>
        <v/>
      </c>
      <c r="H364" s="8">
        <f>IF(G364="","",Cfg_StartWeight-G364)</f>
        <v/>
      </c>
      <c r="I364" s="8">
        <f>IF(B364="","",Cfg_StartWeight-B364)</f>
        <v/>
      </c>
      <c r="J364" s="10">
        <f>IF(OR(B364="",G364=""),"",I364-G364)</f>
        <v/>
      </c>
      <c r="K364" s="9">
        <f>IF(B364="","",IFERROR(AVERAGEIFS($B$2:$B$1001,$A$2:$A$1001,"&gt;="&amp;A364-6,$A$2:$A$1001,"&lt;="&amp;A364),""))</f>
        <v/>
      </c>
    </row>
    <row r="365">
      <c r="A365" s="7" t="n"/>
      <c r="B365" s="8" t="n"/>
      <c r="E365">
        <f>IF(C365="","",C365-Cfg_TDEE-IFERROR(D365,0))</f>
        <v/>
      </c>
      <c r="F365">
        <f>IF(E365="","",IFERROR(F364,0)+(-E365))</f>
        <v/>
      </c>
      <c r="G365" s="9">
        <f>IF(F365="","",F365/Cfg_FatConstant)</f>
        <v/>
      </c>
      <c r="H365" s="8">
        <f>IF(G365="","",Cfg_StartWeight-G365)</f>
        <v/>
      </c>
      <c r="I365" s="8">
        <f>IF(B365="","",Cfg_StartWeight-B365)</f>
        <v/>
      </c>
      <c r="J365" s="10">
        <f>IF(OR(B365="",G365=""),"",I365-G365)</f>
        <v/>
      </c>
      <c r="K365" s="9">
        <f>IF(B365="","",IFERROR(AVERAGEIFS($B$2:$B$1001,$A$2:$A$1001,"&gt;="&amp;A365-6,$A$2:$A$1001,"&lt;="&amp;A365),""))</f>
        <v/>
      </c>
    </row>
    <row r="366">
      <c r="A366" s="7" t="n"/>
      <c r="B366" s="8" t="n"/>
      <c r="E366">
        <f>IF(C366="","",C366-Cfg_TDEE-IFERROR(D366,0))</f>
        <v/>
      </c>
      <c r="F366">
        <f>IF(E366="","",IFERROR(F365,0)+(-E366))</f>
        <v/>
      </c>
      <c r="G366" s="9">
        <f>IF(F366="","",F366/Cfg_FatConstant)</f>
        <v/>
      </c>
      <c r="H366" s="8">
        <f>IF(G366="","",Cfg_StartWeight-G366)</f>
        <v/>
      </c>
      <c r="I366" s="8">
        <f>IF(B366="","",Cfg_StartWeight-B366)</f>
        <v/>
      </c>
      <c r="J366" s="10">
        <f>IF(OR(B366="",G366=""),"",I366-G366)</f>
        <v/>
      </c>
      <c r="K366" s="9">
        <f>IF(B366="","",IFERROR(AVERAGEIFS($B$2:$B$1001,$A$2:$A$1001,"&gt;="&amp;A366-6,$A$2:$A$1001,"&lt;="&amp;A366),""))</f>
        <v/>
      </c>
    </row>
    <row r="367">
      <c r="A367" s="7" t="n"/>
      <c r="B367" s="8" t="n"/>
      <c r="E367">
        <f>IF(C367="","",C367-Cfg_TDEE-IFERROR(D367,0))</f>
        <v/>
      </c>
      <c r="F367">
        <f>IF(E367="","",IFERROR(F366,0)+(-E367))</f>
        <v/>
      </c>
      <c r="G367" s="9">
        <f>IF(F367="","",F367/Cfg_FatConstant)</f>
        <v/>
      </c>
      <c r="H367" s="8">
        <f>IF(G367="","",Cfg_StartWeight-G367)</f>
        <v/>
      </c>
      <c r="I367" s="8">
        <f>IF(B367="","",Cfg_StartWeight-B367)</f>
        <v/>
      </c>
      <c r="J367" s="10">
        <f>IF(OR(B367="",G367=""),"",I367-G367)</f>
        <v/>
      </c>
      <c r="K367" s="9">
        <f>IF(B367="","",IFERROR(AVERAGEIFS($B$2:$B$1001,$A$2:$A$1001,"&gt;="&amp;A367-6,$A$2:$A$1001,"&lt;="&amp;A367),""))</f>
        <v/>
      </c>
    </row>
    <row r="368">
      <c r="A368" s="7" t="n"/>
      <c r="B368" s="8" t="n"/>
      <c r="E368">
        <f>IF(C368="","",C368-Cfg_TDEE-IFERROR(D368,0))</f>
        <v/>
      </c>
      <c r="F368">
        <f>IF(E368="","",IFERROR(F367,0)+(-E368))</f>
        <v/>
      </c>
      <c r="G368" s="9">
        <f>IF(F368="","",F368/Cfg_FatConstant)</f>
        <v/>
      </c>
      <c r="H368" s="8">
        <f>IF(G368="","",Cfg_StartWeight-G368)</f>
        <v/>
      </c>
      <c r="I368" s="8">
        <f>IF(B368="","",Cfg_StartWeight-B368)</f>
        <v/>
      </c>
      <c r="J368" s="10">
        <f>IF(OR(B368="",G368=""),"",I368-G368)</f>
        <v/>
      </c>
      <c r="K368" s="9">
        <f>IF(B368="","",IFERROR(AVERAGEIFS($B$2:$B$1001,$A$2:$A$1001,"&gt;="&amp;A368-6,$A$2:$A$1001,"&lt;="&amp;A368),""))</f>
        <v/>
      </c>
    </row>
    <row r="369">
      <c r="A369" s="7" t="n"/>
      <c r="B369" s="8" t="n"/>
      <c r="E369">
        <f>IF(C369="","",C369-Cfg_TDEE-IFERROR(D369,0))</f>
        <v/>
      </c>
      <c r="F369">
        <f>IF(E369="","",IFERROR(F368,0)+(-E369))</f>
        <v/>
      </c>
      <c r="G369" s="9">
        <f>IF(F369="","",F369/Cfg_FatConstant)</f>
        <v/>
      </c>
      <c r="H369" s="8">
        <f>IF(G369="","",Cfg_StartWeight-G369)</f>
        <v/>
      </c>
      <c r="I369" s="8">
        <f>IF(B369="","",Cfg_StartWeight-B369)</f>
        <v/>
      </c>
      <c r="J369" s="10">
        <f>IF(OR(B369="",G369=""),"",I369-G369)</f>
        <v/>
      </c>
      <c r="K369" s="9">
        <f>IF(B369="","",IFERROR(AVERAGEIFS($B$2:$B$1001,$A$2:$A$1001,"&gt;="&amp;A369-6,$A$2:$A$1001,"&lt;="&amp;A369),""))</f>
        <v/>
      </c>
    </row>
    <row r="370">
      <c r="A370" s="7" t="n"/>
      <c r="B370" s="8" t="n"/>
      <c r="E370">
        <f>IF(C370="","",C370-Cfg_TDEE-IFERROR(D370,0))</f>
        <v/>
      </c>
      <c r="F370">
        <f>IF(E370="","",IFERROR(F369,0)+(-E370))</f>
        <v/>
      </c>
      <c r="G370" s="9">
        <f>IF(F370="","",F370/Cfg_FatConstant)</f>
        <v/>
      </c>
      <c r="H370" s="8">
        <f>IF(G370="","",Cfg_StartWeight-G370)</f>
        <v/>
      </c>
      <c r="I370" s="8">
        <f>IF(B370="","",Cfg_StartWeight-B370)</f>
        <v/>
      </c>
      <c r="J370" s="10">
        <f>IF(OR(B370="",G370=""),"",I370-G370)</f>
        <v/>
      </c>
      <c r="K370" s="9">
        <f>IF(B370="","",IFERROR(AVERAGEIFS($B$2:$B$1001,$A$2:$A$1001,"&gt;="&amp;A370-6,$A$2:$A$1001,"&lt;="&amp;A370),""))</f>
        <v/>
      </c>
    </row>
    <row r="371">
      <c r="A371" s="7" t="n"/>
      <c r="B371" s="8" t="n"/>
      <c r="E371">
        <f>IF(C371="","",C371-Cfg_TDEE-IFERROR(D371,0))</f>
        <v/>
      </c>
      <c r="F371">
        <f>IF(E371="","",IFERROR(F370,0)+(-E371))</f>
        <v/>
      </c>
      <c r="G371" s="9">
        <f>IF(F371="","",F371/Cfg_FatConstant)</f>
        <v/>
      </c>
      <c r="H371" s="8">
        <f>IF(G371="","",Cfg_StartWeight-G371)</f>
        <v/>
      </c>
      <c r="I371" s="8">
        <f>IF(B371="","",Cfg_StartWeight-B371)</f>
        <v/>
      </c>
      <c r="J371" s="10">
        <f>IF(OR(B371="",G371=""),"",I371-G371)</f>
        <v/>
      </c>
      <c r="K371" s="9">
        <f>IF(B371="","",IFERROR(AVERAGEIFS($B$2:$B$1001,$A$2:$A$1001,"&gt;="&amp;A371-6,$A$2:$A$1001,"&lt;="&amp;A371),""))</f>
        <v/>
      </c>
    </row>
    <row r="372">
      <c r="A372" s="7" t="n"/>
      <c r="B372" s="8" t="n"/>
      <c r="E372">
        <f>IF(C372="","",C372-Cfg_TDEE-IFERROR(D372,0))</f>
        <v/>
      </c>
      <c r="F372">
        <f>IF(E372="","",IFERROR(F371,0)+(-E372))</f>
        <v/>
      </c>
      <c r="G372" s="9">
        <f>IF(F372="","",F372/Cfg_FatConstant)</f>
        <v/>
      </c>
      <c r="H372" s="8">
        <f>IF(G372="","",Cfg_StartWeight-G372)</f>
        <v/>
      </c>
      <c r="I372" s="8">
        <f>IF(B372="","",Cfg_StartWeight-B372)</f>
        <v/>
      </c>
      <c r="J372" s="10">
        <f>IF(OR(B372="",G372=""),"",I372-G372)</f>
        <v/>
      </c>
      <c r="K372" s="9">
        <f>IF(B372="","",IFERROR(AVERAGEIFS($B$2:$B$1001,$A$2:$A$1001,"&gt;="&amp;A372-6,$A$2:$A$1001,"&lt;="&amp;A372),""))</f>
        <v/>
      </c>
    </row>
    <row r="373">
      <c r="A373" s="7" t="n"/>
      <c r="B373" s="8" t="n"/>
      <c r="E373">
        <f>IF(C373="","",C373-Cfg_TDEE-IFERROR(D373,0))</f>
        <v/>
      </c>
      <c r="F373">
        <f>IF(E373="","",IFERROR(F372,0)+(-E373))</f>
        <v/>
      </c>
      <c r="G373" s="9">
        <f>IF(F373="","",F373/Cfg_FatConstant)</f>
        <v/>
      </c>
      <c r="H373" s="8">
        <f>IF(G373="","",Cfg_StartWeight-G373)</f>
        <v/>
      </c>
      <c r="I373" s="8">
        <f>IF(B373="","",Cfg_StartWeight-B373)</f>
        <v/>
      </c>
      <c r="J373" s="10">
        <f>IF(OR(B373="",G373=""),"",I373-G373)</f>
        <v/>
      </c>
      <c r="K373" s="9">
        <f>IF(B373="","",IFERROR(AVERAGEIFS($B$2:$B$1001,$A$2:$A$1001,"&gt;="&amp;A373-6,$A$2:$A$1001,"&lt;="&amp;A373),""))</f>
        <v/>
      </c>
    </row>
    <row r="374">
      <c r="A374" s="7" t="n"/>
      <c r="B374" s="8" t="n"/>
      <c r="E374">
        <f>IF(C374="","",C374-Cfg_TDEE-IFERROR(D374,0))</f>
        <v/>
      </c>
      <c r="F374">
        <f>IF(E374="","",IFERROR(F373,0)+(-E374))</f>
        <v/>
      </c>
      <c r="G374" s="9">
        <f>IF(F374="","",F374/Cfg_FatConstant)</f>
        <v/>
      </c>
      <c r="H374" s="8">
        <f>IF(G374="","",Cfg_StartWeight-G374)</f>
        <v/>
      </c>
      <c r="I374" s="8">
        <f>IF(B374="","",Cfg_StartWeight-B374)</f>
        <v/>
      </c>
      <c r="J374" s="10">
        <f>IF(OR(B374="",G374=""),"",I374-G374)</f>
        <v/>
      </c>
      <c r="K374" s="9">
        <f>IF(B374="","",IFERROR(AVERAGEIFS($B$2:$B$1001,$A$2:$A$1001,"&gt;="&amp;A374-6,$A$2:$A$1001,"&lt;="&amp;A374),""))</f>
        <v/>
      </c>
    </row>
    <row r="375">
      <c r="A375" s="7" t="n"/>
      <c r="B375" s="8" t="n"/>
      <c r="E375">
        <f>IF(C375="","",C375-Cfg_TDEE-IFERROR(D375,0))</f>
        <v/>
      </c>
      <c r="F375">
        <f>IF(E375="","",IFERROR(F374,0)+(-E375))</f>
        <v/>
      </c>
      <c r="G375" s="9">
        <f>IF(F375="","",F375/Cfg_FatConstant)</f>
        <v/>
      </c>
      <c r="H375" s="8">
        <f>IF(G375="","",Cfg_StartWeight-G375)</f>
        <v/>
      </c>
      <c r="I375" s="8">
        <f>IF(B375="","",Cfg_StartWeight-B375)</f>
        <v/>
      </c>
      <c r="J375" s="10">
        <f>IF(OR(B375="",G375=""),"",I375-G375)</f>
        <v/>
      </c>
      <c r="K375" s="9">
        <f>IF(B375="","",IFERROR(AVERAGEIFS($B$2:$B$1001,$A$2:$A$1001,"&gt;="&amp;A375-6,$A$2:$A$1001,"&lt;="&amp;A375),""))</f>
        <v/>
      </c>
    </row>
    <row r="376">
      <c r="A376" s="7" t="n"/>
      <c r="B376" s="8" t="n"/>
      <c r="E376">
        <f>IF(C376="","",C376-Cfg_TDEE-IFERROR(D376,0))</f>
        <v/>
      </c>
      <c r="F376">
        <f>IF(E376="","",IFERROR(F375,0)+(-E376))</f>
        <v/>
      </c>
      <c r="G376" s="9">
        <f>IF(F376="","",F376/Cfg_FatConstant)</f>
        <v/>
      </c>
      <c r="H376" s="8">
        <f>IF(G376="","",Cfg_StartWeight-G376)</f>
        <v/>
      </c>
      <c r="I376" s="8">
        <f>IF(B376="","",Cfg_StartWeight-B376)</f>
        <v/>
      </c>
      <c r="J376" s="10">
        <f>IF(OR(B376="",G376=""),"",I376-G376)</f>
        <v/>
      </c>
      <c r="K376" s="9">
        <f>IF(B376="","",IFERROR(AVERAGEIFS($B$2:$B$1001,$A$2:$A$1001,"&gt;="&amp;A376-6,$A$2:$A$1001,"&lt;="&amp;A376),""))</f>
        <v/>
      </c>
    </row>
    <row r="377">
      <c r="A377" s="7" t="n"/>
      <c r="B377" s="8" t="n"/>
      <c r="E377">
        <f>IF(C377="","",C377-Cfg_TDEE-IFERROR(D377,0))</f>
        <v/>
      </c>
      <c r="F377">
        <f>IF(E377="","",IFERROR(F376,0)+(-E377))</f>
        <v/>
      </c>
      <c r="G377" s="9">
        <f>IF(F377="","",F377/Cfg_FatConstant)</f>
        <v/>
      </c>
      <c r="H377" s="8">
        <f>IF(G377="","",Cfg_StartWeight-G377)</f>
        <v/>
      </c>
      <c r="I377" s="8">
        <f>IF(B377="","",Cfg_StartWeight-B377)</f>
        <v/>
      </c>
      <c r="J377" s="10">
        <f>IF(OR(B377="",G377=""),"",I377-G377)</f>
        <v/>
      </c>
      <c r="K377" s="9">
        <f>IF(B377="","",IFERROR(AVERAGEIFS($B$2:$B$1001,$A$2:$A$1001,"&gt;="&amp;A377-6,$A$2:$A$1001,"&lt;="&amp;A377),""))</f>
        <v/>
      </c>
    </row>
    <row r="378">
      <c r="A378" s="7" t="n"/>
      <c r="B378" s="8" t="n"/>
      <c r="E378">
        <f>IF(C378="","",C378-Cfg_TDEE-IFERROR(D378,0))</f>
        <v/>
      </c>
      <c r="F378">
        <f>IF(E378="","",IFERROR(F377,0)+(-E378))</f>
        <v/>
      </c>
      <c r="G378" s="9">
        <f>IF(F378="","",F378/Cfg_FatConstant)</f>
        <v/>
      </c>
      <c r="H378" s="8">
        <f>IF(G378="","",Cfg_StartWeight-G378)</f>
        <v/>
      </c>
      <c r="I378" s="8">
        <f>IF(B378="","",Cfg_StartWeight-B378)</f>
        <v/>
      </c>
      <c r="J378" s="10">
        <f>IF(OR(B378="",G378=""),"",I378-G378)</f>
        <v/>
      </c>
      <c r="K378" s="9">
        <f>IF(B378="","",IFERROR(AVERAGEIFS($B$2:$B$1001,$A$2:$A$1001,"&gt;="&amp;A378-6,$A$2:$A$1001,"&lt;="&amp;A378),""))</f>
        <v/>
      </c>
    </row>
    <row r="379">
      <c r="A379" s="7" t="n"/>
      <c r="B379" s="8" t="n"/>
      <c r="E379">
        <f>IF(C379="","",C379-Cfg_TDEE-IFERROR(D379,0))</f>
        <v/>
      </c>
      <c r="F379">
        <f>IF(E379="","",IFERROR(F378,0)+(-E379))</f>
        <v/>
      </c>
      <c r="G379" s="9">
        <f>IF(F379="","",F379/Cfg_FatConstant)</f>
        <v/>
      </c>
      <c r="H379" s="8">
        <f>IF(G379="","",Cfg_StartWeight-G379)</f>
        <v/>
      </c>
      <c r="I379" s="8">
        <f>IF(B379="","",Cfg_StartWeight-B379)</f>
        <v/>
      </c>
      <c r="J379" s="10">
        <f>IF(OR(B379="",G379=""),"",I379-G379)</f>
        <v/>
      </c>
      <c r="K379" s="9">
        <f>IF(B379="","",IFERROR(AVERAGEIFS($B$2:$B$1001,$A$2:$A$1001,"&gt;="&amp;A379-6,$A$2:$A$1001,"&lt;="&amp;A379),""))</f>
        <v/>
      </c>
    </row>
    <row r="380">
      <c r="A380" s="7" t="n"/>
      <c r="B380" s="8" t="n"/>
      <c r="E380">
        <f>IF(C380="","",C380-Cfg_TDEE-IFERROR(D380,0))</f>
        <v/>
      </c>
      <c r="F380">
        <f>IF(E380="","",IFERROR(F379,0)+(-E380))</f>
        <v/>
      </c>
      <c r="G380" s="9">
        <f>IF(F380="","",F380/Cfg_FatConstant)</f>
        <v/>
      </c>
      <c r="H380" s="8">
        <f>IF(G380="","",Cfg_StartWeight-G380)</f>
        <v/>
      </c>
      <c r="I380" s="8">
        <f>IF(B380="","",Cfg_StartWeight-B380)</f>
        <v/>
      </c>
      <c r="J380" s="10">
        <f>IF(OR(B380="",G380=""),"",I380-G380)</f>
        <v/>
      </c>
      <c r="K380" s="9">
        <f>IF(B380="","",IFERROR(AVERAGEIFS($B$2:$B$1001,$A$2:$A$1001,"&gt;="&amp;A380-6,$A$2:$A$1001,"&lt;="&amp;A380),""))</f>
        <v/>
      </c>
    </row>
    <row r="381">
      <c r="A381" s="7" t="n"/>
      <c r="B381" s="8" t="n"/>
      <c r="E381">
        <f>IF(C381="","",C381-Cfg_TDEE-IFERROR(D381,0))</f>
        <v/>
      </c>
      <c r="F381">
        <f>IF(E381="","",IFERROR(F380,0)+(-E381))</f>
        <v/>
      </c>
      <c r="G381" s="9">
        <f>IF(F381="","",F381/Cfg_FatConstant)</f>
        <v/>
      </c>
      <c r="H381" s="8">
        <f>IF(G381="","",Cfg_StartWeight-G381)</f>
        <v/>
      </c>
      <c r="I381" s="8">
        <f>IF(B381="","",Cfg_StartWeight-B381)</f>
        <v/>
      </c>
      <c r="J381" s="10">
        <f>IF(OR(B381="",G381=""),"",I381-G381)</f>
        <v/>
      </c>
      <c r="K381" s="9">
        <f>IF(B381="","",IFERROR(AVERAGEIFS($B$2:$B$1001,$A$2:$A$1001,"&gt;="&amp;A381-6,$A$2:$A$1001,"&lt;="&amp;A381),""))</f>
        <v/>
      </c>
    </row>
    <row r="382">
      <c r="A382" s="7" t="n"/>
      <c r="B382" s="8" t="n"/>
      <c r="E382">
        <f>IF(C382="","",C382-Cfg_TDEE-IFERROR(D382,0))</f>
        <v/>
      </c>
      <c r="F382">
        <f>IF(E382="","",IFERROR(F381,0)+(-E382))</f>
        <v/>
      </c>
      <c r="G382" s="9">
        <f>IF(F382="","",F382/Cfg_FatConstant)</f>
        <v/>
      </c>
      <c r="H382" s="8">
        <f>IF(G382="","",Cfg_StartWeight-G382)</f>
        <v/>
      </c>
      <c r="I382" s="8">
        <f>IF(B382="","",Cfg_StartWeight-B382)</f>
        <v/>
      </c>
      <c r="J382" s="10">
        <f>IF(OR(B382="",G382=""),"",I382-G382)</f>
        <v/>
      </c>
      <c r="K382" s="9">
        <f>IF(B382="","",IFERROR(AVERAGEIFS($B$2:$B$1001,$A$2:$A$1001,"&gt;="&amp;A382-6,$A$2:$A$1001,"&lt;="&amp;A382),""))</f>
        <v/>
      </c>
    </row>
    <row r="383">
      <c r="A383" s="7" t="n"/>
      <c r="B383" s="8" t="n"/>
      <c r="E383">
        <f>IF(C383="","",C383-Cfg_TDEE-IFERROR(D383,0))</f>
        <v/>
      </c>
      <c r="F383">
        <f>IF(E383="","",IFERROR(F382,0)+(-E383))</f>
        <v/>
      </c>
      <c r="G383" s="9">
        <f>IF(F383="","",F383/Cfg_FatConstant)</f>
        <v/>
      </c>
      <c r="H383" s="8">
        <f>IF(G383="","",Cfg_StartWeight-G383)</f>
        <v/>
      </c>
      <c r="I383" s="8">
        <f>IF(B383="","",Cfg_StartWeight-B383)</f>
        <v/>
      </c>
      <c r="J383" s="10">
        <f>IF(OR(B383="",G383=""),"",I383-G383)</f>
        <v/>
      </c>
      <c r="K383" s="9">
        <f>IF(B383="","",IFERROR(AVERAGEIFS($B$2:$B$1001,$A$2:$A$1001,"&gt;="&amp;A383-6,$A$2:$A$1001,"&lt;="&amp;A383),""))</f>
        <v/>
      </c>
    </row>
    <row r="384">
      <c r="A384" s="7" t="n"/>
      <c r="B384" s="8" t="n"/>
      <c r="E384">
        <f>IF(C384="","",C384-Cfg_TDEE-IFERROR(D384,0))</f>
        <v/>
      </c>
      <c r="F384">
        <f>IF(E384="","",IFERROR(F383,0)+(-E384))</f>
        <v/>
      </c>
      <c r="G384" s="9">
        <f>IF(F384="","",F384/Cfg_FatConstant)</f>
        <v/>
      </c>
      <c r="H384" s="8">
        <f>IF(G384="","",Cfg_StartWeight-G384)</f>
        <v/>
      </c>
      <c r="I384" s="8">
        <f>IF(B384="","",Cfg_StartWeight-B384)</f>
        <v/>
      </c>
      <c r="J384" s="10">
        <f>IF(OR(B384="",G384=""),"",I384-G384)</f>
        <v/>
      </c>
      <c r="K384" s="9">
        <f>IF(B384="","",IFERROR(AVERAGEIFS($B$2:$B$1001,$A$2:$A$1001,"&gt;="&amp;A384-6,$A$2:$A$1001,"&lt;="&amp;A384),""))</f>
        <v/>
      </c>
    </row>
    <row r="385">
      <c r="A385" s="7" t="n"/>
      <c r="B385" s="8" t="n"/>
      <c r="E385">
        <f>IF(C385="","",C385-Cfg_TDEE-IFERROR(D385,0))</f>
        <v/>
      </c>
      <c r="F385">
        <f>IF(E385="","",IFERROR(F384,0)+(-E385))</f>
        <v/>
      </c>
      <c r="G385" s="9">
        <f>IF(F385="","",F385/Cfg_FatConstant)</f>
        <v/>
      </c>
      <c r="H385" s="8">
        <f>IF(G385="","",Cfg_StartWeight-G385)</f>
        <v/>
      </c>
      <c r="I385" s="8">
        <f>IF(B385="","",Cfg_StartWeight-B385)</f>
        <v/>
      </c>
      <c r="J385" s="10">
        <f>IF(OR(B385="",G385=""),"",I385-G385)</f>
        <v/>
      </c>
      <c r="K385" s="9">
        <f>IF(B385="","",IFERROR(AVERAGEIFS($B$2:$B$1001,$A$2:$A$1001,"&gt;="&amp;A385-6,$A$2:$A$1001,"&lt;="&amp;A385),""))</f>
        <v/>
      </c>
    </row>
    <row r="386">
      <c r="A386" s="7" t="n"/>
      <c r="B386" s="8" t="n"/>
      <c r="E386">
        <f>IF(C386="","",C386-Cfg_TDEE-IFERROR(D386,0))</f>
        <v/>
      </c>
      <c r="F386">
        <f>IF(E386="","",IFERROR(F385,0)+(-E386))</f>
        <v/>
      </c>
      <c r="G386" s="9">
        <f>IF(F386="","",F386/Cfg_FatConstant)</f>
        <v/>
      </c>
      <c r="H386" s="8">
        <f>IF(G386="","",Cfg_StartWeight-G386)</f>
        <v/>
      </c>
      <c r="I386" s="8">
        <f>IF(B386="","",Cfg_StartWeight-B386)</f>
        <v/>
      </c>
      <c r="J386" s="10">
        <f>IF(OR(B386="",G386=""),"",I386-G386)</f>
        <v/>
      </c>
      <c r="K386" s="9">
        <f>IF(B386="","",IFERROR(AVERAGEIFS($B$2:$B$1001,$A$2:$A$1001,"&gt;="&amp;A386-6,$A$2:$A$1001,"&lt;="&amp;A386),""))</f>
        <v/>
      </c>
    </row>
    <row r="387">
      <c r="A387" s="7" t="n"/>
      <c r="B387" s="8" t="n"/>
      <c r="E387">
        <f>IF(C387="","",C387-Cfg_TDEE-IFERROR(D387,0))</f>
        <v/>
      </c>
      <c r="F387">
        <f>IF(E387="","",IFERROR(F386,0)+(-E387))</f>
        <v/>
      </c>
      <c r="G387" s="9">
        <f>IF(F387="","",F387/Cfg_FatConstant)</f>
        <v/>
      </c>
      <c r="H387" s="8">
        <f>IF(G387="","",Cfg_StartWeight-G387)</f>
        <v/>
      </c>
      <c r="I387" s="8">
        <f>IF(B387="","",Cfg_StartWeight-B387)</f>
        <v/>
      </c>
      <c r="J387" s="10">
        <f>IF(OR(B387="",G387=""),"",I387-G387)</f>
        <v/>
      </c>
      <c r="K387" s="9">
        <f>IF(B387="","",IFERROR(AVERAGEIFS($B$2:$B$1001,$A$2:$A$1001,"&gt;="&amp;A387-6,$A$2:$A$1001,"&lt;="&amp;A387),""))</f>
        <v/>
      </c>
    </row>
    <row r="388">
      <c r="A388" s="7" t="n"/>
      <c r="B388" s="8" t="n"/>
      <c r="E388">
        <f>IF(C388="","",C388-Cfg_TDEE-IFERROR(D388,0))</f>
        <v/>
      </c>
      <c r="F388">
        <f>IF(E388="","",IFERROR(F387,0)+(-E388))</f>
        <v/>
      </c>
      <c r="G388" s="9">
        <f>IF(F388="","",F388/Cfg_FatConstant)</f>
        <v/>
      </c>
      <c r="H388" s="8">
        <f>IF(G388="","",Cfg_StartWeight-G388)</f>
        <v/>
      </c>
      <c r="I388" s="8">
        <f>IF(B388="","",Cfg_StartWeight-B388)</f>
        <v/>
      </c>
      <c r="J388" s="10">
        <f>IF(OR(B388="",G388=""),"",I388-G388)</f>
        <v/>
      </c>
      <c r="K388" s="9">
        <f>IF(B388="","",IFERROR(AVERAGEIFS($B$2:$B$1001,$A$2:$A$1001,"&gt;="&amp;A388-6,$A$2:$A$1001,"&lt;="&amp;A388),""))</f>
        <v/>
      </c>
    </row>
    <row r="389">
      <c r="A389" s="7" t="n"/>
      <c r="B389" s="8" t="n"/>
      <c r="E389">
        <f>IF(C389="","",C389-Cfg_TDEE-IFERROR(D389,0))</f>
        <v/>
      </c>
      <c r="F389">
        <f>IF(E389="","",IFERROR(F388,0)+(-E389))</f>
        <v/>
      </c>
      <c r="G389" s="9">
        <f>IF(F389="","",F389/Cfg_FatConstant)</f>
        <v/>
      </c>
      <c r="H389" s="8">
        <f>IF(G389="","",Cfg_StartWeight-G389)</f>
        <v/>
      </c>
      <c r="I389" s="8">
        <f>IF(B389="","",Cfg_StartWeight-B389)</f>
        <v/>
      </c>
      <c r="J389" s="10">
        <f>IF(OR(B389="",G389=""),"",I389-G389)</f>
        <v/>
      </c>
      <c r="K389" s="9">
        <f>IF(B389="","",IFERROR(AVERAGEIFS($B$2:$B$1001,$A$2:$A$1001,"&gt;="&amp;A389-6,$A$2:$A$1001,"&lt;="&amp;A389),""))</f>
        <v/>
      </c>
    </row>
    <row r="390">
      <c r="A390" s="7" t="n"/>
      <c r="B390" s="8" t="n"/>
      <c r="E390">
        <f>IF(C390="","",C390-Cfg_TDEE-IFERROR(D390,0))</f>
        <v/>
      </c>
      <c r="F390">
        <f>IF(E390="","",IFERROR(F389,0)+(-E390))</f>
        <v/>
      </c>
      <c r="G390" s="9">
        <f>IF(F390="","",F390/Cfg_FatConstant)</f>
        <v/>
      </c>
      <c r="H390" s="8">
        <f>IF(G390="","",Cfg_StartWeight-G390)</f>
        <v/>
      </c>
      <c r="I390" s="8">
        <f>IF(B390="","",Cfg_StartWeight-B390)</f>
        <v/>
      </c>
      <c r="J390" s="10">
        <f>IF(OR(B390="",G390=""),"",I390-G390)</f>
        <v/>
      </c>
      <c r="K390" s="9">
        <f>IF(B390="","",IFERROR(AVERAGEIFS($B$2:$B$1001,$A$2:$A$1001,"&gt;="&amp;A390-6,$A$2:$A$1001,"&lt;="&amp;A390),""))</f>
        <v/>
      </c>
    </row>
    <row r="391">
      <c r="A391" s="7" t="n"/>
      <c r="B391" s="8" t="n"/>
      <c r="E391">
        <f>IF(C391="","",C391-Cfg_TDEE-IFERROR(D391,0))</f>
        <v/>
      </c>
      <c r="F391">
        <f>IF(E391="","",IFERROR(F390,0)+(-E391))</f>
        <v/>
      </c>
      <c r="G391" s="9">
        <f>IF(F391="","",F391/Cfg_FatConstant)</f>
        <v/>
      </c>
      <c r="H391" s="8">
        <f>IF(G391="","",Cfg_StartWeight-G391)</f>
        <v/>
      </c>
      <c r="I391" s="8">
        <f>IF(B391="","",Cfg_StartWeight-B391)</f>
        <v/>
      </c>
      <c r="J391" s="10">
        <f>IF(OR(B391="",G391=""),"",I391-G391)</f>
        <v/>
      </c>
      <c r="K391" s="9">
        <f>IF(B391="","",IFERROR(AVERAGEIFS($B$2:$B$1001,$A$2:$A$1001,"&gt;="&amp;A391-6,$A$2:$A$1001,"&lt;="&amp;A391),""))</f>
        <v/>
      </c>
    </row>
    <row r="392">
      <c r="A392" s="7" t="n"/>
      <c r="B392" s="8" t="n"/>
      <c r="E392">
        <f>IF(C392="","",C392-Cfg_TDEE-IFERROR(D392,0))</f>
        <v/>
      </c>
      <c r="F392">
        <f>IF(E392="","",IFERROR(F391,0)+(-E392))</f>
        <v/>
      </c>
      <c r="G392" s="9">
        <f>IF(F392="","",F392/Cfg_FatConstant)</f>
        <v/>
      </c>
      <c r="H392" s="8">
        <f>IF(G392="","",Cfg_StartWeight-G392)</f>
        <v/>
      </c>
      <c r="I392" s="8">
        <f>IF(B392="","",Cfg_StartWeight-B392)</f>
        <v/>
      </c>
      <c r="J392" s="10">
        <f>IF(OR(B392="",G392=""),"",I392-G392)</f>
        <v/>
      </c>
      <c r="K392" s="9">
        <f>IF(B392="","",IFERROR(AVERAGEIFS($B$2:$B$1001,$A$2:$A$1001,"&gt;="&amp;A392-6,$A$2:$A$1001,"&lt;="&amp;A392),""))</f>
        <v/>
      </c>
    </row>
    <row r="393">
      <c r="A393" s="7" t="n"/>
      <c r="B393" s="8" t="n"/>
      <c r="E393">
        <f>IF(C393="","",C393-Cfg_TDEE-IFERROR(D393,0))</f>
        <v/>
      </c>
      <c r="F393">
        <f>IF(E393="","",IFERROR(F392,0)+(-E393))</f>
        <v/>
      </c>
      <c r="G393" s="9">
        <f>IF(F393="","",F393/Cfg_FatConstant)</f>
        <v/>
      </c>
      <c r="H393" s="8">
        <f>IF(G393="","",Cfg_StartWeight-G393)</f>
        <v/>
      </c>
      <c r="I393" s="8">
        <f>IF(B393="","",Cfg_StartWeight-B393)</f>
        <v/>
      </c>
      <c r="J393" s="10">
        <f>IF(OR(B393="",G393=""),"",I393-G393)</f>
        <v/>
      </c>
      <c r="K393" s="9">
        <f>IF(B393="","",IFERROR(AVERAGEIFS($B$2:$B$1001,$A$2:$A$1001,"&gt;="&amp;A393-6,$A$2:$A$1001,"&lt;="&amp;A393),""))</f>
        <v/>
      </c>
    </row>
    <row r="394">
      <c r="A394" s="7" t="n"/>
      <c r="B394" s="8" t="n"/>
      <c r="E394">
        <f>IF(C394="","",C394-Cfg_TDEE-IFERROR(D394,0))</f>
        <v/>
      </c>
      <c r="F394">
        <f>IF(E394="","",IFERROR(F393,0)+(-E394))</f>
        <v/>
      </c>
      <c r="G394" s="9">
        <f>IF(F394="","",F394/Cfg_FatConstant)</f>
        <v/>
      </c>
      <c r="H394" s="8">
        <f>IF(G394="","",Cfg_StartWeight-G394)</f>
        <v/>
      </c>
      <c r="I394" s="8">
        <f>IF(B394="","",Cfg_StartWeight-B394)</f>
        <v/>
      </c>
      <c r="J394" s="10">
        <f>IF(OR(B394="",G394=""),"",I394-G394)</f>
        <v/>
      </c>
      <c r="K394" s="9">
        <f>IF(B394="","",IFERROR(AVERAGEIFS($B$2:$B$1001,$A$2:$A$1001,"&gt;="&amp;A394-6,$A$2:$A$1001,"&lt;="&amp;A394),""))</f>
        <v/>
      </c>
    </row>
    <row r="395">
      <c r="A395" s="7" t="n"/>
      <c r="B395" s="8" t="n"/>
      <c r="E395">
        <f>IF(C395="","",C395-Cfg_TDEE-IFERROR(D395,0))</f>
        <v/>
      </c>
      <c r="F395">
        <f>IF(E395="","",IFERROR(F394,0)+(-E395))</f>
        <v/>
      </c>
      <c r="G395" s="9">
        <f>IF(F395="","",F395/Cfg_FatConstant)</f>
        <v/>
      </c>
      <c r="H395" s="8">
        <f>IF(G395="","",Cfg_StartWeight-G395)</f>
        <v/>
      </c>
      <c r="I395" s="8">
        <f>IF(B395="","",Cfg_StartWeight-B395)</f>
        <v/>
      </c>
      <c r="J395" s="10">
        <f>IF(OR(B395="",G395=""),"",I395-G395)</f>
        <v/>
      </c>
      <c r="K395" s="9">
        <f>IF(B395="","",IFERROR(AVERAGEIFS($B$2:$B$1001,$A$2:$A$1001,"&gt;="&amp;A395-6,$A$2:$A$1001,"&lt;="&amp;A395),""))</f>
        <v/>
      </c>
    </row>
    <row r="396">
      <c r="A396" s="7" t="n"/>
      <c r="B396" s="8" t="n"/>
      <c r="E396">
        <f>IF(C396="","",C396-Cfg_TDEE-IFERROR(D396,0))</f>
        <v/>
      </c>
      <c r="F396">
        <f>IF(E396="","",IFERROR(F395,0)+(-E396))</f>
        <v/>
      </c>
      <c r="G396" s="9">
        <f>IF(F396="","",F396/Cfg_FatConstant)</f>
        <v/>
      </c>
      <c r="H396" s="8">
        <f>IF(G396="","",Cfg_StartWeight-G396)</f>
        <v/>
      </c>
      <c r="I396" s="8">
        <f>IF(B396="","",Cfg_StartWeight-B396)</f>
        <v/>
      </c>
      <c r="J396" s="10">
        <f>IF(OR(B396="",G396=""),"",I396-G396)</f>
        <v/>
      </c>
      <c r="K396" s="9">
        <f>IF(B396="","",IFERROR(AVERAGEIFS($B$2:$B$1001,$A$2:$A$1001,"&gt;="&amp;A396-6,$A$2:$A$1001,"&lt;="&amp;A396),""))</f>
        <v/>
      </c>
    </row>
    <row r="397">
      <c r="A397" s="7" t="n"/>
      <c r="B397" s="8" t="n"/>
      <c r="E397">
        <f>IF(C397="","",C397-Cfg_TDEE-IFERROR(D397,0))</f>
        <v/>
      </c>
      <c r="F397">
        <f>IF(E397="","",IFERROR(F396,0)+(-E397))</f>
        <v/>
      </c>
      <c r="G397" s="9">
        <f>IF(F397="","",F397/Cfg_FatConstant)</f>
        <v/>
      </c>
      <c r="H397" s="8">
        <f>IF(G397="","",Cfg_StartWeight-G397)</f>
        <v/>
      </c>
      <c r="I397" s="8">
        <f>IF(B397="","",Cfg_StartWeight-B397)</f>
        <v/>
      </c>
      <c r="J397" s="10">
        <f>IF(OR(B397="",G397=""),"",I397-G397)</f>
        <v/>
      </c>
      <c r="K397" s="9">
        <f>IF(B397="","",IFERROR(AVERAGEIFS($B$2:$B$1001,$A$2:$A$1001,"&gt;="&amp;A397-6,$A$2:$A$1001,"&lt;="&amp;A397),""))</f>
        <v/>
      </c>
    </row>
    <row r="398">
      <c r="A398" s="7" t="n"/>
      <c r="B398" s="8" t="n"/>
      <c r="E398">
        <f>IF(C398="","",C398-Cfg_TDEE-IFERROR(D398,0))</f>
        <v/>
      </c>
      <c r="F398">
        <f>IF(E398="","",IFERROR(F397,0)+(-E398))</f>
        <v/>
      </c>
      <c r="G398" s="9">
        <f>IF(F398="","",F398/Cfg_FatConstant)</f>
        <v/>
      </c>
      <c r="H398" s="8">
        <f>IF(G398="","",Cfg_StartWeight-G398)</f>
        <v/>
      </c>
      <c r="I398" s="8">
        <f>IF(B398="","",Cfg_StartWeight-B398)</f>
        <v/>
      </c>
      <c r="J398" s="10">
        <f>IF(OR(B398="",G398=""),"",I398-G398)</f>
        <v/>
      </c>
      <c r="K398" s="9">
        <f>IF(B398="","",IFERROR(AVERAGEIFS($B$2:$B$1001,$A$2:$A$1001,"&gt;="&amp;A398-6,$A$2:$A$1001,"&lt;="&amp;A398),""))</f>
        <v/>
      </c>
    </row>
    <row r="399">
      <c r="A399" s="7" t="n"/>
      <c r="B399" s="8" t="n"/>
      <c r="E399">
        <f>IF(C399="","",C399-Cfg_TDEE-IFERROR(D399,0))</f>
        <v/>
      </c>
      <c r="F399">
        <f>IF(E399="","",IFERROR(F398,0)+(-E399))</f>
        <v/>
      </c>
      <c r="G399" s="9">
        <f>IF(F399="","",F399/Cfg_FatConstant)</f>
        <v/>
      </c>
      <c r="H399" s="8">
        <f>IF(G399="","",Cfg_StartWeight-G399)</f>
        <v/>
      </c>
      <c r="I399" s="8">
        <f>IF(B399="","",Cfg_StartWeight-B399)</f>
        <v/>
      </c>
      <c r="J399" s="10">
        <f>IF(OR(B399="",G399=""),"",I399-G399)</f>
        <v/>
      </c>
      <c r="K399" s="9">
        <f>IF(B399="","",IFERROR(AVERAGEIFS($B$2:$B$1001,$A$2:$A$1001,"&gt;="&amp;A399-6,$A$2:$A$1001,"&lt;="&amp;A399),""))</f>
        <v/>
      </c>
    </row>
    <row r="400">
      <c r="A400" s="7" t="n"/>
      <c r="B400" s="8" t="n"/>
      <c r="E400">
        <f>IF(C400="","",C400-Cfg_TDEE-IFERROR(D400,0))</f>
        <v/>
      </c>
      <c r="F400">
        <f>IF(E400="","",IFERROR(F399,0)+(-E400))</f>
        <v/>
      </c>
      <c r="G400" s="9">
        <f>IF(F400="","",F400/Cfg_FatConstant)</f>
        <v/>
      </c>
      <c r="H400" s="8">
        <f>IF(G400="","",Cfg_StartWeight-G400)</f>
        <v/>
      </c>
      <c r="I400" s="8">
        <f>IF(B400="","",Cfg_StartWeight-B400)</f>
        <v/>
      </c>
      <c r="J400" s="10">
        <f>IF(OR(B400="",G400=""),"",I400-G400)</f>
        <v/>
      </c>
      <c r="K400" s="9">
        <f>IF(B400="","",IFERROR(AVERAGEIFS($B$2:$B$1001,$A$2:$A$1001,"&gt;="&amp;A400-6,$A$2:$A$1001,"&lt;="&amp;A400),""))</f>
        <v/>
      </c>
    </row>
    <row r="401">
      <c r="A401" s="7" t="n"/>
      <c r="B401" s="8" t="n"/>
      <c r="E401">
        <f>IF(C401="","",C401-Cfg_TDEE-IFERROR(D401,0))</f>
        <v/>
      </c>
      <c r="F401">
        <f>IF(E401="","",IFERROR(F400,0)+(-E401))</f>
        <v/>
      </c>
      <c r="G401" s="9">
        <f>IF(F401="","",F401/Cfg_FatConstant)</f>
        <v/>
      </c>
      <c r="H401" s="8">
        <f>IF(G401="","",Cfg_StartWeight-G401)</f>
        <v/>
      </c>
      <c r="I401" s="8">
        <f>IF(B401="","",Cfg_StartWeight-B401)</f>
        <v/>
      </c>
      <c r="J401" s="10">
        <f>IF(OR(B401="",G401=""),"",I401-G401)</f>
        <v/>
      </c>
      <c r="K401" s="9">
        <f>IF(B401="","",IFERROR(AVERAGEIFS($B$2:$B$1001,$A$2:$A$1001,"&gt;="&amp;A401-6,$A$2:$A$1001,"&lt;="&amp;A401),""))</f>
        <v/>
      </c>
    </row>
    <row r="402">
      <c r="A402" s="7" t="n"/>
      <c r="B402" s="8" t="n"/>
      <c r="E402">
        <f>IF(C402="","",C402-Cfg_TDEE-IFERROR(D402,0))</f>
        <v/>
      </c>
      <c r="F402">
        <f>IF(E402="","",IFERROR(F401,0)+(-E402))</f>
        <v/>
      </c>
      <c r="G402" s="9">
        <f>IF(F402="","",F402/Cfg_FatConstant)</f>
        <v/>
      </c>
      <c r="H402" s="8">
        <f>IF(G402="","",Cfg_StartWeight-G402)</f>
        <v/>
      </c>
      <c r="I402" s="8">
        <f>IF(B402="","",Cfg_StartWeight-B402)</f>
        <v/>
      </c>
      <c r="J402" s="10">
        <f>IF(OR(B402="",G402=""),"",I402-G402)</f>
        <v/>
      </c>
      <c r="K402" s="9">
        <f>IF(B402="","",IFERROR(AVERAGEIFS($B$2:$B$1001,$A$2:$A$1001,"&gt;="&amp;A402-6,$A$2:$A$1001,"&lt;="&amp;A402),""))</f>
        <v/>
      </c>
    </row>
    <row r="403">
      <c r="A403" s="7" t="n"/>
      <c r="B403" s="8" t="n"/>
      <c r="E403">
        <f>IF(C403="","",C403-Cfg_TDEE-IFERROR(D403,0))</f>
        <v/>
      </c>
      <c r="F403">
        <f>IF(E403="","",IFERROR(F402,0)+(-E403))</f>
        <v/>
      </c>
      <c r="G403" s="9">
        <f>IF(F403="","",F403/Cfg_FatConstant)</f>
        <v/>
      </c>
      <c r="H403" s="8">
        <f>IF(G403="","",Cfg_StartWeight-G403)</f>
        <v/>
      </c>
      <c r="I403" s="8">
        <f>IF(B403="","",Cfg_StartWeight-B403)</f>
        <v/>
      </c>
      <c r="J403" s="10">
        <f>IF(OR(B403="",G403=""),"",I403-G403)</f>
        <v/>
      </c>
      <c r="K403" s="9">
        <f>IF(B403="","",IFERROR(AVERAGEIFS($B$2:$B$1001,$A$2:$A$1001,"&gt;="&amp;A403-6,$A$2:$A$1001,"&lt;="&amp;A403),""))</f>
        <v/>
      </c>
    </row>
    <row r="404">
      <c r="A404" s="7" t="n"/>
      <c r="B404" s="8" t="n"/>
      <c r="E404">
        <f>IF(C404="","",C404-Cfg_TDEE-IFERROR(D404,0))</f>
        <v/>
      </c>
      <c r="F404">
        <f>IF(E404="","",IFERROR(F403,0)+(-E404))</f>
        <v/>
      </c>
      <c r="G404" s="9">
        <f>IF(F404="","",F404/Cfg_FatConstant)</f>
        <v/>
      </c>
      <c r="H404" s="8">
        <f>IF(G404="","",Cfg_StartWeight-G404)</f>
        <v/>
      </c>
      <c r="I404" s="8">
        <f>IF(B404="","",Cfg_StartWeight-B404)</f>
        <v/>
      </c>
      <c r="J404" s="10">
        <f>IF(OR(B404="",G404=""),"",I404-G404)</f>
        <v/>
      </c>
      <c r="K404" s="9">
        <f>IF(B404="","",IFERROR(AVERAGEIFS($B$2:$B$1001,$A$2:$A$1001,"&gt;="&amp;A404-6,$A$2:$A$1001,"&lt;="&amp;A404),""))</f>
        <v/>
      </c>
    </row>
    <row r="405">
      <c r="A405" s="7" t="n"/>
      <c r="B405" s="8" t="n"/>
      <c r="E405">
        <f>IF(C405="","",C405-Cfg_TDEE-IFERROR(D405,0))</f>
        <v/>
      </c>
      <c r="F405">
        <f>IF(E405="","",IFERROR(F404,0)+(-E405))</f>
        <v/>
      </c>
      <c r="G405" s="9">
        <f>IF(F405="","",F405/Cfg_FatConstant)</f>
        <v/>
      </c>
      <c r="H405" s="8">
        <f>IF(G405="","",Cfg_StartWeight-G405)</f>
        <v/>
      </c>
      <c r="I405" s="8">
        <f>IF(B405="","",Cfg_StartWeight-B405)</f>
        <v/>
      </c>
      <c r="J405" s="10">
        <f>IF(OR(B405="",G405=""),"",I405-G405)</f>
        <v/>
      </c>
      <c r="K405" s="9">
        <f>IF(B405="","",IFERROR(AVERAGEIFS($B$2:$B$1001,$A$2:$A$1001,"&gt;="&amp;A405-6,$A$2:$A$1001,"&lt;="&amp;A405),""))</f>
        <v/>
      </c>
    </row>
    <row r="406">
      <c r="A406" s="7" t="n"/>
      <c r="B406" s="8" t="n"/>
      <c r="E406">
        <f>IF(C406="","",C406-Cfg_TDEE-IFERROR(D406,0))</f>
        <v/>
      </c>
      <c r="F406">
        <f>IF(E406="","",IFERROR(F405,0)+(-E406))</f>
        <v/>
      </c>
      <c r="G406" s="9">
        <f>IF(F406="","",F406/Cfg_FatConstant)</f>
        <v/>
      </c>
      <c r="H406" s="8">
        <f>IF(G406="","",Cfg_StartWeight-G406)</f>
        <v/>
      </c>
      <c r="I406" s="8">
        <f>IF(B406="","",Cfg_StartWeight-B406)</f>
        <v/>
      </c>
      <c r="J406" s="10">
        <f>IF(OR(B406="",G406=""),"",I406-G406)</f>
        <v/>
      </c>
      <c r="K406" s="9">
        <f>IF(B406="","",IFERROR(AVERAGEIFS($B$2:$B$1001,$A$2:$A$1001,"&gt;="&amp;A406-6,$A$2:$A$1001,"&lt;="&amp;A406),""))</f>
        <v/>
      </c>
    </row>
    <row r="407">
      <c r="A407" s="7" t="n"/>
      <c r="B407" s="8" t="n"/>
      <c r="E407">
        <f>IF(C407="","",C407-Cfg_TDEE-IFERROR(D407,0))</f>
        <v/>
      </c>
      <c r="F407">
        <f>IF(E407="","",IFERROR(F406,0)+(-E407))</f>
        <v/>
      </c>
      <c r="G407" s="9">
        <f>IF(F407="","",F407/Cfg_FatConstant)</f>
        <v/>
      </c>
      <c r="H407" s="8">
        <f>IF(G407="","",Cfg_StartWeight-G407)</f>
        <v/>
      </c>
      <c r="I407" s="8">
        <f>IF(B407="","",Cfg_StartWeight-B407)</f>
        <v/>
      </c>
      <c r="J407" s="10">
        <f>IF(OR(B407="",G407=""),"",I407-G407)</f>
        <v/>
      </c>
      <c r="K407" s="9">
        <f>IF(B407="","",IFERROR(AVERAGEIFS($B$2:$B$1001,$A$2:$A$1001,"&gt;="&amp;A407-6,$A$2:$A$1001,"&lt;="&amp;A407),""))</f>
        <v/>
      </c>
    </row>
    <row r="408">
      <c r="A408" s="7" t="n"/>
      <c r="B408" s="8" t="n"/>
      <c r="E408">
        <f>IF(C408="","",C408-Cfg_TDEE-IFERROR(D408,0))</f>
        <v/>
      </c>
      <c r="F408">
        <f>IF(E408="","",IFERROR(F407,0)+(-E408))</f>
        <v/>
      </c>
      <c r="G408" s="9">
        <f>IF(F408="","",F408/Cfg_FatConstant)</f>
        <v/>
      </c>
      <c r="H408" s="8">
        <f>IF(G408="","",Cfg_StartWeight-G408)</f>
        <v/>
      </c>
      <c r="I408" s="8">
        <f>IF(B408="","",Cfg_StartWeight-B408)</f>
        <v/>
      </c>
      <c r="J408" s="10">
        <f>IF(OR(B408="",G408=""),"",I408-G408)</f>
        <v/>
      </c>
      <c r="K408" s="9">
        <f>IF(B408="","",IFERROR(AVERAGEIFS($B$2:$B$1001,$A$2:$A$1001,"&gt;="&amp;A408-6,$A$2:$A$1001,"&lt;="&amp;A408),""))</f>
        <v/>
      </c>
    </row>
    <row r="409">
      <c r="A409" s="7" t="n"/>
      <c r="B409" s="8" t="n"/>
      <c r="E409">
        <f>IF(C409="","",C409-Cfg_TDEE-IFERROR(D409,0))</f>
        <v/>
      </c>
      <c r="F409">
        <f>IF(E409="","",IFERROR(F408,0)+(-E409))</f>
        <v/>
      </c>
      <c r="G409" s="9">
        <f>IF(F409="","",F409/Cfg_FatConstant)</f>
        <v/>
      </c>
      <c r="H409" s="8">
        <f>IF(G409="","",Cfg_StartWeight-G409)</f>
        <v/>
      </c>
      <c r="I409" s="8">
        <f>IF(B409="","",Cfg_StartWeight-B409)</f>
        <v/>
      </c>
      <c r="J409" s="10">
        <f>IF(OR(B409="",G409=""),"",I409-G409)</f>
        <v/>
      </c>
      <c r="K409" s="9">
        <f>IF(B409="","",IFERROR(AVERAGEIFS($B$2:$B$1001,$A$2:$A$1001,"&gt;="&amp;A409-6,$A$2:$A$1001,"&lt;="&amp;A409),""))</f>
        <v/>
      </c>
    </row>
    <row r="410">
      <c r="A410" s="7" t="n"/>
      <c r="B410" s="8" t="n"/>
      <c r="E410">
        <f>IF(C410="","",C410-Cfg_TDEE-IFERROR(D410,0))</f>
        <v/>
      </c>
      <c r="F410">
        <f>IF(E410="","",IFERROR(F409,0)+(-E410))</f>
        <v/>
      </c>
      <c r="G410" s="9">
        <f>IF(F410="","",F410/Cfg_FatConstant)</f>
        <v/>
      </c>
      <c r="H410" s="8">
        <f>IF(G410="","",Cfg_StartWeight-G410)</f>
        <v/>
      </c>
      <c r="I410" s="8">
        <f>IF(B410="","",Cfg_StartWeight-B410)</f>
        <v/>
      </c>
      <c r="J410" s="10">
        <f>IF(OR(B410="",G410=""),"",I410-G410)</f>
        <v/>
      </c>
      <c r="K410" s="9">
        <f>IF(B410="","",IFERROR(AVERAGEIFS($B$2:$B$1001,$A$2:$A$1001,"&gt;="&amp;A410-6,$A$2:$A$1001,"&lt;="&amp;A410),""))</f>
        <v/>
      </c>
    </row>
    <row r="411">
      <c r="A411" s="7" t="n"/>
      <c r="B411" s="8" t="n"/>
      <c r="E411">
        <f>IF(C411="","",C411-Cfg_TDEE-IFERROR(D411,0))</f>
        <v/>
      </c>
      <c r="F411">
        <f>IF(E411="","",IFERROR(F410,0)+(-E411))</f>
        <v/>
      </c>
      <c r="G411" s="9">
        <f>IF(F411="","",F411/Cfg_FatConstant)</f>
        <v/>
      </c>
      <c r="H411" s="8">
        <f>IF(G411="","",Cfg_StartWeight-G411)</f>
        <v/>
      </c>
      <c r="I411" s="8">
        <f>IF(B411="","",Cfg_StartWeight-B411)</f>
        <v/>
      </c>
      <c r="J411" s="10">
        <f>IF(OR(B411="",G411=""),"",I411-G411)</f>
        <v/>
      </c>
      <c r="K411" s="9">
        <f>IF(B411="","",IFERROR(AVERAGEIFS($B$2:$B$1001,$A$2:$A$1001,"&gt;="&amp;A411-6,$A$2:$A$1001,"&lt;="&amp;A411),""))</f>
        <v/>
      </c>
    </row>
    <row r="412">
      <c r="A412" s="7" t="n"/>
      <c r="B412" s="8" t="n"/>
      <c r="E412">
        <f>IF(C412="","",C412-Cfg_TDEE-IFERROR(D412,0))</f>
        <v/>
      </c>
      <c r="F412">
        <f>IF(E412="","",IFERROR(F411,0)+(-E412))</f>
        <v/>
      </c>
      <c r="G412" s="9">
        <f>IF(F412="","",F412/Cfg_FatConstant)</f>
        <v/>
      </c>
      <c r="H412" s="8">
        <f>IF(G412="","",Cfg_StartWeight-G412)</f>
        <v/>
      </c>
      <c r="I412" s="8">
        <f>IF(B412="","",Cfg_StartWeight-B412)</f>
        <v/>
      </c>
      <c r="J412" s="10">
        <f>IF(OR(B412="",G412=""),"",I412-G412)</f>
        <v/>
      </c>
      <c r="K412" s="9">
        <f>IF(B412="","",IFERROR(AVERAGEIFS($B$2:$B$1001,$A$2:$A$1001,"&gt;="&amp;A412-6,$A$2:$A$1001,"&lt;="&amp;A412),""))</f>
        <v/>
      </c>
    </row>
    <row r="413">
      <c r="A413" s="7" t="n"/>
      <c r="B413" s="8" t="n"/>
      <c r="E413">
        <f>IF(C413="","",C413-Cfg_TDEE-IFERROR(D413,0))</f>
        <v/>
      </c>
      <c r="F413">
        <f>IF(E413="","",IFERROR(F412,0)+(-E413))</f>
        <v/>
      </c>
      <c r="G413" s="9">
        <f>IF(F413="","",F413/Cfg_FatConstant)</f>
        <v/>
      </c>
      <c r="H413" s="8">
        <f>IF(G413="","",Cfg_StartWeight-G413)</f>
        <v/>
      </c>
      <c r="I413" s="8">
        <f>IF(B413="","",Cfg_StartWeight-B413)</f>
        <v/>
      </c>
      <c r="J413" s="10">
        <f>IF(OR(B413="",G413=""),"",I413-G413)</f>
        <v/>
      </c>
      <c r="K413" s="9">
        <f>IF(B413="","",IFERROR(AVERAGEIFS($B$2:$B$1001,$A$2:$A$1001,"&gt;="&amp;A413-6,$A$2:$A$1001,"&lt;="&amp;A413),""))</f>
        <v/>
      </c>
    </row>
    <row r="414">
      <c r="A414" s="7" t="n"/>
      <c r="B414" s="8" t="n"/>
      <c r="E414">
        <f>IF(C414="","",C414-Cfg_TDEE-IFERROR(D414,0))</f>
        <v/>
      </c>
      <c r="F414">
        <f>IF(E414="","",IFERROR(F413,0)+(-E414))</f>
        <v/>
      </c>
      <c r="G414" s="9">
        <f>IF(F414="","",F414/Cfg_FatConstant)</f>
        <v/>
      </c>
      <c r="H414" s="8">
        <f>IF(G414="","",Cfg_StartWeight-G414)</f>
        <v/>
      </c>
      <c r="I414" s="8">
        <f>IF(B414="","",Cfg_StartWeight-B414)</f>
        <v/>
      </c>
      <c r="J414" s="10">
        <f>IF(OR(B414="",G414=""),"",I414-G414)</f>
        <v/>
      </c>
      <c r="K414" s="9">
        <f>IF(B414="","",IFERROR(AVERAGEIFS($B$2:$B$1001,$A$2:$A$1001,"&gt;="&amp;A414-6,$A$2:$A$1001,"&lt;="&amp;A414),""))</f>
        <v/>
      </c>
    </row>
    <row r="415">
      <c r="A415" s="7" t="n"/>
      <c r="B415" s="8" t="n"/>
      <c r="E415">
        <f>IF(C415="","",C415-Cfg_TDEE-IFERROR(D415,0))</f>
        <v/>
      </c>
      <c r="F415">
        <f>IF(E415="","",IFERROR(F414,0)+(-E415))</f>
        <v/>
      </c>
      <c r="G415" s="9">
        <f>IF(F415="","",F415/Cfg_FatConstant)</f>
        <v/>
      </c>
      <c r="H415" s="8">
        <f>IF(G415="","",Cfg_StartWeight-G415)</f>
        <v/>
      </c>
      <c r="I415" s="8">
        <f>IF(B415="","",Cfg_StartWeight-B415)</f>
        <v/>
      </c>
      <c r="J415" s="10">
        <f>IF(OR(B415="",G415=""),"",I415-G415)</f>
        <v/>
      </c>
      <c r="K415" s="9">
        <f>IF(B415="","",IFERROR(AVERAGEIFS($B$2:$B$1001,$A$2:$A$1001,"&gt;="&amp;A415-6,$A$2:$A$1001,"&lt;="&amp;A415),""))</f>
        <v/>
      </c>
    </row>
    <row r="416">
      <c r="A416" s="7" t="n"/>
      <c r="B416" s="8" t="n"/>
      <c r="E416">
        <f>IF(C416="","",C416-Cfg_TDEE-IFERROR(D416,0))</f>
        <v/>
      </c>
      <c r="F416">
        <f>IF(E416="","",IFERROR(F415,0)+(-E416))</f>
        <v/>
      </c>
      <c r="G416" s="9">
        <f>IF(F416="","",F416/Cfg_FatConstant)</f>
        <v/>
      </c>
      <c r="H416" s="8">
        <f>IF(G416="","",Cfg_StartWeight-G416)</f>
        <v/>
      </c>
      <c r="I416" s="8">
        <f>IF(B416="","",Cfg_StartWeight-B416)</f>
        <v/>
      </c>
      <c r="J416" s="10">
        <f>IF(OR(B416="",G416=""),"",I416-G416)</f>
        <v/>
      </c>
      <c r="K416" s="9">
        <f>IF(B416="","",IFERROR(AVERAGEIFS($B$2:$B$1001,$A$2:$A$1001,"&gt;="&amp;A416-6,$A$2:$A$1001,"&lt;="&amp;A416),""))</f>
        <v/>
      </c>
    </row>
    <row r="417">
      <c r="A417" s="7" t="n"/>
      <c r="B417" s="8" t="n"/>
      <c r="E417">
        <f>IF(C417="","",C417-Cfg_TDEE-IFERROR(D417,0))</f>
        <v/>
      </c>
      <c r="F417">
        <f>IF(E417="","",IFERROR(F416,0)+(-E417))</f>
        <v/>
      </c>
      <c r="G417" s="9">
        <f>IF(F417="","",F417/Cfg_FatConstant)</f>
        <v/>
      </c>
      <c r="H417" s="8">
        <f>IF(G417="","",Cfg_StartWeight-G417)</f>
        <v/>
      </c>
      <c r="I417" s="8">
        <f>IF(B417="","",Cfg_StartWeight-B417)</f>
        <v/>
      </c>
      <c r="J417" s="10">
        <f>IF(OR(B417="",G417=""),"",I417-G417)</f>
        <v/>
      </c>
      <c r="K417" s="9">
        <f>IF(B417="","",IFERROR(AVERAGEIFS($B$2:$B$1001,$A$2:$A$1001,"&gt;="&amp;A417-6,$A$2:$A$1001,"&lt;="&amp;A417),""))</f>
        <v/>
      </c>
    </row>
    <row r="418">
      <c r="A418" s="7" t="n"/>
      <c r="B418" s="8" t="n"/>
      <c r="E418">
        <f>IF(C418="","",C418-Cfg_TDEE-IFERROR(D418,0))</f>
        <v/>
      </c>
      <c r="F418">
        <f>IF(E418="","",IFERROR(F417,0)+(-E418))</f>
        <v/>
      </c>
      <c r="G418" s="9">
        <f>IF(F418="","",F418/Cfg_FatConstant)</f>
        <v/>
      </c>
      <c r="H418" s="8">
        <f>IF(G418="","",Cfg_StartWeight-G418)</f>
        <v/>
      </c>
      <c r="I418" s="8">
        <f>IF(B418="","",Cfg_StartWeight-B418)</f>
        <v/>
      </c>
      <c r="J418" s="10">
        <f>IF(OR(B418="",G418=""),"",I418-G418)</f>
        <v/>
      </c>
      <c r="K418" s="9">
        <f>IF(B418="","",IFERROR(AVERAGEIFS($B$2:$B$1001,$A$2:$A$1001,"&gt;="&amp;A418-6,$A$2:$A$1001,"&lt;="&amp;A418),""))</f>
        <v/>
      </c>
    </row>
    <row r="419">
      <c r="A419" s="7" t="n"/>
      <c r="B419" s="8" t="n"/>
      <c r="E419">
        <f>IF(C419="","",C419-Cfg_TDEE-IFERROR(D419,0))</f>
        <v/>
      </c>
      <c r="F419">
        <f>IF(E419="","",IFERROR(F418,0)+(-E419))</f>
        <v/>
      </c>
      <c r="G419" s="9">
        <f>IF(F419="","",F419/Cfg_FatConstant)</f>
        <v/>
      </c>
      <c r="H419" s="8">
        <f>IF(G419="","",Cfg_StartWeight-G419)</f>
        <v/>
      </c>
      <c r="I419" s="8">
        <f>IF(B419="","",Cfg_StartWeight-B419)</f>
        <v/>
      </c>
      <c r="J419" s="10">
        <f>IF(OR(B419="",G419=""),"",I419-G419)</f>
        <v/>
      </c>
      <c r="K419" s="9">
        <f>IF(B419="","",IFERROR(AVERAGEIFS($B$2:$B$1001,$A$2:$A$1001,"&gt;="&amp;A419-6,$A$2:$A$1001,"&lt;="&amp;A419),""))</f>
        <v/>
      </c>
    </row>
    <row r="420">
      <c r="A420" s="7" t="n"/>
      <c r="B420" s="8" t="n"/>
      <c r="E420">
        <f>IF(C420="","",C420-Cfg_TDEE-IFERROR(D420,0))</f>
        <v/>
      </c>
      <c r="F420">
        <f>IF(E420="","",IFERROR(F419,0)+(-E420))</f>
        <v/>
      </c>
      <c r="G420" s="9">
        <f>IF(F420="","",F420/Cfg_FatConstant)</f>
        <v/>
      </c>
      <c r="H420" s="8">
        <f>IF(G420="","",Cfg_StartWeight-G420)</f>
        <v/>
      </c>
      <c r="I420" s="8">
        <f>IF(B420="","",Cfg_StartWeight-B420)</f>
        <v/>
      </c>
      <c r="J420" s="10">
        <f>IF(OR(B420="",G420=""),"",I420-G420)</f>
        <v/>
      </c>
      <c r="K420" s="9">
        <f>IF(B420="","",IFERROR(AVERAGEIFS($B$2:$B$1001,$A$2:$A$1001,"&gt;="&amp;A420-6,$A$2:$A$1001,"&lt;="&amp;A420),""))</f>
        <v/>
      </c>
    </row>
    <row r="421">
      <c r="A421" s="7" t="n"/>
      <c r="B421" s="8" t="n"/>
      <c r="E421">
        <f>IF(C421="","",C421-Cfg_TDEE-IFERROR(D421,0))</f>
        <v/>
      </c>
      <c r="F421">
        <f>IF(E421="","",IFERROR(F420,0)+(-E421))</f>
        <v/>
      </c>
      <c r="G421" s="9">
        <f>IF(F421="","",F421/Cfg_FatConstant)</f>
        <v/>
      </c>
      <c r="H421" s="8">
        <f>IF(G421="","",Cfg_StartWeight-G421)</f>
        <v/>
      </c>
      <c r="I421" s="8">
        <f>IF(B421="","",Cfg_StartWeight-B421)</f>
        <v/>
      </c>
      <c r="J421" s="10">
        <f>IF(OR(B421="",G421=""),"",I421-G421)</f>
        <v/>
      </c>
      <c r="K421" s="9">
        <f>IF(B421="","",IFERROR(AVERAGEIFS($B$2:$B$1001,$A$2:$A$1001,"&gt;="&amp;A421-6,$A$2:$A$1001,"&lt;="&amp;A421),""))</f>
        <v/>
      </c>
    </row>
    <row r="422">
      <c r="A422" s="7" t="n"/>
      <c r="B422" s="8" t="n"/>
      <c r="E422">
        <f>IF(C422="","",C422-Cfg_TDEE-IFERROR(D422,0))</f>
        <v/>
      </c>
      <c r="F422">
        <f>IF(E422="","",IFERROR(F421,0)+(-E422))</f>
        <v/>
      </c>
      <c r="G422" s="9">
        <f>IF(F422="","",F422/Cfg_FatConstant)</f>
        <v/>
      </c>
      <c r="H422" s="8">
        <f>IF(G422="","",Cfg_StartWeight-G422)</f>
        <v/>
      </c>
      <c r="I422" s="8">
        <f>IF(B422="","",Cfg_StartWeight-B422)</f>
        <v/>
      </c>
      <c r="J422" s="10">
        <f>IF(OR(B422="",G422=""),"",I422-G422)</f>
        <v/>
      </c>
      <c r="K422" s="9">
        <f>IF(B422="","",IFERROR(AVERAGEIFS($B$2:$B$1001,$A$2:$A$1001,"&gt;="&amp;A422-6,$A$2:$A$1001,"&lt;="&amp;A422),""))</f>
        <v/>
      </c>
    </row>
    <row r="423">
      <c r="A423" s="7" t="n"/>
      <c r="B423" s="8" t="n"/>
      <c r="E423">
        <f>IF(C423="","",C423-Cfg_TDEE-IFERROR(D423,0))</f>
        <v/>
      </c>
      <c r="F423">
        <f>IF(E423="","",IFERROR(F422,0)+(-E423))</f>
        <v/>
      </c>
      <c r="G423" s="9">
        <f>IF(F423="","",F423/Cfg_FatConstant)</f>
        <v/>
      </c>
      <c r="H423" s="8">
        <f>IF(G423="","",Cfg_StartWeight-G423)</f>
        <v/>
      </c>
      <c r="I423" s="8">
        <f>IF(B423="","",Cfg_StartWeight-B423)</f>
        <v/>
      </c>
      <c r="J423" s="10">
        <f>IF(OR(B423="",G423=""),"",I423-G423)</f>
        <v/>
      </c>
      <c r="K423" s="9">
        <f>IF(B423="","",IFERROR(AVERAGEIFS($B$2:$B$1001,$A$2:$A$1001,"&gt;="&amp;A423-6,$A$2:$A$1001,"&lt;="&amp;A423),""))</f>
        <v/>
      </c>
    </row>
    <row r="424">
      <c r="A424" s="7" t="n"/>
      <c r="B424" s="8" t="n"/>
      <c r="E424">
        <f>IF(C424="","",C424-Cfg_TDEE-IFERROR(D424,0))</f>
        <v/>
      </c>
      <c r="F424">
        <f>IF(E424="","",IFERROR(F423,0)+(-E424))</f>
        <v/>
      </c>
      <c r="G424" s="9">
        <f>IF(F424="","",F424/Cfg_FatConstant)</f>
        <v/>
      </c>
      <c r="H424" s="8">
        <f>IF(G424="","",Cfg_StartWeight-G424)</f>
        <v/>
      </c>
      <c r="I424" s="8">
        <f>IF(B424="","",Cfg_StartWeight-B424)</f>
        <v/>
      </c>
      <c r="J424" s="10">
        <f>IF(OR(B424="",G424=""),"",I424-G424)</f>
        <v/>
      </c>
      <c r="K424" s="9">
        <f>IF(B424="","",IFERROR(AVERAGEIFS($B$2:$B$1001,$A$2:$A$1001,"&gt;="&amp;A424-6,$A$2:$A$1001,"&lt;="&amp;A424),""))</f>
        <v/>
      </c>
    </row>
    <row r="425">
      <c r="A425" s="7" t="n"/>
      <c r="B425" s="8" t="n"/>
      <c r="E425">
        <f>IF(C425="","",C425-Cfg_TDEE-IFERROR(D425,0))</f>
        <v/>
      </c>
      <c r="F425">
        <f>IF(E425="","",IFERROR(F424,0)+(-E425))</f>
        <v/>
      </c>
      <c r="G425" s="9">
        <f>IF(F425="","",F425/Cfg_FatConstant)</f>
        <v/>
      </c>
      <c r="H425" s="8">
        <f>IF(G425="","",Cfg_StartWeight-G425)</f>
        <v/>
      </c>
      <c r="I425" s="8">
        <f>IF(B425="","",Cfg_StartWeight-B425)</f>
        <v/>
      </c>
      <c r="J425" s="10">
        <f>IF(OR(B425="",G425=""),"",I425-G425)</f>
        <v/>
      </c>
      <c r="K425" s="9">
        <f>IF(B425="","",IFERROR(AVERAGEIFS($B$2:$B$1001,$A$2:$A$1001,"&gt;="&amp;A425-6,$A$2:$A$1001,"&lt;="&amp;A425),""))</f>
        <v/>
      </c>
    </row>
    <row r="426">
      <c r="A426" s="7" t="n"/>
      <c r="B426" s="8" t="n"/>
      <c r="E426">
        <f>IF(C426="","",C426-Cfg_TDEE-IFERROR(D426,0))</f>
        <v/>
      </c>
      <c r="F426">
        <f>IF(E426="","",IFERROR(F425,0)+(-E426))</f>
        <v/>
      </c>
      <c r="G426" s="9">
        <f>IF(F426="","",F426/Cfg_FatConstant)</f>
        <v/>
      </c>
      <c r="H426" s="8">
        <f>IF(G426="","",Cfg_StartWeight-G426)</f>
        <v/>
      </c>
      <c r="I426" s="8">
        <f>IF(B426="","",Cfg_StartWeight-B426)</f>
        <v/>
      </c>
      <c r="J426" s="10">
        <f>IF(OR(B426="",G426=""),"",I426-G426)</f>
        <v/>
      </c>
      <c r="K426" s="9">
        <f>IF(B426="","",IFERROR(AVERAGEIFS($B$2:$B$1001,$A$2:$A$1001,"&gt;="&amp;A426-6,$A$2:$A$1001,"&lt;="&amp;A426),""))</f>
        <v/>
      </c>
    </row>
    <row r="427">
      <c r="A427" s="7" t="n"/>
      <c r="B427" s="8" t="n"/>
      <c r="E427">
        <f>IF(C427="","",C427-Cfg_TDEE-IFERROR(D427,0))</f>
        <v/>
      </c>
      <c r="F427">
        <f>IF(E427="","",IFERROR(F426,0)+(-E427))</f>
        <v/>
      </c>
      <c r="G427" s="9">
        <f>IF(F427="","",F427/Cfg_FatConstant)</f>
        <v/>
      </c>
      <c r="H427" s="8">
        <f>IF(G427="","",Cfg_StartWeight-G427)</f>
        <v/>
      </c>
      <c r="I427" s="8">
        <f>IF(B427="","",Cfg_StartWeight-B427)</f>
        <v/>
      </c>
      <c r="J427" s="10">
        <f>IF(OR(B427="",G427=""),"",I427-G427)</f>
        <v/>
      </c>
      <c r="K427" s="9">
        <f>IF(B427="","",IFERROR(AVERAGEIFS($B$2:$B$1001,$A$2:$A$1001,"&gt;="&amp;A427-6,$A$2:$A$1001,"&lt;="&amp;A427),""))</f>
        <v/>
      </c>
    </row>
    <row r="428">
      <c r="A428" s="7" t="n"/>
      <c r="B428" s="8" t="n"/>
      <c r="E428">
        <f>IF(C428="","",C428-Cfg_TDEE-IFERROR(D428,0))</f>
        <v/>
      </c>
      <c r="F428">
        <f>IF(E428="","",IFERROR(F427,0)+(-E428))</f>
        <v/>
      </c>
      <c r="G428" s="9">
        <f>IF(F428="","",F428/Cfg_FatConstant)</f>
        <v/>
      </c>
      <c r="H428" s="8">
        <f>IF(G428="","",Cfg_StartWeight-G428)</f>
        <v/>
      </c>
      <c r="I428" s="8">
        <f>IF(B428="","",Cfg_StartWeight-B428)</f>
        <v/>
      </c>
      <c r="J428" s="10">
        <f>IF(OR(B428="",G428=""),"",I428-G428)</f>
        <v/>
      </c>
      <c r="K428" s="9">
        <f>IF(B428="","",IFERROR(AVERAGEIFS($B$2:$B$1001,$A$2:$A$1001,"&gt;="&amp;A428-6,$A$2:$A$1001,"&lt;="&amp;A428),""))</f>
        <v/>
      </c>
    </row>
    <row r="429">
      <c r="A429" s="7" t="n"/>
      <c r="B429" s="8" t="n"/>
      <c r="E429">
        <f>IF(C429="","",C429-Cfg_TDEE-IFERROR(D429,0))</f>
        <v/>
      </c>
      <c r="F429">
        <f>IF(E429="","",IFERROR(F428,0)+(-E429))</f>
        <v/>
      </c>
      <c r="G429" s="9">
        <f>IF(F429="","",F429/Cfg_FatConstant)</f>
        <v/>
      </c>
      <c r="H429" s="8">
        <f>IF(G429="","",Cfg_StartWeight-G429)</f>
        <v/>
      </c>
      <c r="I429" s="8">
        <f>IF(B429="","",Cfg_StartWeight-B429)</f>
        <v/>
      </c>
      <c r="J429" s="10">
        <f>IF(OR(B429="",G429=""),"",I429-G429)</f>
        <v/>
      </c>
      <c r="K429" s="9">
        <f>IF(B429="","",IFERROR(AVERAGEIFS($B$2:$B$1001,$A$2:$A$1001,"&gt;="&amp;A429-6,$A$2:$A$1001,"&lt;="&amp;A429),""))</f>
        <v/>
      </c>
    </row>
    <row r="430">
      <c r="A430" s="7" t="n"/>
      <c r="B430" s="8" t="n"/>
      <c r="E430">
        <f>IF(C430="","",C430-Cfg_TDEE-IFERROR(D430,0))</f>
        <v/>
      </c>
      <c r="F430">
        <f>IF(E430="","",IFERROR(F429,0)+(-E430))</f>
        <v/>
      </c>
      <c r="G430" s="9">
        <f>IF(F430="","",F430/Cfg_FatConstant)</f>
        <v/>
      </c>
      <c r="H430" s="8">
        <f>IF(G430="","",Cfg_StartWeight-G430)</f>
        <v/>
      </c>
      <c r="I430" s="8">
        <f>IF(B430="","",Cfg_StartWeight-B430)</f>
        <v/>
      </c>
      <c r="J430" s="10">
        <f>IF(OR(B430="",G430=""),"",I430-G430)</f>
        <v/>
      </c>
      <c r="K430" s="9">
        <f>IF(B430="","",IFERROR(AVERAGEIFS($B$2:$B$1001,$A$2:$A$1001,"&gt;="&amp;A430-6,$A$2:$A$1001,"&lt;="&amp;A430),""))</f>
        <v/>
      </c>
    </row>
    <row r="431">
      <c r="A431" s="7" t="n"/>
      <c r="B431" s="8" t="n"/>
      <c r="E431">
        <f>IF(C431="","",C431-Cfg_TDEE-IFERROR(D431,0))</f>
        <v/>
      </c>
      <c r="F431">
        <f>IF(E431="","",IFERROR(F430,0)+(-E431))</f>
        <v/>
      </c>
      <c r="G431" s="9">
        <f>IF(F431="","",F431/Cfg_FatConstant)</f>
        <v/>
      </c>
      <c r="H431" s="8">
        <f>IF(G431="","",Cfg_StartWeight-G431)</f>
        <v/>
      </c>
      <c r="I431" s="8">
        <f>IF(B431="","",Cfg_StartWeight-B431)</f>
        <v/>
      </c>
      <c r="J431" s="10">
        <f>IF(OR(B431="",G431=""),"",I431-G431)</f>
        <v/>
      </c>
      <c r="K431" s="9">
        <f>IF(B431="","",IFERROR(AVERAGEIFS($B$2:$B$1001,$A$2:$A$1001,"&gt;="&amp;A431-6,$A$2:$A$1001,"&lt;="&amp;A431),""))</f>
        <v/>
      </c>
    </row>
    <row r="432">
      <c r="A432" s="7" t="n"/>
      <c r="B432" s="8" t="n"/>
      <c r="E432">
        <f>IF(C432="","",C432-Cfg_TDEE-IFERROR(D432,0))</f>
        <v/>
      </c>
      <c r="F432">
        <f>IF(E432="","",IFERROR(F431,0)+(-E432))</f>
        <v/>
      </c>
      <c r="G432" s="9">
        <f>IF(F432="","",F432/Cfg_FatConstant)</f>
        <v/>
      </c>
      <c r="H432" s="8">
        <f>IF(G432="","",Cfg_StartWeight-G432)</f>
        <v/>
      </c>
      <c r="I432" s="8">
        <f>IF(B432="","",Cfg_StartWeight-B432)</f>
        <v/>
      </c>
      <c r="J432" s="10">
        <f>IF(OR(B432="",G432=""),"",I432-G432)</f>
        <v/>
      </c>
      <c r="K432" s="9">
        <f>IF(B432="","",IFERROR(AVERAGEIFS($B$2:$B$1001,$A$2:$A$1001,"&gt;="&amp;A432-6,$A$2:$A$1001,"&lt;="&amp;A432),""))</f>
        <v/>
      </c>
    </row>
    <row r="433">
      <c r="A433" s="7" t="n"/>
      <c r="B433" s="8" t="n"/>
      <c r="E433">
        <f>IF(C433="","",C433-Cfg_TDEE-IFERROR(D433,0))</f>
        <v/>
      </c>
      <c r="F433">
        <f>IF(E433="","",IFERROR(F432,0)+(-E433))</f>
        <v/>
      </c>
      <c r="G433" s="9">
        <f>IF(F433="","",F433/Cfg_FatConstant)</f>
        <v/>
      </c>
      <c r="H433" s="8">
        <f>IF(G433="","",Cfg_StartWeight-G433)</f>
        <v/>
      </c>
      <c r="I433" s="8">
        <f>IF(B433="","",Cfg_StartWeight-B433)</f>
        <v/>
      </c>
      <c r="J433" s="10">
        <f>IF(OR(B433="",G433=""),"",I433-G433)</f>
        <v/>
      </c>
      <c r="K433" s="9">
        <f>IF(B433="","",IFERROR(AVERAGEIFS($B$2:$B$1001,$A$2:$A$1001,"&gt;="&amp;A433-6,$A$2:$A$1001,"&lt;="&amp;A433),""))</f>
        <v/>
      </c>
    </row>
    <row r="434">
      <c r="A434" s="7" t="n"/>
      <c r="B434" s="8" t="n"/>
      <c r="E434">
        <f>IF(C434="","",C434-Cfg_TDEE-IFERROR(D434,0))</f>
        <v/>
      </c>
      <c r="F434">
        <f>IF(E434="","",IFERROR(F433,0)+(-E434))</f>
        <v/>
      </c>
      <c r="G434" s="9">
        <f>IF(F434="","",F434/Cfg_FatConstant)</f>
        <v/>
      </c>
      <c r="H434" s="8">
        <f>IF(G434="","",Cfg_StartWeight-G434)</f>
        <v/>
      </c>
      <c r="I434" s="8">
        <f>IF(B434="","",Cfg_StartWeight-B434)</f>
        <v/>
      </c>
      <c r="J434" s="10">
        <f>IF(OR(B434="",G434=""),"",I434-G434)</f>
        <v/>
      </c>
      <c r="K434" s="9">
        <f>IF(B434="","",IFERROR(AVERAGEIFS($B$2:$B$1001,$A$2:$A$1001,"&gt;="&amp;A434-6,$A$2:$A$1001,"&lt;="&amp;A434),""))</f>
        <v/>
      </c>
    </row>
    <row r="435">
      <c r="A435" s="7" t="n"/>
      <c r="B435" s="8" t="n"/>
      <c r="E435">
        <f>IF(C435="","",C435-Cfg_TDEE-IFERROR(D435,0))</f>
        <v/>
      </c>
      <c r="F435">
        <f>IF(E435="","",IFERROR(F434,0)+(-E435))</f>
        <v/>
      </c>
      <c r="G435" s="9">
        <f>IF(F435="","",F435/Cfg_FatConstant)</f>
        <v/>
      </c>
      <c r="H435" s="8">
        <f>IF(G435="","",Cfg_StartWeight-G435)</f>
        <v/>
      </c>
      <c r="I435" s="8">
        <f>IF(B435="","",Cfg_StartWeight-B435)</f>
        <v/>
      </c>
      <c r="J435" s="10">
        <f>IF(OR(B435="",G435=""),"",I435-G435)</f>
        <v/>
      </c>
      <c r="K435" s="9">
        <f>IF(B435="","",IFERROR(AVERAGEIFS($B$2:$B$1001,$A$2:$A$1001,"&gt;="&amp;A435-6,$A$2:$A$1001,"&lt;="&amp;A435),""))</f>
        <v/>
      </c>
    </row>
    <row r="436">
      <c r="A436" s="7" t="n"/>
      <c r="B436" s="8" t="n"/>
      <c r="E436">
        <f>IF(C436="","",C436-Cfg_TDEE-IFERROR(D436,0))</f>
        <v/>
      </c>
      <c r="F436">
        <f>IF(E436="","",IFERROR(F435,0)+(-E436))</f>
        <v/>
      </c>
      <c r="G436" s="9">
        <f>IF(F436="","",F436/Cfg_FatConstant)</f>
        <v/>
      </c>
      <c r="H436" s="8">
        <f>IF(G436="","",Cfg_StartWeight-G436)</f>
        <v/>
      </c>
      <c r="I436" s="8">
        <f>IF(B436="","",Cfg_StartWeight-B436)</f>
        <v/>
      </c>
      <c r="J436" s="10">
        <f>IF(OR(B436="",G436=""),"",I436-G436)</f>
        <v/>
      </c>
      <c r="K436" s="9">
        <f>IF(B436="","",IFERROR(AVERAGEIFS($B$2:$B$1001,$A$2:$A$1001,"&gt;="&amp;A436-6,$A$2:$A$1001,"&lt;="&amp;A436),""))</f>
        <v/>
      </c>
    </row>
    <row r="437">
      <c r="A437" s="7" t="n"/>
      <c r="B437" s="8" t="n"/>
      <c r="E437">
        <f>IF(C437="","",C437-Cfg_TDEE-IFERROR(D437,0))</f>
        <v/>
      </c>
      <c r="F437">
        <f>IF(E437="","",IFERROR(F436,0)+(-E437))</f>
        <v/>
      </c>
      <c r="G437" s="9">
        <f>IF(F437="","",F437/Cfg_FatConstant)</f>
        <v/>
      </c>
      <c r="H437" s="8">
        <f>IF(G437="","",Cfg_StartWeight-G437)</f>
        <v/>
      </c>
      <c r="I437" s="8">
        <f>IF(B437="","",Cfg_StartWeight-B437)</f>
        <v/>
      </c>
      <c r="J437" s="10">
        <f>IF(OR(B437="",G437=""),"",I437-G437)</f>
        <v/>
      </c>
      <c r="K437" s="9">
        <f>IF(B437="","",IFERROR(AVERAGEIFS($B$2:$B$1001,$A$2:$A$1001,"&gt;="&amp;A437-6,$A$2:$A$1001,"&lt;="&amp;A437),""))</f>
        <v/>
      </c>
    </row>
    <row r="438">
      <c r="A438" s="7" t="n"/>
      <c r="B438" s="8" t="n"/>
      <c r="E438">
        <f>IF(C438="","",C438-Cfg_TDEE-IFERROR(D438,0))</f>
        <v/>
      </c>
      <c r="F438">
        <f>IF(E438="","",IFERROR(F437,0)+(-E438))</f>
        <v/>
      </c>
      <c r="G438" s="9">
        <f>IF(F438="","",F438/Cfg_FatConstant)</f>
        <v/>
      </c>
      <c r="H438" s="8">
        <f>IF(G438="","",Cfg_StartWeight-G438)</f>
        <v/>
      </c>
      <c r="I438" s="8">
        <f>IF(B438="","",Cfg_StartWeight-B438)</f>
        <v/>
      </c>
      <c r="J438" s="10">
        <f>IF(OR(B438="",G438=""),"",I438-G438)</f>
        <v/>
      </c>
      <c r="K438" s="9">
        <f>IF(B438="","",IFERROR(AVERAGEIFS($B$2:$B$1001,$A$2:$A$1001,"&gt;="&amp;A438-6,$A$2:$A$1001,"&lt;="&amp;A438),""))</f>
        <v/>
      </c>
    </row>
    <row r="439">
      <c r="A439" s="7" t="n"/>
      <c r="B439" s="8" t="n"/>
      <c r="E439">
        <f>IF(C439="","",C439-Cfg_TDEE-IFERROR(D439,0))</f>
        <v/>
      </c>
      <c r="F439">
        <f>IF(E439="","",IFERROR(F438,0)+(-E439))</f>
        <v/>
      </c>
      <c r="G439" s="9">
        <f>IF(F439="","",F439/Cfg_FatConstant)</f>
        <v/>
      </c>
      <c r="H439" s="8">
        <f>IF(G439="","",Cfg_StartWeight-G439)</f>
        <v/>
      </c>
      <c r="I439" s="8">
        <f>IF(B439="","",Cfg_StartWeight-B439)</f>
        <v/>
      </c>
      <c r="J439" s="10">
        <f>IF(OR(B439="",G439=""),"",I439-G439)</f>
        <v/>
      </c>
      <c r="K439" s="9">
        <f>IF(B439="","",IFERROR(AVERAGEIFS($B$2:$B$1001,$A$2:$A$1001,"&gt;="&amp;A439-6,$A$2:$A$1001,"&lt;="&amp;A439),""))</f>
        <v/>
      </c>
    </row>
    <row r="440">
      <c r="A440" s="7" t="n"/>
      <c r="B440" s="8" t="n"/>
      <c r="E440">
        <f>IF(C440="","",C440-Cfg_TDEE-IFERROR(D440,0))</f>
        <v/>
      </c>
      <c r="F440">
        <f>IF(E440="","",IFERROR(F439,0)+(-E440))</f>
        <v/>
      </c>
      <c r="G440" s="9">
        <f>IF(F440="","",F440/Cfg_FatConstant)</f>
        <v/>
      </c>
      <c r="H440" s="8">
        <f>IF(G440="","",Cfg_StartWeight-G440)</f>
        <v/>
      </c>
      <c r="I440" s="8">
        <f>IF(B440="","",Cfg_StartWeight-B440)</f>
        <v/>
      </c>
      <c r="J440" s="10">
        <f>IF(OR(B440="",G440=""),"",I440-G440)</f>
        <v/>
      </c>
      <c r="K440" s="9">
        <f>IF(B440="","",IFERROR(AVERAGEIFS($B$2:$B$1001,$A$2:$A$1001,"&gt;="&amp;A440-6,$A$2:$A$1001,"&lt;="&amp;A440),""))</f>
        <v/>
      </c>
    </row>
    <row r="441">
      <c r="A441" s="7" t="n"/>
      <c r="B441" s="8" t="n"/>
      <c r="E441">
        <f>IF(C441="","",C441-Cfg_TDEE-IFERROR(D441,0))</f>
        <v/>
      </c>
      <c r="F441">
        <f>IF(E441="","",IFERROR(F440,0)+(-E441))</f>
        <v/>
      </c>
      <c r="G441" s="9">
        <f>IF(F441="","",F441/Cfg_FatConstant)</f>
        <v/>
      </c>
      <c r="H441" s="8">
        <f>IF(G441="","",Cfg_StartWeight-G441)</f>
        <v/>
      </c>
      <c r="I441" s="8">
        <f>IF(B441="","",Cfg_StartWeight-B441)</f>
        <v/>
      </c>
      <c r="J441" s="10">
        <f>IF(OR(B441="",G441=""),"",I441-G441)</f>
        <v/>
      </c>
      <c r="K441" s="9">
        <f>IF(B441="","",IFERROR(AVERAGEIFS($B$2:$B$1001,$A$2:$A$1001,"&gt;="&amp;A441-6,$A$2:$A$1001,"&lt;="&amp;A441),""))</f>
        <v/>
      </c>
    </row>
    <row r="442">
      <c r="A442" s="7" t="n"/>
      <c r="B442" s="8" t="n"/>
      <c r="E442">
        <f>IF(C442="","",C442-Cfg_TDEE-IFERROR(D442,0))</f>
        <v/>
      </c>
      <c r="F442">
        <f>IF(E442="","",IFERROR(F441,0)+(-E442))</f>
        <v/>
      </c>
      <c r="G442" s="9">
        <f>IF(F442="","",F442/Cfg_FatConstant)</f>
        <v/>
      </c>
      <c r="H442" s="8">
        <f>IF(G442="","",Cfg_StartWeight-G442)</f>
        <v/>
      </c>
      <c r="I442" s="8">
        <f>IF(B442="","",Cfg_StartWeight-B442)</f>
        <v/>
      </c>
      <c r="J442" s="10">
        <f>IF(OR(B442="",G442=""),"",I442-G442)</f>
        <v/>
      </c>
      <c r="K442" s="9">
        <f>IF(B442="","",IFERROR(AVERAGEIFS($B$2:$B$1001,$A$2:$A$1001,"&gt;="&amp;A442-6,$A$2:$A$1001,"&lt;="&amp;A442),""))</f>
        <v/>
      </c>
    </row>
    <row r="443">
      <c r="A443" s="7" t="n"/>
      <c r="B443" s="8" t="n"/>
      <c r="E443">
        <f>IF(C443="","",C443-Cfg_TDEE-IFERROR(D443,0))</f>
        <v/>
      </c>
      <c r="F443">
        <f>IF(E443="","",IFERROR(F442,0)+(-E443))</f>
        <v/>
      </c>
      <c r="G443" s="9">
        <f>IF(F443="","",F443/Cfg_FatConstant)</f>
        <v/>
      </c>
      <c r="H443" s="8">
        <f>IF(G443="","",Cfg_StartWeight-G443)</f>
        <v/>
      </c>
      <c r="I443" s="8">
        <f>IF(B443="","",Cfg_StartWeight-B443)</f>
        <v/>
      </c>
      <c r="J443" s="10">
        <f>IF(OR(B443="",G443=""),"",I443-G443)</f>
        <v/>
      </c>
      <c r="K443" s="9">
        <f>IF(B443="","",IFERROR(AVERAGEIFS($B$2:$B$1001,$A$2:$A$1001,"&gt;="&amp;A443-6,$A$2:$A$1001,"&lt;="&amp;A443),""))</f>
        <v/>
      </c>
    </row>
    <row r="444">
      <c r="A444" s="7" t="n"/>
      <c r="B444" s="8" t="n"/>
      <c r="E444">
        <f>IF(C444="","",C444-Cfg_TDEE-IFERROR(D444,0))</f>
        <v/>
      </c>
      <c r="F444">
        <f>IF(E444="","",IFERROR(F443,0)+(-E444))</f>
        <v/>
      </c>
      <c r="G444" s="9">
        <f>IF(F444="","",F444/Cfg_FatConstant)</f>
        <v/>
      </c>
      <c r="H444" s="8">
        <f>IF(G444="","",Cfg_StartWeight-G444)</f>
        <v/>
      </c>
      <c r="I444" s="8">
        <f>IF(B444="","",Cfg_StartWeight-B444)</f>
        <v/>
      </c>
      <c r="J444" s="10">
        <f>IF(OR(B444="",G444=""),"",I444-G444)</f>
        <v/>
      </c>
      <c r="K444" s="9">
        <f>IF(B444="","",IFERROR(AVERAGEIFS($B$2:$B$1001,$A$2:$A$1001,"&gt;="&amp;A444-6,$A$2:$A$1001,"&lt;="&amp;A444),""))</f>
        <v/>
      </c>
    </row>
    <row r="445">
      <c r="A445" s="7" t="n"/>
      <c r="B445" s="8" t="n"/>
      <c r="E445">
        <f>IF(C445="","",C445-Cfg_TDEE-IFERROR(D445,0))</f>
        <v/>
      </c>
      <c r="F445">
        <f>IF(E445="","",IFERROR(F444,0)+(-E445))</f>
        <v/>
      </c>
      <c r="G445" s="9">
        <f>IF(F445="","",F445/Cfg_FatConstant)</f>
        <v/>
      </c>
      <c r="H445" s="8">
        <f>IF(G445="","",Cfg_StartWeight-G445)</f>
        <v/>
      </c>
      <c r="I445" s="8">
        <f>IF(B445="","",Cfg_StartWeight-B445)</f>
        <v/>
      </c>
      <c r="J445" s="10">
        <f>IF(OR(B445="",G445=""),"",I445-G445)</f>
        <v/>
      </c>
      <c r="K445" s="9">
        <f>IF(B445="","",IFERROR(AVERAGEIFS($B$2:$B$1001,$A$2:$A$1001,"&gt;="&amp;A445-6,$A$2:$A$1001,"&lt;="&amp;A445),""))</f>
        <v/>
      </c>
    </row>
    <row r="446">
      <c r="A446" s="7" t="n"/>
      <c r="B446" s="8" t="n"/>
      <c r="E446">
        <f>IF(C446="","",C446-Cfg_TDEE-IFERROR(D446,0))</f>
        <v/>
      </c>
      <c r="F446">
        <f>IF(E446="","",IFERROR(F445,0)+(-E446))</f>
        <v/>
      </c>
      <c r="G446" s="9">
        <f>IF(F446="","",F446/Cfg_FatConstant)</f>
        <v/>
      </c>
      <c r="H446" s="8">
        <f>IF(G446="","",Cfg_StartWeight-G446)</f>
        <v/>
      </c>
      <c r="I446" s="8">
        <f>IF(B446="","",Cfg_StartWeight-B446)</f>
        <v/>
      </c>
      <c r="J446" s="10">
        <f>IF(OR(B446="",G446=""),"",I446-G446)</f>
        <v/>
      </c>
      <c r="K446" s="9">
        <f>IF(B446="","",IFERROR(AVERAGEIFS($B$2:$B$1001,$A$2:$A$1001,"&gt;="&amp;A446-6,$A$2:$A$1001,"&lt;="&amp;A446),""))</f>
        <v/>
      </c>
    </row>
    <row r="447">
      <c r="A447" s="7" t="n"/>
      <c r="B447" s="8" t="n"/>
      <c r="E447">
        <f>IF(C447="","",C447-Cfg_TDEE-IFERROR(D447,0))</f>
        <v/>
      </c>
      <c r="F447">
        <f>IF(E447="","",IFERROR(F446,0)+(-E447))</f>
        <v/>
      </c>
      <c r="G447" s="9">
        <f>IF(F447="","",F447/Cfg_FatConstant)</f>
        <v/>
      </c>
      <c r="H447" s="8">
        <f>IF(G447="","",Cfg_StartWeight-G447)</f>
        <v/>
      </c>
      <c r="I447" s="8">
        <f>IF(B447="","",Cfg_StartWeight-B447)</f>
        <v/>
      </c>
      <c r="J447" s="10">
        <f>IF(OR(B447="",G447=""),"",I447-G447)</f>
        <v/>
      </c>
      <c r="K447" s="9">
        <f>IF(B447="","",IFERROR(AVERAGEIFS($B$2:$B$1001,$A$2:$A$1001,"&gt;="&amp;A447-6,$A$2:$A$1001,"&lt;="&amp;A447),""))</f>
        <v/>
      </c>
    </row>
    <row r="448">
      <c r="A448" s="7" t="n"/>
      <c r="B448" s="8" t="n"/>
      <c r="E448">
        <f>IF(C448="","",C448-Cfg_TDEE-IFERROR(D448,0))</f>
        <v/>
      </c>
      <c r="F448">
        <f>IF(E448="","",IFERROR(F447,0)+(-E448))</f>
        <v/>
      </c>
      <c r="G448" s="9">
        <f>IF(F448="","",F448/Cfg_FatConstant)</f>
        <v/>
      </c>
      <c r="H448" s="8">
        <f>IF(G448="","",Cfg_StartWeight-G448)</f>
        <v/>
      </c>
      <c r="I448" s="8">
        <f>IF(B448="","",Cfg_StartWeight-B448)</f>
        <v/>
      </c>
      <c r="J448" s="10">
        <f>IF(OR(B448="",G448=""),"",I448-G448)</f>
        <v/>
      </c>
      <c r="K448" s="9">
        <f>IF(B448="","",IFERROR(AVERAGEIFS($B$2:$B$1001,$A$2:$A$1001,"&gt;="&amp;A448-6,$A$2:$A$1001,"&lt;="&amp;A448),""))</f>
        <v/>
      </c>
    </row>
    <row r="449">
      <c r="A449" s="7" t="n"/>
      <c r="B449" s="8" t="n"/>
      <c r="E449">
        <f>IF(C449="","",C449-Cfg_TDEE-IFERROR(D449,0))</f>
        <v/>
      </c>
      <c r="F449">
        <f>IF(E449="","",IFERROR(F448,0)+(-E449))</f>
        <v/>
      </c>
      <c r="G449" s="9">
        <f>IF(F449="","",F449/Cfg_FatConstant)</f>
        <v/>
      </c>
      <c r="H449" s="8">
        <f>IF(G449="","",Cfg_StartWeight-G449)</f>
        <v/>
      </c>
      <c r="I449" s="8">
        <f>IF(B449="","",Cfg_StartWeight-B449)</f>
        <v/>
      </c>
      <c r="J449" s="10">
        <f>IF(OR(B449="",G449=""),"",I449-G449)</f>
        <v/>
      </c>
      <c r="K449" s="9">
        <f>IF(B449="","",IFERROR(AVERAGEIFS($B$2:$B$1001,$A$2:$A$1001,"&gt;="&amp;A449-6,$A$2:$A$1001,"&lt;="&amp;A449),""))</f>
        <v/>
      </c>
    </row>
    <row r="450">
      <c r="A450" s="7" t="n"/>
      <c r="B450" s="8" t="n"/>
      <c r="E450">
        <f>IF(C450="","",C450-Cfg_TDEE-IFERROR(D450,0))</f>
        <v/>
      </c>
      <c r="F450">
        <f>IF(E450="","",IFERROR(F449,0)+(-E450))</f>
        <v/>
      </c>
      <c r="G450" s="9">
        <f>IF(F450="","",F450/Cfg_FatConstant)</f>
        <v/>
      </c>
      <c r="H450" s="8">
        <f>IF(G450="","",Cfg_StartWeight-G450)</f>
        <v/>
      </c>
      <c r="I450" s="8">
        <f>IF(B450="","",Cfg_StartWeight-B450)</f>
        <v/>
      </c>
      <c r="J450" s="10">
        <f>IF(OR(B450="",G450=""),"",I450-G450)</f>
        <v/>
      </c>
      <c r="K450" s="9">
        <f>IF(B450="","",IFERROR(AVERAGEIFS($B$2:$B$1001,$A$2:$A$1001,"&gt;="&amp;A450-6,$A$2:$A$1001,"&lt;="&amp;A450),""))</f>
        <v/>
      </c>
    </row>
    <row r="451">
      <c r="A451" s="7" t="n"/>
      <c r="B451" s="8" t="n"/>
      <c r="E451">
        <f>IF(C451="","",C451-Cfg_TDEE-IFERROR(D451,0))</f>
        <v/>
      </c>
      <c r="F451">
        <f>IF(E451="","",IFERROR(F450,0)+(-E451))</f>
        <v/>
      </c>
      <c r="G451" s="9">
        <f>IF(F451="","",F451/Cfg_FatConstant)</f>
        <v/>
      </c>
      <c r="H451" s="8">
        <f>IF(G451="","",Cfg_StartWeight-G451)</f>
        <v/>
      </c>
      <c r="I451" s="8">
        <f>IF(B451="","",Cfg_StartWeight-B451)</f>
        <v/>
      </c>
      <c r="J451" s="10">
        <f>IF(OR(B451="",G451=""),"",I451-G451)</f>
        <v/>
      </c>
      <c r="K451" s="9">
        <f>IF(B451="","",IFERROR(AVERAGEIFS($B$2:$B$1001,$A$2:$A$1001,"&gt;="&amp;A451-6,$A$2:$A$1001,"&lt;="&amp;A451),""))</f>
        <v/>
      </c>
    </row>
    <row r="452">
      <c r="A452" s="7" t="n"/>
      <c r="B452" s="8" t="n"/>
      <c r="E452">
        <f>IF(C452="","",C452-Cfg_TDEE-IFERROR(D452,0))</f>
        <v/>
      </c>
      <c r="F452">
        <f>IF(E452="","",IFERROR(F451,0)+(-E452))</f>
        <v/>
      </c>
      <c r="G452" s="9">
        <f>IF(F452="","",F452/Cfg_FatConstant)</f>
        <v/>
      </c>
      <c r="H452" s="8">
        <f>IF(G452="","",Cfg_StartWeight-G452)</f>
        <v/>
      </c>
      <c r="I452" s="8">
        <f>IF(B452="","",Cfg_StartWeight-B452)</f>
        <v/>
      </c>
      <c r="J452" s="10">
        <f>IF(OR(B452="",G452=""),"",I452-G452)</f>
        <v/>
      </c>
      <c r="K452" s="9">
        <f>IF(B452="","",IFERROR(AVERAGEIFS($B$2:$B$1001,$A$2:$A$1001,"&gt;="&amp;A452-6,$A$2:$A$1001,"&lt;="&amp;A452),""))</f>
        <v/>
      </c>
    </row>
    <row r="453">
      <c r="A453" s="7" t="n"/>
      <c r="B453" s="8" t="n"/>
      <c r="E453">
        <f>IF(C453="","",C453-Cfg_TDEE-IFERROR(D453,0))</f>
        <v/>
      </c>
      <c r="F453">
        <f>IF(E453="","",IFERROR(F452,0)+(-E453))</f>
        <v/>
      </c>
      <c r="G453" s="9">
        <f>IF(F453="","",F453/Cfg_FatConstant)</f>
        <v/>
      </c>
      <c r="H453" s="8">
        <f>IF(G453="","",Cfg_StartWeight-G453)</f>
        <v/>
      </c>
      <c r="I453" s="8">
        <f>IF(B453="","",Cfg_StartWeight-B453)</f>
        <v/>
      </c>
      <c r="J453" s="10">
        <f>IF(OR(B453="",G453=""),"",I453-G453)</f>
        <v/>
      </c>
      <c r="K453" s="9">
        <f>IF(B453="","",IFERROR(AVERAGEIFS($B$2:$B$1001,$A$2:$A$1001,"&gt;="&amp;A453-6,$A$2:$A$1001,"&lt;="&amp;A453),""))</f>
        <v/>
      </c>
    </row>
    <row r="454">
      <c r="A454" s="7" t="n"/>
      <c r="B454" s="8" t="n"/>
      <c r="E454">
        <f>IF(C454="","",C454-Cfg_TDEE-IFERROR(D454,0))</f>
        <v/>
      </c>
      <c r="F454">
        <f>IF(E454="","",IFERROR(F453,0)+(-E454))</f>
        <v/>
      </c>
      <c r="G454" s="9">
        <f>IF(F454="","",F454/Cfg_FatConstant)</f>
        <v/>
      </c>
      <c r="H454" s="8">
        <f>IF(G454="","",Cfg_StartWeight-G454)</f>
        <v/>
      </c>
      <c r="I454" s="8">
        <f>IF(B454="","",Cfg_StartWeight-B454)</f>
        <v/>
      </c>
      <c r="J454" s="10">
        <f>IF(OR(B454="",G454=""),"",I454-G454)</f>
        <v/>
      </c>
      <c r="K454" s="9">
        <f>IF(B454="","",IFERROR(AVERAGEIFS($B$2:$B$1001,$A$2:$A$1001,"&gt;="&amp;A454-6,$A$2:$A$1001,"&lt;="&amp;A454),""))</f>
        <v/>
      </c>
    </row>
    <row r="455">
      <c r="A455" s="7" t="n"/>
      <c r="B455" s="8" t="n"/>
      <c r="E455">
        <f>IF(C455="","",C455-Cfg_TDEE-IFERROR(D455,0))</f>
        <v/>
      </c>
      <c r="F455">
        <f>IF(E455="","",IFERROR(F454,0)+(-E455))</f>
        <v/>
      </c>
      <c r="G455" s="9">
        <f>IF(F455="","",F455/Cfg_FatConstant)</f>
        <v/>
      </c>
      <c r="H455" s="8">
        <f>IF(G455="","",Cfg_StartWeight-G455)</f>
        <v/>
      </c>
      <c r="I455" s="8">
        <f>IF(B455="","",Cfg_StartWeight-B455)</f>
        <v/>
      </c>
      <c r="J455" s="10">
        <f>IF(OR(B455="",G455=""),"",I455-G455)</f>
        <v/>
      </c>
      <c r="K455" s="9">
        <f>IF(B455="","",IFERROR(AVERAGEIFS($B$2:$B$1001,$A$2:$A$1001,"&gt;="&amp;A455-6,$A$2:$A$1001,"&lt;="&amp;A455),""))</f>
        <v/>
      </c>
    </row>
    <row r="456">
      <c r="A456" s="7" t="n"/>
      <c r="B456" s="8" t="n"/>
      <c r="E456">
        <f>IF(C456="","",C456-Cfg_TDEE-IFERROR(D456,0))</f>
        <v/>
      </c>
      <c r="F456">
        <f>IF(E456="","",IFERROR(F455,0)+(-E456))</f>
        <v/>
      </c>
      <c r="G456" s="9">
        <f>IF(F456="","",F456/Cfg_FatConstant)</f>
        <v/>
      </c>
      <c r="H456" s="8">
        <f>IF(G456="","",Cfg_StartWeight-G456)</f>
        <v/>
      </c>
      <c r="I456" s="8">
        <f>IF(B456="","",Cfg_StartWeight-B456)</f>
        <v/>
      </c>
      <c r="J456" s="10">
        <f>IF(OR(B456="",G456=""),"",I456-G456)</f>
        <v/>
      </c>
      <c r="K456" s="9">
        <f>IF(B456="","",IFERROR(AVERAGEIFS($B$2:$B$1001,$A$2:$A$1001,"&gt;="&amp;A456-6,$A$2:$A$1001,"&lt;="&amp;A456),""))</f>
        <v/>
      </c>
    </row>
    <row r="457">
      <c r="A457" s="7" t="n"/>
      <c r="B457" s="8" t="n"/>
      <c r="E457">
        <f>IF(C457="","",C457-Cfg_TDEE-IFERROR(D457,0))</f>
        <v/>
      </c>
      <c r="F457">
        <f>IF(E457="","",IFERROR(F456,0)+(-E457))</f>
        <v/>
      </c>
      <c r="G457" s="9">
        <f>IF(F457="","",F457/Cfg_FatConstant)</f>
        <v/>
      </c>
      <c r="H457" s="8">
        <f>IF(G457="","",Cfg_StartWeight-G457)</f>
        <v/>
      </c>
      <c r="I457" s="8">
        <f>IF(B457="","",Cfg_StartWeight-B457)</f>
        <v/>
      </c>
      <c r="J457" s="10">
        <f>IF(OR(B457="",G457=""),"",I457-G457)</f>
        <v/>
      </c>
      <c r="K457" s="9">
        <f>IF(B457="","",IFERROR(AVERAGEIFS($B$2:$B$1001,$A$2:$A$1001,"&gt;="&amp;A457-6,$A$2:$A$1001,"&lt;="&amp;A457),""))</f>
        <v/>
      </c>
    </row>
    <row r="458">
      <c r="A458" s="7" t="n"/>
      <c r="B458" s="8" t="n"/>
      <c r="E458">
        <f>IF(C458="","",C458-Cfg_TDEE-IFERROR(D458,0))</f>
        <v/>
      </c>
      <c r="F458">
        <f>IF(E458="","",IFERROR(F457,0)+(-E458))</f>
        <v/>
      </c>
      <c r="G458" s="9">
        <f>IF(F458="","",F458/Cfg_FatConstant)</f>
        <v/>
      </c>
      <c r="H458" s="8">
        <f>IF(G458="","",Cfg_StartWeight-G458)</f>
        <v/>
      </c>
      <c r="I458" s="8">
        <f>IF(B458="","",Cfg_StartWeight-B458)</f>
        <v/>
      </c>
      <c r="J458" s="10">
        <f>IF(OR(B458="",G458=""),"",I458-G458)</f>
        <v/>
      </c>
      <c r="K458" s="9">
        <f>IF(B458="","",IFERROR(AVERAGEIFS($B$2:$B$1001,$A$2:$A$1001,"&gt;="&amp;A458-6,$A$2:$A$1001,"&lt;="&amp;A458),""))</f>
        <v/>
      </c>
    </row>
    <row r="459">
      <c r="A459" s="7" t="n"/>
      <c r="B459" s="8" t="n"/>
      <c r="E459">
        <f>IF(C459="","",C459-Cfg_TDEE-IFERROR(D459,0))</f>
        <v/>
      </c>
      <c r="F459">
        <f>IF(E459="","",IFERROR(F458,0)+(-E459))</f>
        <v/>
      </c>
      <c r="G459" s="9">
        <f>IF(F459="","",F459/Cfg_FatConstant)</f>
        <v/>
      </c>
      <c r="H459" s="8">
        <f>IF(G459="","",Cfg_StartWeight-G459)</f>
        <v/>
      </c>
      <c r="I459" s="8">
        <f>IF(B459="","",Cfg_StartWeight-B459)</f>
        <v/>
      </c>
      <c r="J459" s="10">
        <f>IF(OR(B459="",G459=""),"",I459-G459)</f>
        <v/>
      </c>
      <c r="K459" s="9">
        <f>IF(B459="","",IFERROR(AVERAGEIFS($B$2:$B$1001,$A$2:$A$1001,"&gt;="&amp;A459-6,$A$2:$A$1001,"&lt;="&amp;A459),""))</f>
        <v/>
      </c>
    </row>
    <row r="460">
      <c r="A460" s="7" t="n"/>
      <c r="B460" s="8" t="n"/>
      <c r="E460">
        <f>IF(C460="","",C460-Cfg_TDEE-IFERROR(D460,0))</f>
        <v/>
      </c>
      <c r="F460">
        <f>IF(E460="","",IFERROR(F459,0)+(-E460))</f>
        <v/>
      </c>
      <c r="G460" s="9">
        <f>IF(F460="","",F460/Cfg_FatConstant)</f>
        <v/>
      </c>
      <c r="H460" s="8">
        <f>IF(G460="","",Cfg_StartWeight-G460)</f>
        <v/>
      </c>
      <c r="I460" s="8">
        <f>IF(B460="","",Cfg_StartWeight-B460)</f>
        <v/>
      </c>
      <c r="J460" s="10">
        <f>IF(OR(B460="",G460=""),"",I460-G460)</f>
        <v/>
      </c>
      <c r="K460" s="9">
        <f>IF(B460="","",IFERROR(AVERAGEIFS($B$2:$B$1001,$A$2:$A$1001,"&gt;="&amp;A460-6,$A$2:$A$1001,"&lt;="&amp;A460),""))</f>
        <v/>
      </c>
    </row>
    <row r="461">
      <c r="A461" s="7" t="n"/>
      <c r="B461" s="8" t="n"/>
      <c r="E461">
        <f>IF(C461="","",C461-Cfg_TDEE-IFERROR(D461,0))</f>
        <v/>
      </c>
      <c r="F461">
        <f>IF(E461="","",IFERROR(F460,0)+(-E461))</f>
        <v/>
      </c>
      <c r="G461" s="9">
        <f>IF(F461="","",F461/Cfg_FatConstant)</f>
        <v/>
      </c>
      <c r="H461" s="8">
        <f>IF(G461="","",Cfg_StartWeight-G461)</f>
        <v/>
      </c>
      <c r="I461" s="8">
        <f>IF(B461="","",Cfg_StartWeight-B461)</f>
        <v/>
      </c>
      <c r="J461" s="10">
        <f>IF(OR(B461="",G461=""),"",I461-G461)</f>
        <v/>
      </c>
      <c r="K461" s="9">
        <f>IF(B461="","",IFERROR(AVERAGEIFS($B$2:$B$1001,$A$2:$A$1001,"&gt;="&amp;A461-6,$A$2:$A$1001,"&lt;="&amp;A461),""))</f>
        <v/>
      </c>
    </row>
    <row r="462">
      <c r="A462" s="7" t="n"/>
      <c r="B462" s="8" t="n"/>
      <c r="E462">
        <f>IF(C462="","",C462-Cfg_TDEE-IFERROR(D462,0))</f>
        <v/>
      </c>
      <c r="F462">
        <f>IF(E462="","",IFERROR(F461,0)+(-E462))</f>
        <v/>
      </c>
      <c r="G462" s="9">
        <f>IF(F462="","",F462/Cfg_FatConstant)</f>
        <v/>
      </c>
      <c r="H462" s="8">
        <f>IF(G462="","",Cfg_StartWeight-G462)</f>
        <v/>
      </c>
      <c r="I462" s="8">
        <f>IF(B462="","",Cfg_StartWeight-B462)</f>
        <v/>
      </c>
      <c r="J462" s="10">
        <f>IF(OR(B462="",G462=""),"",I462-G462)</f>
        <v/>
      </c>
      <c r="K462" s="9">
        <f>IF(B462="","",IFERROR(AVERAGEIFS($B$2:$B$1001,$A$2:$A$1001,"&gt;="&amp;A462-6,$A$2:$A$1001,"&lt;="&amp;A462),""))</f>
        <v/>
      </c>
    </row>
    <row r="463">
      <c r="A463" s="7" t="n"/>
      <c r="B463" s="8" t="n"/>
      <c r="E463">
        <f>IF(C463="","",C463-Cfg_TDEE-IFERROR(D463,0))</f>
        <v/>
      </c>
      <c r="F463">
        <f>IF(E463="","",IFERROR(F462,0)+(-E463))</f>
        <v/>
      </c>
      <c r="G463" s="9">
        <f>IF(F463="","",F463/Cfg_FatConstant)</f>
        <v/>
      </c>
      <c r="H463" s="8">
        <f>IF(G463="","",Cfg_StartWeight-G463)</f>
        <v/>
      </c>
      <c r="I463" s="8">
        <f>IF(B463="","",Cfg_StartWeight-B463)</f>
        <v/>
      </c>
      <c r="J463" s="10">
        <f>IF(OR(B463="",G463=""),"",I463-G463)</f>
        <v/>
      </c>
      <c r="K463" s="9">
        <f>IF(B463="","",IFERROR(AVERAGEIFS($B$2:$B$1001,$A$2:$A$1001,"&gt;="&amp;A463-6,$A$2:$A$1001,"&lt;="&amp;A463),""))</f>
        <v/>
      </c>
    </row>
    <row r="464">
      <c r="A464" s="7" t="n"/>
      <c r="B464" s="8" t="n"/>
      <c r="E464">
        <f>IF(C464="","",C464-Cfg_TDEE-IFERROR(D464,0))</f>
        <v/>
      </c>
      <c r="F464">
        <f>IF(E464="","",IFERROR(F463,0)+(-E464))</f>
        <v/>
      </c>
      <c r="G464" s="9">
        <f>IF(F464="","",F464/Cfg_FatConstant)</f>
        <v/>
      </c>
      <c r="H464" s="8">
        <f>IF(G464="","",Cfg_StartWeight-G464)</f>
        <v/>
      </c>
      <c r="I464" s="8">
        <f>IF(B464="","",Cfg_StartWeight-B464)</f>
        <v/>
      </c>
      <c r="J464" s="10">
        <f>IF(OR(B464="",G464=""),"",I464-G464)</f>
        <v/>
      </c>
      <c r="K464" s="9">
        <f>IF(B464="","",IFERROR(AVERAGEIFS($B$2:$B$1001,$A$2:$A$1001,"&gt;="&amp;A464-6,$A$2:$A$1001,"&lt;="&amp;A464),""))</f>
        <v/>
      </c>
    </row>
    <row r="465">
      <c r="A465" s="7" t="n"/>
      <c r="B465" s="8" t="n"/>
      <c r="E465">
        <f>IF(C465="","",C465-Cfg_TDEE-IFERROR(D465,0))</f>
        <v/>
      </c>
      <c r="F465">
        <f>IF(E465="","",IFERROR(F464,0)+(-E465))</f>
        <v/>
      </c>
      <c r="G465" s="9">
        <f>IF(F465="","",F465/Cfg_FatConstant)</f>
        <v/>
      </c>
      <c r="H465" s="8">
        <f>IF(G465="","",Cfg_StartWeight-G465)</f>
        <v/>
      </c>
      <c r="I465" s="8">
        <f>IF(B465="","",Cfg_StartWeight-B465)</f>
        <v/>
      </c>
      <c r="J465" s="10">
        <f>IF(OR(B465="",G465=""),"",I465-G465)</f>
        <v/>
      </c>
      <c r="K465" s="9">
        <f>IF(B465="","",IFERROR(AVERAGEIFS($B$2:$B$1001,$A$2:$A$1001,"&gt;="&amp;A465-6,$A$2:$A$1001,"&lt;="&amp;A465),""))</f>
        <v/>
      </c>
    </row>
    <row r="466">
      <c r="A466" s="7" t="n"/>
      <c r="B466" s="8" t="n"/>
      <c r="E466">
        <f>IF(C466="","",C466-Cfg_TDEE-IFERROR(D466,0))</f>
        <v/>
      </c>
      <c r="F466">
        <f>IF(E466="","",IFERROR(F465,0)+(-E466))</f>
        <v/>
      </c>
      <c r="G466" s="9">
        <f>IF(F466="","",F466/Cfg_FatConstant)</f>
        <v/>
      </c>
      <c r="H466" s="8">
        <f>IF(G466="","",Cfg_StartWeight-G466)</f>
        <v/>
      </c>
      <c r="I466" s="8">
        <f>IF(B466="","",Cfg_StartWeight-B466)</f>
        <v/>
      </c>
      <c r="J466" s="10">
        <f>IF(OR(B466="",G466=""),"",I466-G466)</f>
        <v/>
      </c>
      <c r="K466" s="9">
        <f>IF(B466="","",IFERROR(AVERAGEIFS($B$2:$B$1001,$A$2:$A$1001,"&gt;="&amp;A466-6,$A$2:$A$1001,"&lt;="&amp;A466),""))</f>
        <v/>
      </c>
    </row>
    <row r="467">
      <c r="A467" s="7" t="n"/>
      <c r="B467" s="8" t="n"/>
      <c r="E467">
        <f>IF(C467="","",C467-Cfg_TDEE-IFERROR(D467,0))</f>
        <v/>
      </c>
      <c r="F467">
        <f>IF(E467="","",IFERROR(F466,0)+(-E467))</f>
        <v/>
      </c>
      <c r="G467" s="9">
        <f>IF(F467="","",F467/Cfg_FatConstant)</f>
        <v/>
      </c>
      <c r="H467" s="8">
        <f>IF(G467="","",Cfg_StartWeight-G467)</f>
        <v/>
      </c>
      <c r="I467" s="8">
        <f>IF(B467="","",Cfg_StartWeight-B467)</f>
        <v/>
      </c>
      <c r="J467" s="10">
        <f>IF(OR(B467="",G467=""),"",I467-G467)</f>
        <v/>
      </c>
      <c r="K467" s="9">
        <f>IF(B467="","",IFERROR(AVERAGEIFS($B$2:$B$1001,$A$2:$A$1001,"&gt;="&amp;A467-6,$A$2:$A$1001,"&lt;="&amp;A467),""))</f>
        <v/>
      </c>
    </row>
    <row r="468">
      <c r="A468" s="7" t="n"/>
      <c r="B468" s="8" t="n"/>
      <c r="E468">
        <f>IF(C468="","",C468-Cfg_TDEE-IFERROR(D468,0))</f>
        <v/>
      </c>
      <c r="F468">
        <f>IF(E468="","",IFERROR(F467,0)+(-E468))</f>
        <v/>
      </c>
      <c r="G468" s="9">
        <f>IF(F468="","",F468/Cfg_FatConstant)</f>
        <v/>
      </c>
      <c r="H468" s="8">
        <f>IF(G468="","",Cfg_StartWeight-G468)</f>
        <v/>
      </c>
      <c r="I468" s="8">
        <f>IF(B468="","",Cfg_StartWeight-B468)</f>
        <v/>
      </c>
      <c r="J468" s="10">
        <f>IF(OR(B468="",G468=""),"",I468-G468)</f>
        <v/>
      </c>
      <c r="K468" s="9">
        <f>IF(B468="","",IFERROR(AVERAGEIFS($B$2:$B$1001,$A$2:$A$1001,"&gt;="&amp;A468-6,$A$2:$A$1001,"&lt;="&amp;A468),""))</f>
        <v/>
      </c>
    </row>
    <row r="469">
      <c r="A469" s="7" t="n"/>
      <c r="B469" s="8" t="n"/>
      <c r="E469">
        <f>IF(C469="","",C469-Cfg_TDEE-IFERROR(D469,0))</f>
        <v/>
      </c>
      <c r="F469">
        <f>IF(E469="","",IFERROR(F468,0)+(-E469))</f>
        <v/>
      </c>
      <c r="G469" s="9">
        <f>IF(F469="","",F469/Cfg_FatConstant)</f>
        <v/>
      </c>
      <c r="H469" s="8">
        <f>IF(G469="","",Cfg_StartWeight-G469)</f>
        <v/>
      </c>
      <c r="I469" s="8">
        <f>IF(B469="","",Cfg_StartWeight-B469)</f>
        <v/>
      </c>
      <c r="J469" s="10">
        <f>IF(OR(B469="",G469=""),"",I469-G469)</f>
        <v/>
      </c>
      <c r="K469" s="9">
        <f>IF(B469="","",IFERROR(AVERAGEIFS($B$2:$B$1001,$A$2:$A$1001,"&gt;="&amp;A469-6,$A$2:$A$1001,"&lt;="&amp;A469),""))</f>
        <v/>
      </c>
    </row>
    <row r="470">
      <c r="A470" s="7" t="n"/>
      <c r="B470" s="8" t="n"/>
      <c r="E470">
        <f>IF(C470="","",C470-Cfg_TDEE-IFERROR(D470,0))</f>
        <v/>
      </c>
      <c r="F470">
        <f>IF(E470="","",IFERROR(F469,0)+(-E470))</f>
        <v/>
      </c>
      <c r="G470" s="9">
        <f>IF(F470="","",F470/Cfg_FatConstant)</f>
        <v/>
      </c>
      <c r="H470" s="8">
        <f>IF(G470="","",Cfg_StartWeight-G470)</f>
        <v/>
      </c>
      <c r="I470" s="8">
        <f>IF(B470="","",Cfg_StartWeight-B470)</f>
        <v/>
      </c>
      <c r="J470" s="10">
        <f>IF(OR(B470="",G470=""),"",I470-G470)</f>
        <v/>
      </c>
      <c r="K470" s="9">
        <f>IF(B470="","",IFERROR(AVERAGEIFS($B$2:$B$1001,$A$2:$A$1001,"&gt;="&amp;A470-6,$A$2:$A$1001,"&lt;="&amp;A470),""))</f>
        <v/>
      </c>
    </row>
    <row r="471">
      <c r="A471" s="7" t="n"/>
      <c r="B471" s="8" t="n"/>
      <c r="E471">
        <f>IF(C471="","",C471-Cfg_TDEE-IFERROR(D471,0))</f>
        <v/>
      </c>
      <c r="F471">
        <f>IF(E471="","",IFERROR(F470,0)+(-E471))</f>
        <v/>
      </c>
      <c r="G471" s="9">
        <f>IF(F471="","",F471/Cfg_FatConstant)</f>
        <v/>
      </c>
      <c r="H471" s="8">
        <f>IF(G471="","",Cfg_StartWeight-G471)</f>
        <v/>
      </c>
      <c r="I471" s="8">
        <f>IF(B471="","",Cfg_StartWeight-B471)</f>
        <v/>
      </c>
      <c r="J471" s="10">
        <f>IF(OR(B471="",G471=""),"",I471-G471)</f>
        <v/>
      </c>
      <c r="K471" s="9">
        <f>IF(B471="","",IFERROR(AVERAGEIFS($B$2:$B$1001,$A$2:$A$1001,"&gt;="&amp;A471-6,$A$2:$A$1001,"&lt;="&amp;A471),""))</f>
        <v/>
      </c>
    </row>
    <row r="472">
      <c r="A472" s="7" t="n"/>
      <c r="B472" s="8" t="n"/>
      <c r="E472">
        <f>IF(C472="","",C472-Cfg_TDEE-IFERROR(D472,0))</f>
        <v/>
      </c>
      <c r="F472">
        <f>IF(E472="","",IFERROR(F471,0)+(-E472))</f>
        <v/>
      </c>
      <c r="G472" s="9">
        <f>IF(F472="","",F472/Cfg_FatConstant)</f>
        <v/>
      </c>
      <c r="H472" s="8">
        <f>IF(G472="","",Cfg_StartWeight-G472)</f>
        <v/>
      </c>
      <c r="I472" s="8">
        <f>IF(B472="","",Cfg_StartWeight-B472)</f>
        <v/>
      </c>
      <c r="J472" s="10">
        <f>IF(OR(B472="",G472=""),"",I472-G472)</f>
        <v/>
      </c>
      <c r="K472" s="9">
        <f>IF(B472="","",IFERROR(AVERAGEIFS($B$2:$B$1001,$A$2:$A$1001,"&gt;="&amp;A472-6,$A$2:$A$1001,"&lt;="&amp;A472),""))</f>
        <v/>
      </c>
    </row>
    <row r="473">
      <c r="A473" s="7" t="n"/>
      <c r="B473" s="8" t="n"/>
      <c r="E473">
        <f>IF(C473="","",C473-Cfg_TDEE-IFERROR(D473,0))</f>
        <v/>
      </c>
      <c r="F473">
        <f>IF(E473="","",IFERROR(F472,0)+(-E473))</f>
        <v/>
      </c>
      <c r="G473" s="9">
        <f>IF(F473="","",F473/Cfg_FatConstant)</f>
        <v/>
      </c>
      <c r="H473" s="8">
        <f>IF(G473="","",Cfg_StartWeight-G473)</f>
        <v/>
      </c>
      <c r="I473" s="8">
        <f>IF(B473="","",Cfg_StartWeight-B473)</f>
        <v/>
      </c>
      <c r="J473" s="10">
        <f>IF(OR(B473="",G473=""),"",I473-G473)</f>
        <v/>
      </c>
      <c r="K473" s="9">
        <f>IF(B473="","",IFERROR(AVERAGEIFS($B$2:$B$1001,$A$2:$A$1001,"&gt;="&amp;A473-6,$A$2:$A$1001,"&lt;="&amp;A473),""))</f>
        <v/>
      </c>
    </row>
    <row r="474">
      <c r="A474" s="7" t="n"/>
      <c r="B474" s="8" t="n"/>
      <c r="E474">
        <f>IF(C474="","",C474-Cfg_TDEE-IFERROR(D474,0))</f>
        <v/>
      </c>
      <c r="F474">
        <f>IF(E474="","",IFERROR(F473,0)+(-E474))</f>
        <v/>
      </c>
      <c r="G474" s="9">
        <f>IF(F474="","",F474/Cfg_FatConstant)</f>
        <v/>
      </c>
      <c r="H474" s="8">
        <f>IF(G474="","",Cfg_StartWeight-G474)</f>
        <v/>
      </c>
      <c r="I474" s="8">
        <f>IF(B474="","",Cfg_StartWeight-B474)</f>
        <v/>
      </c>
      <c r="J474" s="10">
        <f>IF(OR(B474="",G474=""),"",I474-G474)</f>
        <v/>
      </c>
      <c r="K474" s="9">
        <f>IF(B474="","",IFERROR(AVERAGEIFS($B$2:$B$1001,$A$2:$A$1001,"&gt;="&amp;A474-6,$A$2:$A$1001,"&lt;="&amp;A474),""))</f>
        <v/>
      </c>
    </row>
    <row r="475">
      <c r="A475" s="7" t="n"/>
      <c r="B475" s="8" t="n"/>
      <c r="E475">
        <f>IF(C475="","",C475-Cfg_TDEE-IFERROR(D475,0))</f>
        <v/>
      </c>
      <c r="F475">
        <f>IF(E475="","",IFERROR(F474,0)+(-E475))</f>
        <v/>
      </c>
      <c r="G475" s="9">
        <f>IF(F475="","",F475/Cfg_FatConstant)</f>
        <v/>
      </c>
      <c r="H475" s="8">
        <f>IF(G475="","",Cfg_StartWeight-G475)</f>
        <v/>
      </c>
      <c r="I475" s="8">
        <f>IF(B475="","",Cfg_StartWeight-B475)</f>
        <v/>
      </c>
      <c r="J475" s="10">
        <f>IF(OR(B475="",G475=""),"",I475-G475)</f>
        <v/>
      </c>
      <c r="K475" s="9">
        <f>IF(B475="","",IFERROR(AVERAGEIFS($B$2:$B$1001,$A$2:$A$1001,"&gt;="&amp;A475-6,$A$2:$A$1001,"&lt;="&amp;A475),""))</f>
        <v/>
      </c>
    </row>
    <row r="476">
      <c r="A476" s="7" t="n"/>
      <c r="B476" s="8" t="n"/>
      <c r="E476">
        <f>IF(C476="","",C476-Cfg_TDEE-IFERROR(D476,0))</f>
        <v/>
      </c>
      <c r="F476">
        <f>IF(E476="","",IFERROR(F475,0)+(-E476))</f>
        <v/>
      </c>
      <c r="G476" s="9">
        <f>IF(F476="","",F476/Cfg_FatConstant)</f>
        <v/>
      </c>
      <c r="H476" s="8">
        <f>IF(G476="","",Cfg_StartWeight-G476)</f>
        <v/>
      </c>
      <c r="I476" s="8">
        <f>IF(B476="","",Cfg_StartWeight-B476)</f>
        <v/>
      </c>
      <c r="J476" s="10">
        <f>IF(OR(B476="",G476=""),"",I476-G476)</f>
        <v/>
      </c>
      <c r="K476" s="9">
        <f>IF(B476="","",IFERROR(AVERAGEIFS($B$2:$B$1001,$A$2:$A$1001,"&gt;="&amp;A476-6,$A$2:$A$1001,"&lt;="&amp;A476),""))</f>
        <v/>
      </c>
    </row>
    <row r="477">
      <c r="A477" s="7" t="n"/>
      <c r="B477" s="8" t="n"/>
      <c r="E477">
        <f>IF(C477="","",C477-Cfg_TDEE-IFERROR(D477,0))</f>
        <v/>
      </c>
      <c r="F477">
        <f>IF(E477="","",IFERROR(F476,0)+(-E477))</f>
        <v/>
      </c>
      <c r="G477" s="9">
        <f>IF(F477="","",F477/Cfg_FatConstant)</f>
        <v/>
      </c>
      <c r="H477" s="8">
        <f>IF(G477="","",Cfg_StartWeight-G477)</f>
        <v/>
      </c>
      <c r="I477" s="8">
        <f>IF(B477="","",Cfg_StartWeight-B477)</f>
        <v/>
      </c>
      <c r="J477" s="10">
        <f>IF(OR(B477="",G477=""),"",I477-G477)</f>
        <v/>
      </c>
      <c r="K477" s="9">
        <f>IF(B477="","",IFERROR(AVERAGEIFS($B$2:$B$1001,$A$2:$A$1001,"&gt;="&amp;A477-6,$A$2:$A$1001,"&lt;="&amp;A477),""))</f>
        <v/>
      </c>
    </row>
    <row r="478">
      <c r="A478" s="7" t="n"/>
      <c r="B478" s="8" t="n"/>
      <c r="E478">
        <f>IF(C478="","",C478-Cfg_TDEE-IFERROR(D478,0))</f>
        <v/>
      </c>
      <c r="F478">
        <f>IF(E478="","",IFERROR(F477,0)+(-E478))</f>
        <v/>
      </c>
      <c r="G478" s="9">
        <f>IF(F478="","",F478/Cfg_FatConstant)</f>
        <v/>
      </c>
      <c r="H478" s="8">
        <f>IF(G478="","",Cfg_StartWeight-G478)</f>
        <v/>
      </c>
      <c r="I478" s="8">
        <f>IF(B478="","",Cfg_StartWeight-B478)</f>
        <v/>
      </c>
      <c r="J478" s="10">
        <f>IF(OR(B478="",G478=""),"",I478-G478)</f>
        <v/>
      </c>
      <c r="K478" s="9">
        <f>IF(B478="","",IFERROR(AVERAGEIFS($B$2:$B$1001,$A$2:$A$1001,"&gt;="&amp;A478-6,$A$2:$A$1001,"&lt;="&amp;A478),""))</f>
        <v/>
      </c>
    </row>
    <row r="479">
      <c r="A479" s="7" t="n"/>
      <c r="B479" s="8" t="n"/>
      <c r="E479">
        <f>IF(C479="","",C479-Cfg_TDEE-IFERROR(D479,0))</f>
        <v/>
      </c>
      <c r="F479">
        <f>IF(E479="","",IFERROR(F478,0)+(-E479))</f>
        <v/>
      </c>
      <c r="G479" s="9">
        <f>IF(F479="","",F479/Cfg_FatConstant)</f>
        <v/>
      </c>
      <c r="H479" s="8">
        <f>IF(G479="","",Cfg_StartWeight-G479)</f>
        <v/>
      </c>
      <c r="I479" s="8">
        <f>IF(B479="","",Cfg_StartWeight-B479)</f>
        <v/>
      </c>
      <c r="J479" s="10">
        <f>IF(OR(B479="",G479=""),"",I479-G479)</f>
        <v/>
      </c>
      <c r="K479" s="9">
        <f>IF(B479="","",IFERROR(AVERAGEIFS($B$2:$B$1001,$A$2:$A$1001,"&gt;="&amp;A479-6,$A$2:$A$1001,"&lt;="&amp;A479),""))</f>
        <v/>
      </c>
    </row>
    <row r="480">
      <c r="A480" s="7" t="n"/>
      <c r="B480" s="8" t="n"/>
      <c r="E480">
        <f>IF(C480="","",C480-Cfg_TDEE-IFERROR(D480,0))</f>
        <v/>
      </c>
      <c r="F480">
        <f>IF(E480="","",IFERROR(F479,0)+(-E480))</f>
        <v/>
      </c>
      <c r="G480" s="9">
        <f>IF(F480="","",F480/Cfg_FatConstant)</f>
        <v/>
      </c>
      <c r="H480" s="8">
        <f>IF(G480="","",Cfg_StartWeight-G480)</f>
        <v/>
      </c>
      <c r="I480" s="8">
        <f>IF(B480="","",Cfg_StartWeight-B480)</f>
        <v/>
      </c>
      <c r="J480" s="10">
        <f>IF(OR(B480="",G480=""),"",I480-G480)</f>
        <v/>
      </c>
      <c r="K480" s="9">
        <f>IF(B480="","",IFERROR(AVERAGEIFS($B$2:$B$1001,$A$2:$A$1001,"&gt;="&amp;A480-6,$A$2:$A$1001,"&lt;="&amp;A480),""))</f>
        <v/>
      </c>
    </row>
    <row r="481">
      <c r="A481" s="7" t="n"/>
      <c r="B481" s="8" t="n"/>
      <c r="E481">
        <f>IF(C481="","",C481-Cfg_TDEE-IFERROR(D481,0))</f>
        <v/>
      </c>
      <c r="F481">
        <f>IF(E481="","",IFERROR(F480,0)+(-E481))</f>
        <v/>
      </c>
      <c r="G481" s="9">
        <f>IF(F481="","",F481/Cfg_FatConstant)</f>
        <v/>
      </c>
      <c r="H481" s="8">
        <f>IF(G481="","",Cfg_StartWeight-G481)</f>
        <v/>
      </c>
      <c r="I481" s="8">
        <f>IF(B481="","",Cfg_StartWeight-B481)</f>
        <v/>
      </c>
      <c r="J481" s="10">
        <f>IF(OR(B481="",G481=""),"",I481-G481)</f>
        <v/>
      </c>
      <c r="K481" s="9">
        <f>IF(B481="","",IFERROR(AVERAGEIFS($B$2:$B$1001,$A$2:$A$1001,"&gt;="&amp;A481-6,$A$2:$A$1001,"&lt;="&amp;A481),""))</f>
        <v/>
      </c>
    </row>
    <row r="482">
      <c r="A482" s="7" t="n"/>
      <c r="B482" s="8" t="n"/>
      <c r="E482">
        <f>IF(C482="","",C482-Cfg_TDEE-IFERROR(D482,0))</f>
        <v/>
      </c>
      <c r="F482">
        <f>IF(E482="","",IFERROR(F481,0)+(-E482))</f>
        <v/>
      </c>
      <c r="G482" s="9">
        <f>IF(F482="","",F482/Cfg_FatConstant)</f>
        <v/>
      </c>
      <c r="H482" s="8">
        <f>IF(G482="","",Cfg_StartWeight-G482)</f>
        <v/>
      </c>
      <c r="I482" s="8">
        <f>IF(B482="","",Cfg_StartWeight-B482)</f>
        <v/>
      </c>
      <c r="J482" s="10">
        <f>IF(OR(B482="",G482=""),"",I482-G482)</f>
        <v/>
      </c>
      <c r="K482" s="9">
        <f>IF(B482="","",IFERROR(AVERAGEIFS($B$2:$B$1001,$A$2:$A$1001,"&gt;="&amp;A482-6,$A$2:$A$1001,"&lt;="&amp;A482),""))</f>
        <v/>
      </c>
    </row>
    <row r="483">
      <c r="A483" s="7" t="n"/>
      <c r="B483" s="8" t="n"/>
      <c r="E483">
        <f>IF(C483="","",C483-Cfg_TDEE-IFERROR(D483,0))</f>
        <v/>
      </c>
      <c r="F483">
        <f>IF(E483="","",IFERROR(F482,0)+(-E483))</f>
        <v/>
      </c>
      <c r="G483" s="9">
        <f>IF(F483="","",F483/Cfg_FatConstant)</f>
        <v/>
      </c>
      <c r="H483" s="8">
        <f>IF(G483="","",Cfg_StartWeight-G483)</f>
        <v/>
      </c>
      <c r="I483" s="8">
        <f>IF(B483="","",Cfg_StartWeight-B483)</f>
        <v/>
      </c>
      <c r="J483" s="10">
        <f>IF(OR(B483="",G483=""),"",I483-G483)</f>
        <v/>
      </c>
      <c r="K483" s="9">
        <f>IF(B483="","",IFERROR(AVERAGEIFS($B$2:$B$1001,$A$2:$A$1001,"&gt;="&amp;A483-6,$A$2:$A$1001,"&lt;="&amp;A483),""))</f>
        <v/>
      </c>
    </row>
    <row r="484">
      <c r="A484" s="7" t="n"/>
      <c r="B484" s="8" t="n"/>
      <c r="E484">
        <f>IF(C484="","",C484-Cfg_TDEE-IFERROR(D484,0))</f>
        <v/>
      </c>
      <c r="F484">
        <f>IF(E484="","",IFERROR(F483,0)+(-E484))</f>
        <v/>
      </c>
      <c r="G484" s="9">
        <f>IF(F484="","",F484/Cfg_FatConstant)</f>
        <v/>
      </c>
      <c r="H484" s="8">
        <f>IF(G484="","",Cfg_StartWeight-G484)</f>
        <v/>
      </c>
      <c r="I484" s="8">
        <f>IF(B484="","",Cfg_StartWeight-B484)</f>
        <v/>
      </c>
      <c r="J484" s="10">
        <f>IF(OR(B484="",G484=""),"",I484-G484)</f>
        <v/>
      </c>
      <c r="K484" s="9">
        <f>IF(B484="","",IFERROR(AVERAGEIFS($B$2:$B$1001,$A$2:$A$1001,"&gt;="&amp;A484-6,$A$2:$A$1001,"&lt;="&amp;A484),""))</f>
        <v/>
      </c>
    </row>
    <row r="485">
      <c r="A485" s="7" t="n"/>
      <c r="B485" s="8" t="n"/>
      <c r="E485">
        <f>IF(C485="","",C485-Cfg_TDEE-IFERROR(D485,0))</f>
        <v/>
      </c>
      <c r="F485">
        <f>IF(E485="","",IFERROR(F484,0)+(-E485))</f>
        <v/>
      </c>
      <c r="G485" s="9">
        <f>IF(F485="","",F485/Cfg_FatConstant)</f>
        <v/>
      </c>
      <c r="H485" s="8">
        <f>IF(G485="","",Cfg_StartWeight-G485)</f>
        <v/>
      </c>
      <c r="I485" s="8">
        <f>IF(B485="","",Cfg_StartWeight-B485)</f>
        <v/>
      </c>
      <c r="J485" s="10">
        <f>IF(OR(B485="",G485=""),"",I485-G485)</f>
        <v/>
      </c>
      <c r="K485" s="9">
        <f>IF(B485="","",IFERROR(AVERAGEIFS($B$2:$B$1001,$A$2:$A$1001,"&gt;="&amp;A485-6,$A$2:$A$1001,"&lt;="&amp;A485),""))</f>
        <v/>
      </c>
    </row>
    <row r="486">
      <c r="A486" s="7" t="n"/>
      <c r="B486" s="8" t="n"/>
      <c r="E486">
        <f>IF(C486="","",C486-Cfg_TDEE-IFERROR(D486,0))</f>
        <v/>
      </c>
      <c r="F486">
        <f>IF(E486="","",IFERROR(F485,0)+(-E486))</f>
        <v/>
      </c>
      <c r="G486" s="9">
        <f>IF(F486="","",F486/Cfg_FatConstant)</f>
        <v/>
      </c>
      <c r="H486" s="8">
        <f>IF(G486="","",Cfg_StartWeight-G486)</f>
        <v/>
      </c>
      <c r="I486" s="8">
        <f>IF(B486="","",Cfg_StartWeight-B486)</f>
        <v/>
      </c>
      <c r="J486" s="10">
        <f>IF(OR(B486="",G486=""),"",I486-G486)</f>
        <v/>
      </c>
      <c r="K486" s="9">
        <f>IF(B486="","",IFERROR(AVERAGEIFS($B$2:$B$1001,$A$2:$A$1001,"&gt;="&amp;A486-6,$A$2:$A$1001,"&lt;="&amp;A486),""))</f>
        <v/>
      </c>
    </row>
    <row r="487">
      <c r="A487" s="7" t="n"/>
      <c r="B487" s="8" t="n"/>
      <c r="E487">
        <f>IF(C487="","",C487-Cfg_TDEE-IFERROR(D487,0))</f>
        <v/>
      </c>
      <c r="F487">
        <f>IF(E487="","",IFERROR(F486,0)+(-E487))</f>
        <v/>
      </c>
      <c r="G487" s="9">
        <f>IF(F487="","",F487/Cfg_FatConstant)</f>
        <v/>
      </c>
      <c r="H487" s="8">
        <f>IF(G487="","",Cfg_StartWeight-G487)</f>
        <v/>
      </c>
      <c r="I487" s="8">
        <f>IF(B487="","",Cfg_StartWeight-B487)</f>
        <v/>
      </c>
      <c r="J487" s="10">
        <f>IF(OR(B487="",G487=""),"",I487-G487)</f>
        <v/>
      </c>
      <c r="K487" s="9">
        <f>IF(B487="","",IFERROR(AVERAGEIFS($B$2:$B$1001,$A$2:$A$1001,"&gt;="&amp;A487-6,$A$2:$A$1001,"&lt;="&amp;A487),""))</f>
        <v/>
      </c>
    </row>
    <row r="488">
      <c r="A488" s="7" t="n"/>
      <c r="B488" s="8" t="n"/>
      <c r="E488">
        <f>IF(C488="","",C488-Cfg_TDEE-IFERROR(D488,0))</f>
        <v/>
      </c>
      <c r="F488">
        <f>IF(E488="","",IFERROR(F487,0)+(-E488))</f>
        <v/>
      </c>
      <c r="G488" s="9">
        <f>IF(F488="","",F488/Cfg_FatConstant)</f>
        <v/>
      </c>
      <c r="H488" s="8">
        <f>IF(G488="","",Cfg_StartWeight-G488)</f>
        <v/>
      </c>
      <c r="I488" s="8">
        <f>IF(B488="","",Cfg_StartWeight-B488)</f>
        <v/>
      </c>
      <c r="J488" s="10">
        <f>IF(OR(B488="",G488=""),"",I488-G488)</f>
        <v/>
      </c>
      <c r="K488" s="9">
        <f>IF(B488="","",IFERROR(AVERAGEIFS($B$2:$B$1001,$A$2:$A$1001,"&gt;="&amp;A488-6,$A$2:$A$1001,"&lt;="&amp;A488),""))</f>
        <v/>
      </c>
    </row>
    <row r="489">
      <c r="A489" s="7" t="n"/>
      <c r="B489" s="8" t="n"/>
      <c r="E489">
        <f>IF(C489="","",C489-Cfg_TDEE-IFERROR(D489,0))</f>
        <v/>
      </c>
      <c r="F489">
        <f>IF(E489="","",IFERROR(F488,0)+(-E489))</f>
        <v/>
      </c>
      <c r="G489" s="9">
        <f>IF(F489="","",F489/Cfg_FatConstant)</f>
        <v/>
      </c>
      <c r="H489" s="8">
        <f>IF(G489="","",Cfg_StartWeight-G489)</f>
        <v/>
      </c>
      <c r="I489" s="8">
        <f>IF(B489="","",Cfg_StartWeight-B489)</f>
        <v/>
      </c>
      <c r="J489" s="10">
        <f>IF(OR(B489="",G489=""),"",I489-G489)</f>
        <v/>
      </c>
      <c r="K489" s="9">
        <f>IF(B489="","",IFERROR(AVERAGEIFS($B$2:$B$1001,$A$2:$A$1001,"&gt;="&amp;A489-6,$A$2:$A$1001,"&lt;="&amp;A489),""))</f>
        <v/>
      </c>
    </row>
    <row r="490">
      <c r="A490" s="7" t="n"/>
      <c r="B490" s="8" t="n"/>
      <c r="E490">
        <f>IF(C490="","",C490-Cfg_TDEE-IFERROR(D490,0))</f>
        <v/>
      </c>
      <c r="F490">
        <f>IF(E490="","",IFERROR(F489,0)+(-E490))</f>
        <v/>
      </c>
      <c r="G490" s="9">
        <f>IF(F490="","",F490/Cfg_FatConstant)</f>
        <v/>
      </c>
      <c r="H490" s="8">
        <f>IF(G490="","",Cfg_StartWeight-G490)</f>
        <v/>
      </c>
      <c r="I490" s="8">
        <f>IF(B490="","",Cfg_StartWeight-B490)</f>
        <v/>
      </c>
      <c r="J490" s="10">
        <f>IF(OR(B490="",G490=""),"",I490-G490)</f>
        <v/>
      </c>
      <c r="K490" s="9">
        <f>IF(B490="","",IFERROR(AVERAGEIFS($B$2:$B$1001,$A$2:$A$1001,"&gt;="&amp;A490-6,$A$2:$A$1001,"&lt;="&amp;A490),""))</f>
        <v/>
      </c>
    </row>
    <row r="491">
      <c r="A491" s="7" t="n"/>
      <c r="B491" s="8" t="n"/>
      <c r="E491">
        <f>IF(C491="","",C491-Cfg_TDEE-IFERROR(D491,0))</f>
        <v/>
      </c>
      <c r="F491">
        <f>IF(E491="","",IFERROR(F490,0)+(-E491))</f>
        <v/>
      </c>
      <c r="G491" s="9">
        <f>IF(F491="","",F491/Cfg_FatConstant)</f>
        <v/>
      </c>
      <c r="H491" s="8">
        <f>IF(G491="","",Cfg_StartWeight-G491)</f>
        <v/>
      </c>
      <c r="I491" s="8">
        <f>IF(B491="","",Cfg_StartWeight-B491)</f>
        <v/>
      </c>
      <c r="J491" s="10">
        <f>IF(OR(B491="",G491=""),"",I491-G491)</f>
        <v/>
      </c>
      <c r="K491" s="9">
        <f>IF(B491="","",IFERROR(AVERAGEIFS($B$2:$B$1001,$A$2:$A$1001,"&gt;="&amp;A491-6,$A$2:$A$1001,"&lt;="&amp;A491),""))</f>
        <v/>
      </c>
    </row>
    <row r="492">
      <c r="A492" s="7" t="n"/>
      <c r="B492" s="8" t="n"/>
      <c r="E492">
        <f>IF(C492="","",C492-Cfg_TDEE-IFERROR(D492,0))</f>
        <v/>
      </c>
      <c r="F492">
        <f>IF(E492="","",IFERROR(F491,0)+(-E492))</f>
        <v/>
      </c>
      <c r="G492" s="9">
        <f>IF(F492="","",F492/Cfg_FatConstant)</f>
        <v/>
      </c>
      <c r="H492" s="8">
        <f>IF(G492="","",Cfg_StartWeight-G492)</f>
        <v/>
      </c>
      <c r="I492" s="8">
        <f>IF(B492="","",Cfg_StartWeight-B492)</f>
        <v/>
      </c>
      <c r="J492" s="10">
        <f>IF(OR(B492="",G492=""),"",I492-G492)</f>
        <v/>
      </c>
      <c r="K492" s="9">
        <f>IF(B492="","",IFERROR(AVERAGEIFS($B$2:$B$1001,$A$2:$A$1001,"&gt;="&amp;A492-6,$A$2:$A$1001,"&lt;="&amp;A492),""))</f>
        <v/>
      </c>
    </row>
    <row r="493">
      <c r="A493" s="7" t="n"/>
      <c r="B493" s="8" t="n"/>
      <c r="E493">
        <f>IF(C493="","",C493-Cfg_TDEE-IFERROR(D493,0))</f>
        <v/>
      </c>
      <c r="F493">
        <f>IF(E493="","",IFERROR(F492,0)+(-E493))</f>
        <v/>
      </c>
      <c r="G493" s="9">
        <f>IF(F493="","",F493/Cfg_FatConstant)</f>
        <v/>
      </c>
      <c r="H493" s="8">
        <f>IF(G493="","",Cfg_StartWeight-G493)</f>
        <v/>
      </c>
      <c r="I493" s="8">
        <f>IF(B493="","",Cfg_StartWeight-B493)</f>
        <v/>
      </c>
      <c r="J493" s="10">
        <f>IF(OR(B493="",G493=""),"",I493-G493)</f>
        <v/>
      </c>
      <c r="K493" s="9">
        <f>IF(B493="","",IFERROR(AVERAGEIFS($B$2:$B$1001,$A$2:$A$1001,"&gt;="&amp;A493-6,$A$2:$A$1001,"&lt;="&amp;A493),""))</f>
        <v/>
      </c>
    </row>
    <row r="494">
      <c r="A494" s="7" t="n"/>
      <c r="B494" s="8" t="n"/>
      <c r="E494">
        <f>IF(C494="","",C494-Cfg_TDEE-IFERROR(D494,0))</f>
        <v/>
      </c>
      <c r="F494">
        <f>IF(E494="","",IFERROR(F493,0)+(-E494))</f>
        <v/>
      </c>
      <c r="G494" s="9">
        <f>IF(F494="","",F494/Cfg_FatConstant)</f>
        <v/>
      </c>
      <c r="H494" s="8">
        <f>IF(G494="","",Cfg_StartWeight-G494)</f>
        <v/>
      </c>
      <c r="I494" s="8">
        <f>IF(B494="","",Cfg_StartWeight-B494)</f>
        <v/>
      </c>
      <c r="J494" s="10">
        <f>IF(OR(B494="",G494=""),"",I494-G494)</f>
        <v/>
      </c>
      <c r="K494" s="9">
        <f>IF(B494="","",IFERROR(AVERAGEIFS($B$2:$B$1001,$A$2:$A$1001,"&gt;="&amp;A494-6,$A$2:$A$1001,"&lt;="&amp;A494),""))</f>
        <v/>
      </c>
    </row>
    <row r="495">
      <c r="A495" s="7" t="n"/>
      <c r="B495" s="8" t="n"/>
      <c r="E495">
        <f>IF(C495="","",C495-Cfg_TDEE-IFERROR(D495,0))</f>
        <v/>
      </c>
      <c r="F495">
        <f>IF(E495="","",IFERROR(F494,0)+(-E495))</f>
        <v/>
      </c>
      <c r="G495" s="9">
        <f>IF(F495="","",F495/Cfg_FatConstant)</f>
        <v/>
      </c>
      <c r="H495" s="8">
        <f>IF(G495="","",Cfg_StartWeight-G495)</f>
        <v/>
      </c>
      <c r="I495" s="8">
        <f>IF(B495="","",Cfg_StartWeight-B495)</f>
        <v/>
      </c>
      <c r="J495" s="10">
        <f>IF(OR(B495="",G495=""),"",I495-G495)</f>
        <v/>
      </c>
      <c r="K495" s="9">
        <f>IF(B495="","",IFERROR(AVERAGEIFS($B$2:$B$1001,$A$2:$A$1001,"&gt;="&amp;A495-6,$A$2:$A$1001,"&lt;="&amp;A495),""))</f>
        <v/>
      </c>
    </row>
    <row r="496">
      <c r="A496" s="7" t="n"/>
      <c r="B496" s="8" t="n"/>
      <c r="E496">
        <f>IF(C496="","",C496-Cfg_TDEE-IFERROR(D496,0))</f>
        <v/>
      </c>
      <c r="F496">
        <f>IF(E496="","",IFERROR(F495,0)+(-E496))</f>
        <v/>
      </c>
      <c r="G496" s="9">
        <f>IF(F496="","",F496/Cfg_FatConstant)</f>
        <v/>
      </c>
      <c r="H496" s="8">
        <f>IF(G496="","",Cfg_StartWeight-G496)</f>
        <v/>
      </c>
      <c r="I496" s="8">
        <f>IF(B496="","",Cfg_StartWeight-B496)</f>
        <v/>
      </c>
      <c r="J496" s="10">
        <f>IF(OR(B496="",G496=""),"",I496-G496)</f>
        <v/>
      </c>
      <c r="K496" s="9">
        <f>IF(B496="","",IFERROR(AVERAGEIFS($B$2:$B$1001,$A$2:$A$1001,"&gt;="&amp;A496-6,$A$2:$A$1001,"&lt;="&amp;A496),""))</f>
        <v/>
      </c>
    </row>
    <row r="497">
      <c r="A497" s="7" t="n"/>
      <c r="B497" s="8" t="n"/>
      <c r="E497">
        <f>IF(C497="","",C497-Cfg_TDEE-IFERROR(D497,0))</f>
        <v/>
      </c>
      <c r="F497">
        <f>IF(E497="","",IFERROR(F496,0)+(-E497))</f>
        <v/>
      </c>
      <c r="G497" s="9">
        <f>IF(F497="","",F497/Cfg_FatConstant)</f>
        <v/>
      </c>
      <c r="H497" s="8">
        <f>IF(G497="","",Cfg_StartWeight-G497)</f>
        <v/>
      </c>
      <c r="I497" s="8">
        <f>IF(B497="","",Cfg_StartWeight-B497)</f>
        <v/>
      </c>
      <c r="J497" s="10">
        <f>IF(OR(B497="",G497=""),"",I497-G497)</f>
        <v/>
      </c>
      <c r="K497" s="9">
        <f>IF(B497="","",IFERROR(AVERAGEIFS($B$2:$B$1001,$A$2:$A$1001,"&gt;="&amp;A497-6,$A$2:$A$1001,"&lt;="&amp;A497),""))</f>
        <v/>
      </c>
    </row>
    <row r="498">
      <c r="A498" s="7" t="n"/>
      <c r="B498" s="8" t="n"/>
      <c r="E498">
        <f>IF(C498="","",C498-Cfg_TDEE-IFERROR(D498,0))</f>
        <v/>
      </c>
      <c r="F498">
        <f>IF(E498="","",IFERROR(F497,0)+(-E498))</f>
        <v/>
      </c>
      <c r="G498" s="9">
        <f>IF(F498="","",F498/Cfg_FatConstant)</f>
        <v/>
      </c>
      <c r="H498" s="8">
        <f>IF(G498="","",Cfg_StartWeight-G498)</f>
        <v/>
      </c>
      <c r="I498" s="8">
        <f>IF(B498="","",Cfg_StartWeight-B498)</f>
        <v/>
      </c>
      <c r="J498" s="10">
        <f>IF(OR(B498="",G498=""),"",I498-G498)</f>
        <v/>
      </c>
      <c r="K498" s="9">
        <f>IF(B498="","",IFERROR(AVERAGEIFS($B$2:$B$1001,$A$2:$A$1001,"&gt;="&amp;A498-6,$A$2:$A$1001,"&lt;="&amp;A498),""))</f>
        <v/>
      </c>
    </row>
    <row r="499">
      <c r="A499" s="7" t="n"/>
      <c r="B499" s="8" t="n"/>
      <c r="E499">
        <f>IF(C499="","",C499-Cfg_TDEE-IFERROR(D499,0))</f>
        <v/>
      </c>
      <c r="F499">
        <f>IF(E499="","",IFERROR(F498,0)+(-E499))</f>
        <v/>
      </c>
      <c r="G499" s="9">
        <f>IF(F499="","",F499/Cfg_FatConstant)</f>
        <v/>
      </c>
      <c r="H499" s="8">
        <f>IF(G499="","",Cfg_StartWeight-G499)</f>
        <v/>
      </c>
      <c r="I499" s="8">
        <f>IF(B499="","",Cfg_StartWeight-B499)</f>
        <v/>
      </c>
      <c r="J499" s="10">
        <f>IF(OR(B499="",G499=""),"",I499-G499)</f>
        <v/>
      </c>
      <c r="K499" s="9">
        <f>IF(B499="","",IFERROR(AVERAGEIFS($B$2:$B$1001,$A$2:$A$1001,"&gt;="&amp;A499-6,$A$2:$A$1001,"&lt;="&amp;A499),""))</f>
        <v/>
      </c>
    </row>
    <row r="500">
      <c r="A500" s="7" t="n"/>
      <c r="B500" s="8" t="n"/>
      <c r="E500">
        <f>IF(C500="","",C500-Cfg_TDEE-IFERROR(D500,0))</f>
        <v/>
      </c>
      <c r="F500">
        <f>IF(E500="","",IFERROR(F499,0)+(-E500))</f>
        <v/>
      </c>
      <c r="G500" s="9">
        <f>IF(F500="","",F500/Cfg_FatConstant)</f>
        <v/>
      </c>
      <c r="H500" s="8">
        <f>IF(G500="","",Cfg_StartWeight-G500)</f>
        <v/>
      </c>
      <c r="I500" s="8">
        <f>IF(B500="","",Cfg_StartWeight-B500)</f>
        <v/>
      </c>
      <c r="J500" s="10">
        <f>IF(OR(B500="",G500=""),"",I500-G500)</f>
        <v/>
      </c>
      <c r="K500" s="9">
        <f>IF(B500="","",IFERROR(AVERAGEIFS($B$2:$B$1001,$A$2:$A$1001,"&gt;="&amp;A500-6,$A$2:$A$1001,"&lt;="&amp;A500),""))</f>
        <v/>
      </c>
    </row>
    <row r="501">
      <c r="A501" s="7" t="n"/>
      <c r="B501" s="8" t="n"/>
      <c r="E501">
        <f>IF(C501="","",C501-Cfg_TDEE-IFERROR(D501,0))</f>
        <v/>
      </c>
      <c r="F501">
        <f>IF(E501="","",IFERROR(F500,0)+(-E501))</f>
        <v/>
      </c>
      <c r="G501" s="9">
        <f>IF(F501="","",F501/Cfg_FatConstant)</f>
        <v/>
      </c>
      <c r="H501" s="8">
        <f>IF(G501="","",Cfg_StartWeight-G501)</f>
        <v/>
      </c>
      <c r="I501" s="8">
        <f>IF(B501="","",Cfg_StartWeight-B501)</f>
        <v/>
      </c>
      <c r="J501" s="10">
        <f>IF(OR(B501="",G501=""),"",I501-G501)</f>
        <v/>
      </c>
      <c r="K501" s="9">
        <f>IF(B501="","",IFERROR(AVERAGEIFS($B$2:$B$1001,$A$2:$A$1001,"&gt;="&amp;A501-6,$A$2:$A$1001,"&lt;="&amp;A501),""))</f>
        <v/>
      </c>
    </row>
    <row r="502">
      <c r="A502" s="7" t="n"/>
      <c r="B502" s="8" t="n"/>
      <c r="E502">
        <f>IF(C502="","",C502-Cfg_TDEE-IFERROR(D502,0))</f>
        <v/>
      </c>
      <c r="F502">
        <f>IF(E502="","",IFERROR(F501,0)+(-E502))</f>
        <v/>
      </c>
      <c r="G502" s="9">
        <f>IF(F502="","",F502/Cfg_FatConstant)</f>
        <v/>
      </c>
      <c r="H502" s="8">
        <f>IF(G502="","",Cfg_StartWeight-G502)</f>
        <v/>
      </c>
      <c r="I502" s="8">
        <f>IF(B502="","",Cfg_StartWeight-B502)</f>
        <v/>
      </c>
      <c r="J502" s="10">
        <f>IF(OR(B502="",G502=""),"",I502-G502)</f>
        <v/>
      </c>
      <c r="K502" s="9">
        <f>IF(B502="","",IFERROR(AVERAGEIFS($B$2:$B$1001,$A$2:$A$1001,"&gt;="&amp;A502-6,$A$2:$A$1001,"&lt;="&amp;A502),""))</f>
        <v/>
      </c>
    </row>
    <row r="503">
      <c r="A503" s="7" t="n"/>
      <c r="B503" s="8" t="n"/>
      <c r="E503">
        <f>IF(C503="","",C503-Cfg_TDEE-IFERROR(D503,0))</f>
        <v/>
      </c>
      <c r="F503">
        <f>IF(E503="","",IFERROR(F502,0)+(-E503))</f>
        <v/>
      </c>
      <c r="G503" s="9">
        <f>IF(F503="","",F503/Cfg_FatConstant)</f>
        <v/>
      </c>
      <c r="H503" s="8">
        <f>IF(G503="","",Cfg_StartWeight-G503)</f>
        <v/>
      </c>
      <c r="I503" s="8">
        <f>IF(B503="","",Cfg_StartWeight-B503)</f>
        <v/>
      </c>
      <c r="J503" s="10">
        <f>IF(OR(B503="",G503=""),"",I503-G503)</f>
        <v/>
      </c>
      <c r="K503" s="9">
        <f>IF(B503="","",IFERROR(AVERAGEIFS($B$2:$B$1001,$A$2:$A$1001,"&gt;="&amp;A503-6,$A$2:$A$1001,"&lt;="&amp;A503),""))</f>
        <v/>
      </c>
    </row>
    <row r="504">
      <c r="A504" s="7" t="n"/>
      <c r="B504" s="8" t="n"/>
      <c r="E504">
        <f>IF(C504="","",C504-Cfg_TDEE-IFERROR(D504,0))</f>
        <v/>
      </c>
      <c r="F504">
        <f>IF(E504="","",IFERROR(F503,0)+(-E504))</f>
        <v/>
      </c>
      <c r="G504" s="9">
        <f>IF(F504="","",F504/Cfg_FatConstant)</f>
        <v/>
      </c>
      <c r="H504" s="8">
        <f>IF(G504="","",Cfg_StartWeight-G504)</f>
        <v/>
      </c>
      <c r="I504" s="8">
        <f>IF(B504="","",Cfg_StartWeight-B504)</f>
        <v/>
      </c>
      <c r="J504" s="10">
        <f>IF(OR(B504="",G504=""),"",I504-G504)</f>
        <v/>
      </c>
      <c r="K504" s="9">
        <f>IF(B504="","",IFERROR(AVERAGEIFS($B$2:$B$1001,$A$2:$A$1001,"&gt;="&amp;A504-6,$A$2:$A$1001,"&lt;="&amp;A504),""))</f>
        <v/>
      </c>
    </row>
    <row r="505">
      <c r="A505" s="7" t="n"/>
      <c r="B505" s="8" t="n"/>
      <c r="E505">
        <f>IF(C505="","",C505-Cfg_TDEE-IFERROR(D505,0))</f>
        <v/>
      </c>
      <c r="F505">
        <f>IF(E505="","",IFERROR(F504,0)+(-E505))</f>
        <v/>
      </c>
      <c r="G505" s="9">
        <f>IF(F505="","",F505/Cfg_FatConstant)</f>
        <v/>
      </c>
      <c r="H505" s="8">
        <f>IF(G505="","",Cfg_StartWeight-G505)</f>
        <v/>
      </c>
      <c r="I505" s="8">
        <f>IF(B505="","",Cfg_StartWeight-B505)</f>
        <v/>
      </c>
      <c r="J505" s="10">
        <f>IF(OR(B505="",G505=""),"",I505-G505)</f>
        <v/>
      </c>
      <c r="K505" s="9">
        <f>IF(B505="","",IFERROR(AVERAGEIFS($B$2:$B$1001,$A$2:$A$1001,"&gt;="&amp;A505-6,$A$2:$A$1001,"&lt;="&amp;A505),""))</f>
        <v/>
      </c>
    </row>
    <row r="506">
      <c r="A506" s="7" t="n"/>
      <c r="B506" s="8" t="n"/>
      <c r="E506">
        <f>IF(C506="","",C506-Cfg_TDEE-IFERROR(D506,0))</f>
        <v/>
      </c>
      <c r="F506">
        <f>IF(E506="","",IFERROR(F505,0)+(-E506))</f>
        <v/>
      </c>
      <c r="G506" s="9">
        <f>IF(F506="","",F506/Cfg_FatConstant)</f>
        <v/>
      </c>
      <c r="H506" s="8">
        <f>IF(G506="","",Cfg_StartWeight-G506)</f>
        <v/>
      </c>
      <c r="I506" s="8">
        <f>IF(B506="","",Cfg_StartWeight-B506)</f>
        <v/>
      </c>
      <c r="J506" s="10">
        <f>IF(OR(B506="",G506=""),"",I506-G506)</f>
        <v/>
      </c>
      <c r="K506" s="9">
        <f>IF(B506="","",IFERROR(AVERAGEIFS($B$2:$B$1001,$A$2:$A$1001,"&gt;="&amp;A506-6,$A$2:$A$1001,"&lt;="&amp;A506),""))</f>
        <v/>
      </c>
    </row>
    <row r="507">
      <c r="A507" s="7" t="n"/>
      <c r="B507" s="8" t="n"/>
      <c r="E507">
        <f>IF(C507="","",C507-Cfg_TDEE-IFERROR(D507,0))</f>
        <v/>
      </c>
      <c r="F507">
        <f>IF(E507="","",IFERROR(F506,0)+(-E507))</f>
        <v/>
      </c>
      <c r="G507" s="9">
        <f>IF(F507="","",F507/Cfg_FatConstant)</f>
        <v/>
      </c>
      <c r="H507" s="8">
        <f>IF(G507="","",Cfg_StartWeight-G507)</f>
        <v/>
      </c>
      <c r="I507" s="8">
        <f>IF(B507="","",Cfg_StartWeight-B507)</f>
        <v/>
      </c>
      <c r="J507" s="10">
        <f>IF(OR(B507="",G507=""),"",I507-G507)</f>
        <v/>
      </c>
      <c r="K507" s="9">
        <f>IF(B507="","",IFERROR(AVERAGEIFS($B$2:$B$1001,$A$2:$A$1001,"&gt;="&amp;A507-6,$A$2:$A$1001,"&lt;="&amp;A507),""))</f>
        <v/>
      </c>
    </row>
    <row r="508">
      <c r="A508" s="7" t="n"/>
      <c r="B508" s="8" t="n"/>
      <c r="E508">
        <f>IF(C508="","",C508-Cfg_TDEE-IFERROR(D508,0))</f>
        <v/>
      </c>
      <c r="F508">
        <f>IF(E508="","",IFERROR(F507,0)+(-E508))</f>
        <v/>
      </c>
      <c r="G508" s="9">
        <f>IF(F508="","",F508/Cfg_FatConstant)</f>
        <v/>
      </c>
      <c r="H508" s="8">
        <f>IF(G508="","",Cfg_StartWeight-G508)</f>
        <v/>
      </c>
      <c r="I508" s="8">
        <f>IF(B508="","",Cfg_StartWeight-B508)</f>
        <v/>
      </c>
      <c r="J508" s="10">
        <f>IF(OR(B508="",G508=""),"",I508-G508)</f>
        <v/>
      </c>
      <c r="K508" s="9">
        <f>IF(B508="","",IFERROR(AVERAGEIFS($B$2:$B$1001,$A$2:$A$1001,"&gt;="&amp;A508-6,$A$2:$A$1001,"&lt;="&amp;A508),""))</f>
        <v/>
      </c>
    </row>
    <row r="509">
      <c r="A509" s="7" t="n"/>
      <c r="B509" s="8" t="n"/>
      <c r="E509">
        <f>IF(C509="","",C509-Cfg_TDEE-IFERROR(D509,0))</f>
        <v/>
      </c>
      <c r="F509">
        <f>IF(E509="","",IFERROR(F508,0)+(-E509))</f>
        <v/>
      </c>
      <c r="G509" s="9">
        <f>IF(F509="","",F509/Cfg_FatConstant)</f>
        <v/>
      </c>
      <c r="H509" s="8">
        <f>IF(G509="","",Cfg_StartWeight-G509)</f>
        <v/>
      </c>
      <c r="I509" s="8">
        <f>IF(B509="","",Cfg_StartWeight-B509)</f>
        <v/>
      </c>
      <c r="J509" s="10">
        <f>IF(OR(B509="",G509=""),"",I509-G509)</f>
        <v/>
      </c>
      <c r="K509" s="9">
        <f>IF(B509="","",IFERROR(AVERAGEIFS($B$2:$B$1001,$A$2:$A$1001,"&gt;="&amp;A509-6,$A$2:$A$1001,"&lt;="&amp;A509),""))</f>
        <v/>
      </c>
    </row>
    <row r="510">
      <c r="A510" s="7" t="n"/>
      <c r="B510" s="8" t="n"/>
      <c r="E510">
        <f>IF(C510="","",C510-Cfg_TDEE-IFERROR(D510,0))</f>
        <v/>
      </c>
      <c r="F510">
        <f>IF(E510="","",IFERROR(F509,0)+(-E510))</f>
        <v/>
      </c>
      <c r="G510" s="9">
        <f>IF(F510="","",F510/Cfg_FatConstant)</f>
        <v/>
      </c>
      <c r="H510" s="8">
        <f>IF(G510="","",Cfg_StartWeight-G510)</f>
        <v/>
      </c>
      <c r="I510" s="8">
        <f>IF(B510="","",Cfg_StartWeight-B510)</f>
        <v/>
      </c>
      <c r="J510" s="10">
        <f>IF(OR(B510="",G510=""),"",I510-G510)</f>
        <v/>
      </c>
      <c r="K510" s="9">
        <f>IF(B510="","",IFERROR(AVERAGEIFS($B$2:$B$1001,$A$2:$A$1001,"&gt;="&amp;A510-6,$A$2:$A$1001,"&lt;="&amp;A510),""))</f>
        <v/>
      </c>
    </row>
    <row r="511">
      <c r="A511" s="7" t="n"/>
      <c r="B511" s="8" t="n"/>
      <c r="E511">
        <f>IF(C511="","",C511-Cfg_TDEE-IFERROR(D511,0))</f>
        <v/>
      </c>
      <c r="F511">
        <f>IF(E511="","",IFERROR(F510,0)+(-E511))</f>
        <v/>
      </c>
      <c r="G511" s="9">
        <f>IF(F511="","",F511/Cfg_FatConstant)</f>
        <v/>
      </c>
      <c r="H511" s="8">
        <f>IF(G511="","",Cfg_StartWeight-G511)</f>
        <v/>
      </c>
      <c r="I511" s="8">
        <f>IF(B511="","",Cfg_StartWeight-B511)</f>
        <v/>
      </c>
      <c r="J511" s="10">
        <f>IF(OR(B511="",G511=""),"",I511-G511)</f>
        <v/>
      </c>
      <c r="K511" s="9">
        <f>IF(B511="","",IFERROR(AVERAGEIFS($B$2:$B$1001,$A$2:$A$1001,"&gt;="&amp;A511-6,$A$2:$A$1001,"&lt;="&amp;A511),""))</f>
        <v/>
      </c>
    </row>
    <row r="512">
      <c r="A512" s="7" t="n"/>
      <c r="B512" s="8" t="n"/>
      <c r="E512">
        <f>IF(C512="","",C512-Cfg_TDEE-IFERROR(D512,0))</f>
        <v/>
      </c>
      <c r="F512">
        <f>IF(E512="","",IFERROR(F511,0)+(-E512))</f>
        <v/>
      </c>
      <c r="G512" s="9">
        <f>IF(F512="","",F512/Cfg_FatConstant)</f>
        <v/>
      </c>
      <c r="H512" s="8">
        <f>IF(G512="","",Cfg_StartWeight-G512)</f>
        <v/>
      </c>
      <c r="I512" s="8">
        <f>IF(B512="","",Cfg_StartWeight-B512)</f>
        <v/>
      </c>
      <c r="J512" s="10">
        <f>IF(OR(B512="",G512=""),"",I512-G512)</f>
        <v/>
      </c>
      <c r="K512" s="9">
        <f>IF(B512="","",IFERROR(AVERAGEIFS($B$2:$B$1001,$A$2:$A$1001,"&gt;="&amp;A512-6,$A$2:$A$1001,"&lt;="&amp;A512),""))</f>
        <v/>
      </c>
    </row>
    <row r="513">
      <c r="A513" s="7" t="n"/>
      <c r="B513" s="8" t="n"/>
      <c r="E513">
        <f>IF(C513="","",C513-Cfg_TDEE-IFERROR(D513,0))</f>
        <v/>
      </c>
      <c r="F513">
        <f>IF(E513="","",IFERROR(F512,0)+(-E513))</f>
        <v/>
      </c>
      <c r="G513" s="9">
        <f>IF(F513="","",F513/Cfg_FatConstant)</f>
        <v/>
      </c>
      <c r="H513" s="8">
        <f>IF(G513="","",Cfg_StartWeight-G513)</f>
        <v/>
      </c>
      <c r="I513" s="8">
        <f>IF(B513="","",Cfg_StartWeight-B513)</f>
        <v/>
      </c>
      <c r="J513" s="10">
        <f>IF(OR(B513="",G513=""),"",I513-G513)</f>
        <v/>
      </c>
      <c r="K513" s="9">
        <f>IF(B513="","",IFERROR(AVERAGEIFS($B$2:$B$1001,$A$2:$A$1001,"&gt;="&amp;A513-6,$A$2:$A$1001,"&lt;="&amp;A513),""))</f>
        <v/>
      </c>
    </row>
    <row r="514">
      <c r="A514" s="7" t="n"/>
      <c r="B514" s="8" t="n"/>
      <c r="E514">
        <f>IF(C514="","",C514-Cfg_TDEE-IFERROR(D514,0))</f>
        <v/>
      </c>
      <c r="F514">
        <f>IF(E514="","",IFERROR(F513,0)+(-E514))</f>
        <v/>
      </c>
      <c r="G514" s="9">
        <f>IF(F514="","",F514/Cfg_FatConstant)</f>
        <v/>
      </c>
      <c r="H514" s="8">
        <f>IF(G514="","",Cfg_StartWeight-G514)</f>
        <v/>
      </c>
      <c r="I514" s="8">
        <f>IF(B514="","",Cfg_StartWeight-B514)</f>
        <v/>
      </c>
      <c r="J514" s="10">
        <f>IF(OR(B514="",G514=""),"",I514-G514)</f>
        <v/>
      </c>
      <c r="K514" s="9">
        <f>IF(B514="","",IFERROR(AVERAGEIFS($B$2:$B$1001,$A$2:$A$1001,"&gt;="&amp;A514-6,$A$2:$A$1001,"&lt;="&amp;A514),""))</f>
        <v/>
      </c>
    </row>
    <row r="515">
      <c r="A515" s="7" t="n"/>
      <c r="B515" s="8" t="n"/>
      <c r="E515">
        <f>IF(C515="","",C515-Cfg_TDEE-IFERROR(D515,0))</f>
        <v/>
      </c>
      <c r="F515">
        <f>IF(E515="","",IFERROR(F514,0)+(-E515))</f>
        <v/>
      </c>
      <c r="G515" s="9">
        <f>IF(F515="","",F515/Cfg_FatConstant)</f>
        <v/>
      </c>
      <c r="H515" s="8">
        <f>IF(G515="","",Cfg_StartWeight-G515)</f>
        <v/>
      </c>
      <c r="I515" s="8">
        <f>IF(B515="","",Cfg_StartWeight-B515)</f>
        <v/>
      </c>
      <c r="J515" s="10">
        <f>IF(OR(B515="",G515=""),"",I515-G515)</f>
        <v/>
      </c>
      <c r="K515" s="9">
        <f>IF(B515="","",IFERROR(AVERAGEIFS($B$2:$B$1001,$A$2:$A$1001,"&gt;="&amp;A515-6,$A$2:$A$1001,"&lt;="&amp;A515),""))</f>
        <v/>
      </c>
    </row>
    <row r="516">
      <c r="A516" s="7" t="n"/>
      <c r="B516" s="8" t="n"/>
      <c r="E516">
        <f>IF(C516="","",C516-Cfg_TDEE-IFERROR(D516,0))</f>
        <v/>
      </c>
      <c r="F516">
        <f>IF(E516="","",IFERROR(F515,0)+(-E516))</f>
        <v/>
      </c>
      <c r="G516" s="9">
        <f>IF(F516="","",F516/Cfg_FatConstant)</f>
        <v/>
      </c>
      <c r="H516" s="8">
        <f>IF(G516="","",Cfg_StartWeight-G516)</f>
        <v/>
      </c>
      <c r="I516" s="8">
        <f>IF(B516="","",Cfg_StartWeight-B516)</f>
        <v/>
      </c>
      <c r="J516" s="10">
        <f>IF(OR(B516="",G516=""),"",I516-G516)</f>
        <v/>
      </c>
      <c r="K516" s="9">
        <f>IF(B516="","",IFERROR(AVERAGEIFS($B$2:$B$1001,$A$2:$A$1001,"&gt;="&amp;A516-6,$A$2:$A$1001,"&lt;="&amp;A516),""))</f>
        <v/>
      </c>
    </row>
    <row r="517">
      <c r="A517" s="7" t="n"/>
      <c r="B517" s="8" t="n"/>
      <c r="E517">
        <f>IF(C517="","",C517-Cfg_TDEE-IFERROR(D517,0))</f>
        <v/>
      </c>
      <c r="F517">
        <f>IF(E517="","",IFERROR(F516,0)+(-E517))</f>
        <v/>
      </c>
      <c r="G517" s="9">
        <f>IF(F517="","",F517/Cfg_FatConstant)</f>
        <v/>
      </c>
      <c r="H517" s="8">
        <f>IF(G517="","",Cfg_StartWeight-G517)</f>
        <v/>
      </c>
      <c r="I517" s="8">
        <f>IF(B517="","",Cfg_StartWeight-B517)</f>
        <v/>
      </c>
      <c r="J517" s="10">
        <f>IF(OR(B517="",G517=""),"",I517-G517)</f>
        <v/>
      </c>
      <c r="K517" s="9">
        <f>IF(B517="","",IFERROR(AVERAGEIFS($B$2:$B$1001,$A$2:$A$1001,"&gt;="&amp;A517-6,$A$2:$A$1001,"&lt;="&amp;A517),""))</f>
        <v/>
      </c>
    </row>
    <row r="518">
      <c r="A518" s="7" t="n"/>
      <c r="B518" s="8" t="n"/>
      <c r="E518">
        <f>IF(C518="","",C518-Cfg_TDEE-IFERROR(D518,0))</f>
        <v/>
      </c>
      <c r="F518">
        <f>IF(E518="","",IFERROR(F517,0)+(-E518))</f>
        <v/>
      </c>
      <c r="G518" s="9">
        <f>IF(F518="","",F518/Cfg_FatConstant)</f>
        <v/>
      </c>
      <c r="H518" s="8">
        <f>IF(G518="","",Cfg_StartWeight-G518)</f>
        <v/>
      </c>
      <c r="I518" s="8">
        <f>IF(B518="","",Cfg_StartWeight-B518)</f>
        <v/>
      </c>
      <c r="J518" s="10">
        <f>IF(OR(B518="",G518=""),"",I518-G518)</f>
        <v/>
      </c>
      <c r="K518" s="9">
        <f>IF(B518="","",IFERROR(AVERAGEIFS($B$2:$B$1001,$A$2:$A$1001,"&gt;="&amp;A518-6,$A$2:$A$1001,"&lt;="&amp;A518),""))</f>
        <v/>
      </c>
    </row>
    <row r="519">
      <c r="A519" s="7" t="n"/>
      <c r="B519" s="8" t="n"/>
      <c r="E519">
        <f>IF(C519="","",C519-Cfg_TDEE-IFERROR(D519,0))</f>
        <v/>
      </c>
      <c r="F519">
        <f>IF(E519="","",IFERROR(F518,0)+(-E519))</f>
        <v/>
      </c>
      <c r="G519" s="9">
        <f>IF(F519="","",F519/Cfg_FatConstant)</f>
        <v/>
      </c>
      <c r="H519" s="8">
        <f>IF(G519="","",Cfg_StartWeight-G519)</f>
        <v/>
      </c>
      <c r="I519" s="8">
        <f>IF(B519="","",Cfg_StartWeight-B519)</f>
        <v/>
      </c>
      <c r="J519" s="10">
        <f>IF(OR(B519="",G519=""),"",I519-G519)</f>
        <v/>
      </c>
      <c r="K519" s="9">
        <f>IF(B519="","",IFERROR(AVERAGEIFS($B$2:$B$1001,$A$2:$A$1001,"&gt;="&amp;A519-6,$A$2:$A$1001,"&lt;="&amp;A519),""))</f>
        <v/>
      </c>
    </row>
    <row r="520">
      <c r="A520" s="7" t="n"/>
      <c r="B520" s="8" t="n"/>
      <c r="E520">
        <f>IF(C520="","",C520-Cfg_TDEE-IFERROR(D520,0))</f>
        <v/>
      </c>
      <c r="F520">
        <f>IF(E520="","",IFERROR(F519,0)+(-E520))</f>
        <v/>
      </c>
      <c r="G520" s="9">
        <f>IF(F520="","",F520/Cfg_FatConstant)</f>
        <v/>
      </c>
      <c r="H520" s="8">
        <f>IF(G520="","",Cfg_StartWeight-G520)</f>
        <v/>
      </c>
      <c r="I520" s="8">
        <f>IF(B520="","",Cfg_StartWeight-B520)</f>
        <v/>
      </c>
      <c r="J520" s="10">
        <f>IF(OR(B520="",G520=""),"",I520-G520)</f>
        <v/>
      </c>
      <c r="K520" s="9">
        <f>IF(B520="","",IFERROR(AVERAGEIFS($B$2:$B$1001,$A$2:$A$1001,"&gt;="&amp;A520-6,$A$2:$A$1001,"&lt;="&amp;A520),""))</f>
        <v/>
      </c>
    </row>
    <row r="521">
      <c r="A521" s="7" t="n"/>
      <c r="B521" s="8" t="n"/>
      <c r="E521">
        <f>IF(C521="","",C521-Cfg_TDEE-IFERROR(D521,0))</f>
        <v/>
      </c>
      <c r="F521">
        <f>IF(E521="","",IFERROR(F520,0)+(-E521))</f>
        <v/>
      </c>
      <c r="G521" s="9">
        <f>IF(F521="","",F521/Cfg_FatConstant)</f>
        <v/>
      </c>
      <c r="H521" s="8">
        <f>IF(G521="","",Cfg_StartWeight-G521)</f>
        <v/>
      </c>
      <c r="I521" s="8">
        <f>IF(B521="","",Cfg_StartWeight-B521)</f>
        <v/>
      </c>
      <c r="J521" s="10">
        <f>IF(OR(B521="",G521=""),"",I521-G521)</f>
        <v/>
      </c>
      <c r="K521" s="9">
        <f>IF(B521="","",IFERROR(AVERAGEIFS($B$2:$B$1001,$A$2:$A$1001,"&gt;="&amp;A521-6,$A$2:$A$1001,"&lt;="&amp;A521),""))</f>
        <v/>
      </c>
    </row>
    <row r="522">
      <c r="A522" s="7" t="n"/>
      <c r="B522" s="8" t="n"/>
      <c r="E522">
        <f>IF(C522="","",C522-Cfg_TDEE-IFERROR(D522,0))</f>
        <v/>
      </c>
      <c r="F522">
        <f>IF(E522="","",IFERROR(F521,0)+(-E522))</f>
        <v/>
      </c>
      <c r="G522" s="9">
        <f>IF(F522="","",F522/Cfg_FatConstant)</f>
        <v/>
      </c>
      <c r="H522" s="8">
        <f>IF(G522="","",Cfg_StartWeight-G522)</f>
        <v/>
      </c>
      <c r="I522" s="8">
        <f>IF(B522="","",Cfg_StartWeight-B522)</f>
        <v/>
      </c>
      <c r="J522" s="10">
        <f>IF(OR(B522="",G522=""),"",I522-G522)</f>
        <v/>
      </c>
      <c r="K522" s="9">
        <f>IF(B522="","",IFERROR(AVERAGEIFS($B$2:$B$1001,$A$2:$A$1001,"&gt;="&amp;A522-6,$A$2:$A$1001,"&lt;="&amp;A522),""))</f>
        <v/>
      </c>
    </row>
    <row r="523">
      <c r="A523" s="7" t="n"/>
      <c r="B523" s="8" t="n"/>
      <c r="E523">
        <f>IF(C523="","",C523-Cfg_TDEE-IFERROR(D523,0))</f>
        <v/>
      </c>
      <c r="F523">
        <f>IF(E523="","",IFERROR(F522,0)+(-E523))</f>
        <v/>
      </c>
      <c r="G523" s="9">
        <f>IF(F523="","",F523/Cfg_FatConstant)</f>
        <v/>
      </c>
      <c r="H523" s="8">
        <f>IF(G523="","",Cfg_StartWeight-G523)</f>
        <v/>
      </c>
      <c r="I523" s="8">
        <f>IF(B523="","",Cfg_StartWeight-B523)</f>
        <v/>
      </c>
      <c r="J523" s="10">
        <f>IF(OR(B523="",G523=""),"",I523-G523)</f>
        <v/>
      </c>
      <c r="K523" s="9">
        <f>IF(B523="","",IFERROR(AVERAGEIFS($B$2:$B$1001,$A$2:$A$1001,"&gt;="&amp;A523-6,$A$2:$A$1001,"&lt;="&amp;A523),""))</f>
        <v/>
      </c>
    </row>
    <row r="524">
      <c r="A524" s="7" t="n"/>
      <c r="B524" s="8" t="n"/>
      <c r="E524">
        <f>IF(C524="","",C524-Cfg_TDEE-IFERROR(D524,0))</f>
        <v/>
      </c>
      <c r="F524">
        <f>IF(E524="","",IFERROR(F523,0)+(-E524))</f>
        <v/>
      </c>
      <c r="G524" s="9">
        <f>IF(F524="","",F524/Cfg_FatConstant)</f>
        <v/>
      </c>
      <c r="H524" s="8">
        <f>IF(G524="","",Cfg_StartWeight-G524)</f>
        <v/>
      </c>
      <c r="I524" s="8">
        <f>IF(B524="","",Cfg_StartWeight-B524)</f>
        <v/>
      </c>
      <c r="J524" s="10">
        <f>IF(OR(B524="",G524=""),"",I524-G524)</f>
        <v/>
      </c>
      <c r="K524" s="9">
        <f>IF(B524="","",IFERROR(AVERAGEIFS($B$2:$B$1001,$A$2:$A$1001,"&gt;="&amp;A524-6,$A$2:$A$1001,"&lt;="&amp;A524),""))</f>
        <v/>
      </c>
    </row>
    <row r="525">
      <c r="A525" s="7" t="n"/>
      <c r="B525" s="8" t="n"/>
      <c r="E525">
        <f>IF(C525="","",C525-Cfg_TDEE-IFERROR(D525,0))</f>
        <v/>
      </c>
      <c r="F525">
        <f>IF(E525="","",IFERROR(F524,0)+(-E525))</f>
        <v/>
      </c>
      <c r="G525" s="9">
        <f>IF(F525="","",F525/Cfg_FatConstant)</f>
        <v/>
      </c>
      <c r="H525" s="8">
        <f>IF(G525="","",Cfg_StartWeight-G525)</f>
        <v/>
      </c>
      <c r="I525" s="8">
        <f>IF(B525="","",Cfg_StartWeight-B525)</f>
        <v/>
      </c>
      <c r="J525" s="10">
        <f>IF(OR(B525="",G525=""),"",I525-G525)</f>
        <v/>
      </c>
      <c r="K525" s="9">
        <f>IF(B525="","",IFERROR(AVERAGEIFS($B$2:$B$1001,$A$2:$A$1001,"&gt;="&amp;A525-6,$A$2:$A$1001,"&lt;="&amp;A525),""))</f>
        <v/>
      </c>
    </row>
    <row r="526">
      <c r="A526" s="7" t="n"/>
      <c r="B526" s="8" t="n"/>
      <c r="E526">
        <f>IF(C526="","",C526-Cfg_TDEE-IFERROR(D526,0))</f>
        <v/>
      </c>
      <c r="F526">
        <f>IF(E526="","",IFERROR(F525,0)+(-E526))</f>
        <v/>
      </c>
      <c r="G526" s="9">
        <f>IF(F526="","",F526/Cfg_FatConstant)</f>
        <v/>
      </c>
      <c r="H526" s="8">
        <f>IF(G526="","",Cfg_StartWeight-G526)</f>
        <v/>
      </c>
      <c r="I526" s="8">
        <f>IF(B526="","",Cfg_StartWeight-B526)</f>
        <v/>
      </c>
      <c r="J526" s="10">
        <f>IF(OR(B526="",G526=""),"",I526-G526)</f>
        <v/>
      </c>
      <c r="K526" s="9">
        <f>IF(B526="","",IFERROR(AVERAGEIFS($B$2:$B$1001,$A$2:$A$1001,"&gt;="&amp;A526-6,$A$2:$A$1001,"&lt;="&amp;A526),""))</f>
        <v/>
      </c>
    </row>
    <row r="527">
      <c r="A527" s="7" t="n"/>
      <c r="B527" s="8" t="n"/>
      <c r="E527">
        <f>IF(C527="","",C527-Cfg_TDEE-IFERROR(D527,0))</f>
        <v/>
      </c>
      <c r="F527">
        <f>IF(E527="","",IFERROR(F526,0)+(-E527))</f>
        <v/>
      </c>
      <c r="G527" s="9">
        <f>IF(F527="","",F527/Cfg_FatConstant)</f>
        <v/>
      </c>
      <c r="H527" s="8">
        <f>IF(G527="","",Cfg_StartWeight-G527)</f>
        <v/>
      </c>
      <c r="I527" s="8">
        <f>IF(B527="","",Cfg_StartWeight-B527)</f>
        <v/>
      </c>
      <c r="J527" s="10">
        <f>IF(OR(B527="",G527=""),"",I527-G527)</f>
        <v/>
      </c>
      <c r="K527" s="9">
        <f>IF(B527="","",IFERROR(AVERAGEIFS($B$2:$B$1001,$A$2:$A$1001,"&gt;="&amp;A527-6,$A$2:$A$1001,"&lt;="&amp;A527),""))</f>
        <v/>
      </c>
    </row>
    <row r="528">
      <c r="A528" s="7" t="n"/>
      <c r="B528" s="8" t="n"/>
      <c r="E528">
        <f>IF(C528="","",C528-Cfg_TDEE-IFERROR(D528,0))</f>
        <v/>
      </c>
      <c r="F528">
        <f>IF(E528="","",IFERROR(F527,0)+(-E528))</f>
        <v/>
      </c>
      <c r="G528" s="9">
        <f>IF(F528="","",F528/Cfg_FatConstant)</f>
        <v/>
      </c>
      <c r="H528" s="8">
        <f>IF(G528="","",Cfg_StartWeight-G528)</f>
        <v/>
      </c>
      <c r="I528" s="8">
        <f>IF(B528="","",Cfg_StartWeight-B528)</f>
        <v/>
      </c>
      <c r="J528" s="10">
        <f>IF(OR(B528="",G528=""),"",I528-G528)</f>
        <v/>
      </c>
      <c r="K528" s="9">
        <f>IF(B528="","",IFERROR(AVERAGEIFS($B$2:$B$1001,$A$2:$A$1001,"&gt;="&amp;A528-6,$A$2:$A$1001,"&lt;="&amp;A528),""))</f>
        <v/>
      </c>
    </row>
    <row r="529">
      <c r="A529" s="7" t="n"/>
      <c r="B529" s="8" t="n"/>
      <c r="E529">
        <f>IF(C529="","",C529-Cfg_TDEE-IFERROR(D529,0))</f>
        <v/>
      </c>
      <c r="F529">
        <f>IF(E529="","",IFERROR(F528,0)+(-E529))</f>
        <v/>
      </c>
      <c r="G529" s="9">
        <f>IF(F529="","",F529/Cfg_FatConstant)</f>
        <v/>
      </c>
      <c r="H529" s="8">
        <f>IF(G529="","",Cfg_StartWeight-G529)</f>
        <v/>
      </c>
      <c r="I529" s="8">
        <f>IF(B529="","",Cfg_StartWeight-B529)</f>
        <v/>
      </c>
      <c r="J529" s="10">
        <f>IF(OR(B529="",G529=""),"",I529-G529)</f>
        <v/>
      </c>
      <c r="K529" s="9">
        <f>IF(B529="","",IFERROR(AVERAGEIFS($B$2:$B$1001,$A$2:$A$1001,"&gt;="&amp;A529-6,$A$2:$A$1001,"&lt;="&amp;A529),""))</f>
        <v/>
      </c>
    </row>
    <row r="530">
      <c r="A530" s="7" t="n"/>
      <c r="B530" s="8" t="n"/>
      <c r="E530">
        <f>IF(C530="","",C530-Cfg_TDEE-IFERROR(D530,0))</f>
        <v/>
      </c>
      <c r="F530">
        <f>IF(E530="","",IFERROR(F529,0)+(-E530))</f>
        <v/>
      </c>
      <c r="G530" s="9">
        <f>IF(F530="","",F530/Cfg_FatConstant)</f>
        <v/>
      </c>
      <c r="H530" s="8">
        <f>IF(G530="","",Cfg_StartWeight-G530)</f>
        <v/>
      </c>
      <c r="I530" s="8">
        <f>IF(B530="","",Cfg_StartWeight-B530)</f>
        <v/>
      </c>
      <c r="J530" s="10">
        <f>IF(OR(B530="",G530=""),"",I530-G530)</f>
        <v/>
      </c>
      <c r="K530" s="9">
        <f>IF(B530="","",IFERROR(AVERAGEIFS($B$2:$B$1001,$A$2:$A$1001,"&gt;="&amp;A530-6,$A$2:$A$1001,"&lt;="&amp;A530),""))</f>
        <v/>
      </c>
    </row>
    <row r="531">
      <c r="A531" s="7" t="n"/>
      <c r="B531" s="8" t="n"/>
      <c r="E531">
        <f>IF(C531="","",C531-Cfg_TDEE-IFERROR(D531,0))</f>
        <v/>
      </c>
      <c r="F531">
        <f>IF(E531="","",IFERROR(F530,0)+(-E531))</f>
        <v/>
      </c>
      <c r="G531" s="9">
        <f>IF(F531="","",F531/Cfg_FatConstant)</f>
        <v/>
      </c>
      <c r="H531" s="8">
        <f>IF(G531="","",Cfg_StartWeight-G531)</f>
        <v/>
      </c>
      <c r="I531" s="8">
        <f>IF(B531="","",Cfg_StartWeight-B531)</f>
        <v/>
      </c>
      <c r="J531" s="10">
        <f>IF(OR(B531="",G531=""),"",I531-G531)</f>
        <v/>
      </c>
      <c r="K531" s="9">
        <f>IF(B531="","",IFERROR(AVERAGEIFS($B$2:$B$1001,$A$2:$A$1001,"&gt;="&amp;A531-6,$A$2:$A$1001,"&lt;="&amp;A531),""))</f>
        <v/>
      </c>
    </row>
    <row r="532">
      <c r="A532" s="7" t="n"/>
      <c r="B532" s="8" t="n"/>
      <c r="E532">
        <f>IF(C532="","",C532-Cfg_TDEE-IFERROR(D532,0))</f>
        <v/>
      </c>
      <c r="F532">
        <f>IF(E532="","",IFERROR(F531,0)+(-E532))</f>
        <v/>
      </c>
      <c r="G532" s="9">
        <f>IF(F532="","",F532/Cfg_FatConstant)</f>
        <v/>
      </c>
      <c r="H532" s="8">
        <f>IF(G532="","",Cfg_StartWeight-G532)</f>
        <v/>
      </c>
      <c r="I532" s="8">
        <f>IF(B532="","",Cfg_StartWeight-B532)</f>
        <v/>
      </c>
      <c r="J532" s="10">
        <f>IF(OR(B532="",G532=""),"",I532-G532)</f>
        <v/>
      </c>
      <c r="K532" s="9">
        <f>IF(B532="","",IFERROR(AVERAGEIFS($B$2:$B$1001,$A$2:$A$1001,"&gt;="&amp;A532-6,$A$2:$A$1001,"&lt;="&amp;A532),""))</f>
        <v/>
      </c>
    </row>
    <row r="533">
      <c r="A533" s="7" t="n"/>
      <c r="B533" s="8" t="n"/>
      <c r="E533">
        <f>IF(C533="","",C533-Cfg_TDEE-IFERROR(D533,0))</f>
        <v/>
      </c>
      <c r="F533">
        <f>IF(E533="","",IFERROR(F532,0)+(-E533))</f>
        <v/>
      </c>
      <c r="G533" s="9">
        <f>IF(F533="","",F533/Cfg_FatConstant)</f>
        <v/>
      </c>
      <c r="H533" s="8">
        <f>IF(G533="","",Cfg_StartWeight-G533)</f>
        <v/>
      </c>
      <c r="I533" s="8">
        <f>IF(B533="","",Cfg_StartWeight-B533)</f>
        <v/>
      </c>
      <c r="J533" s="10">
        <f>IF(OR(B533="",G533=""),"",I533-G533)</f>
        <v/>
      </c>
      <c r="K533" s="9">
        <f>IF(B533="","",IFERROR(AVERAGEIFS($B$2:$B$1001,$A$2:$A$1001,"&gt;="&amp;A533-6,$A$2:$A$1001,"&lt;="&amp;A533),""))</f>
        <v/>
      </c>
    </row>
    <row r="534">
      <c r="A534" s="7" t="n"/>
      <c r="B534" s="8" t="n"/>
      <c r="E534">
        <f>IF(C534="","",C534-Cfg_TDEE-IFERROR(D534,0))</f>
        <v/>
      </c>
      <c r="F534">
        <f>IF(E534="","",IFERROR(F533,0)+(-E534))</f>
        <v/>
      </c>
      <c r="G534" s="9">
        <f>IF(F534="","",F534/Cfg_FatConstant)</f>
        <v/>
      </c>
      <c r="H534" s="8">
        <f>IF(G534="","",Cfg_StartWeight-G534)</f>
        <v/>
      </c>
      <c r="I534" s="8">
        <f>IF(B534="","",Cfg_StartWeight-B534)</f>
        <v/>
      </c>
      <c r="J534" s="10">
        <f>IF(OR(B534="",G534=""),"",I534-G534)</f>
        <v/>
      </c>
      <c r="K534" s="9">
        <f>IF(B534="","",IFERROR(AVERAGEIFS($B$2:$B$1001,$A$2:$A$1001,"&gt;="&amp;A534-6,$A$2:$A$1001,"&lt;="&amp;A534),""))</f>
        <v/>
      </c>
    </row>
    <row r="535">
      <c r="A535" s="7" t="n"/>
      <c r="B535" s="8" t="n"/>
      <c r="E535">
        <f>IF(C535="","",C535-Cfg_TDEE-IFERROR(D535,0))</f>
        <v/>
      </c>
      <c r="F535">
        <f>IF(E535="","",IFERROR(F534,0)+(-E535))</f>
        <v/>
      </c>
      <c r="G535" s="9">
        <f>IF(F535="","",F535/Cfg_FatConstant)</f>
        <v/>
      </c>
      <c r="H535" s="8">
        <f>IF(G535="","",Cfg_StartWeight-G535)</f>
        <v/>
      </c>
      <c r="I535" s="8">
        <f>IF(B535="","",Cfg_StartWeight-B535)</f>
        <v/>
      </c>
      <c r="J535" s="10">
        <f>IF(OR(B535="",G535=""),"",I535-G535)</f>
        <v/>
      </c>
      <c r="K535" s="9">
        <f>IF(B535="","",IFERROR(AVERAGEIFS($B$2:$B$1001,$A$2:$A$1001,"&gt;="&amp;A535-6,$A$2:$A$1001,"&lt;="&amp;A535),""))</f>
        <v/>
      </c>
    </row>
    <row r="536">
      <c r="A536" s="7" t="n"/>
      <c r="B536" s="8" t="n"/>
      <c r="E536">
        <f>IF(C536="","",C536-Cfg_TDEE-IFERROR(D536,0))</f>
        <v/>
      </c>
      <c r="F536">
        <f>IF(E536="","",IFERROR(F535,0)+(-E536))</f>
        <v/>
      </c>
      <c r="G536" s="9">
        <f>IF(F536="","",F536/Cfg_FatConstant)</f>
        <v/>
      </c>
      <c r="H536" s="8">
        <f>IF(G536="","",Cfg_StartWeight-G536)</f>
        <v/>
      </c>
      <c r="I536" s="8">
        <f>IF(B536="","",Cfg_StartWeight-B536)</f>
        <v/>
      </c>
      <c r="J536" s="10">
        <f>IF(OR(B536="",G536=""),"",I536-G536)</f>
        <v/>
      </c>
      <c r="K536" s="9">
        <f>IF(B536="","",IFERROR(AVERAGEIFS($B$2:$B$1001,$A$2:$A$1001,"&gt;="&amp;A536-6,$A$2:$A$1001,"&lt;="&amp;A536),""))</f>
        <v/>
      </c>
    </row>
    <row r="537">
      <c r="A537" s="7" t="n"/>
      <c r="B537" s="8" t="n"/>
      <c r="E537">
        <f>IF(C537="","",C537-Cfg_TDEE-IFERROR(D537,0))</f>
        <v/>
      </c>
      <c r="F537">
        <f>IF(E537="","",IFERROR(F536,0)+(-E537))</f>
        <v/>
      </c>
      <c r="G537" s="9">
        <f>IF(F537="","",F537/Cfg_FatConstant)</f>
        <v/>
      </c>
      <c r="H537" s="8">
        <f>IF(G537="","",Cfg_StartWeight-G537)</f>
        <v/>
      </c>
      <c r="I537" s="8">
        <f>IF(B537="","",Cfg_StartWeight-B537)</f>
        <v/>
      </c>
      <c r="J537" s="10">
        <f>IF(OR(B537="",G537=""),"",I537-G537)</f>
        <v/>
      </c>
      <c r="K537" s="9">
        <f>IF(B537="","",IFERROR(AVERAGEIFS($B$2:$B$1001,$A$2:$A$1001,"&gt;="&amp;A537-6,$A$2:$A$1001,"&lt;="&amp;A537),""))</f>
        <v/>
      </c>
    </row>
    <row r="538">
      <c r="A538" s="7" t="n"/>
      <c r="B538" s="8" t="n"/>
      <c r="E538">
        <f>IF(C538="","",C538-Cfg_TDEE-IFERROR(D538,0))</f>
        <v/>
      </c>
      <c r="F538">
        <f>IF(E538="","",IFERROR(F537,0)+(-E538))</f>
        <v/>
      </c>
      <c r="G538" s="9">
        <f>IF(F538="","",F538/Cfg_FatConstant)</f>
        <v/>
      </c>
      <c r="H538" s="8">
        <f>IF(G538="","",Cfg_StartWeight-G538)</f>
        <v/>
      </c>
      <c r="I538" s="8">
        <f>IF(B538="","",Cfg_StartWeight-B538)</f>
        <v/>
      </c>
      <c r="J538" s="10">
        <f>IF(OR(B538="",G538=""),"",I538-G538)</f>
        <v/>
      </c>
      <c r="K538" s="9">
        <f>IF(B538="","",IFERROR(AVERAGEIFS($B$2:$B$1001,$A$2:$A$1001,"&gt;="&amp;A538-6,$A$2:$A$1001,"&lt;="&amp;A538),""))</f>
        <v/>
      </c>
    </row>
    <row r="539">
      <c r="A539" s="7" t="n"/>
      <c r="B539" s="8" t="n"/>
      <c r="E539">
        <f>IF(C539="","",C539-Cfg_TDEE-IFERROR(D539,0))</f>
        <v/>
      </c>
      <c r="F539">
        <f>IF(E539="","",IFERROR(F538,0)+(-E539))</f>
        <v/>
      </c>
      <c r="G539" s="9">
        <f>IF(F539="","",F539/Cfg_FatConstant)</f>
        <v/>
      </c>
      <c r="H539" s="8">
        <f>IF(G539="","",Cfg_StartWeight-G539)</f>
        <v/>
      </c>
      <c r="I539" s="8">
        <f>IF(B539="","",Cfg_StartWeight-B539)</f>
        <v/>
      </c>
      <c r="J539" s="10">
        <f>IF(OR(B539="",G539=""),"",I539-G539)</f>
        <v/>
      </c>
      <c r="K539" s="9">
        <f>IF(B539="","",IFERROR(AVERAGEIFS($B$2:$B$1001,$A$2:$A$1001,"&gt;="&amp;A539-6,$A$2:$A$1001,"&lt;="&amp;A539),""))</f>
        <v/>
      </c>
    </row>
    <row r="540">
      <c r="A540" s="7" t="n"/>
      <c r="B540" s="8" t="n"/>
      <c r="E540">
        <f>IF(C540="","",C540-Cfg_TDEE-IFERROR(D540,0))</f>
        <v/>
      </c>
      <c r="F540">
        <f>IF(E540="","",IFERROR(F539,0)+(-E540))</f>
        <v/>
      </c>
      <c r="G540" s="9">
        <f>IF(F540="","",F540/Cfg_FatConstant)</f>
        <v/>
      </c>
      <c r="H540" s="8">
        <f>IF(G540="","",Cfg_StartWeight-G540)</f>
        <v/>
      </c>
      <c r="I540" s="8">
        <f>IF(B540="","",Cfg_StartWeight-B540)</f>
        <v/>
      </c>
      <c r="J540" s="10">
        <f>IF(OR(B540="",G540=""),"",I540-G540)</f>
        <v/>
      </c>
      <c r="K540" s="9">
        <f>IF(B540="","",IFERROR(AVERAGEIFS($B$2:$B$1001,$A$2:$A$1001,"&gt;="&amp;A540-6,$A$2:$A$1001,"&lt;="&amp;A540),""))</f>
        <v/>
      </c>
    </row>
    <row r="541">
      <c r="A541" s="7" t="n"/>
      <c r="B541" s="8" t="n"/>
      <c r="E541">
        <f>IF(C541="","",C541-Cfg_TDEE-IFERROR(D541,0))</f>
        <v/>
      </c>
      <c r="F541">
        <f>IF(E541="","",IFERROR(F540,0)+(-E541))</f>
        <v/>
      </c>
      <c r="G541" s="9">
        <f>IF(F541="","",F541/Cfg_FatConstant)</f>
        <v/>
      </c>
      <c r="H541" s="8">
        <f>IF(G541="","",Cfg_StartWeight-G541)</f>
        <v/>
      </c>
      <c r="I541" s="8">
        <f>IF(B541="","",Cfg_StartWeight-B541)</f>
        <v/>
      </c>
      <c r="J541" s="10">
        <f>IF(OR(B541="",G541=""),"",I541-G541)</f>
        <v/>
      </c>
      <c r="K541" s="9">
        <f>IF(B541="","",IFERROR(AVERAGEIFS($B$2:$B$1001,$A$2:$A$1001,"&gt;="&amp;A541-6,$A$2:$A$1001,"&lt;="&amp;A541),""))</f>
        <v/>
      </c>
    </row>
    <row r="542">
      <c r="A542" s="7" t="n"/>
      <c r="B542" s="8" t="n"/>
      <c r="E542">
        <f>IF(C542="","",C542-Cfg_TDEE-IFERROR(D542,0))</f>
        <v/>
      </c>
      <c r="F542">
        <f>IF(E542="","",IFERROR(F541,0)+(-E542))</f>
        <v/>
      </c>
      <c r="G542" s="9">
        <f>IF(F542="","",F542/Cfg_FatConstant)</f>
        <v/>
      </c>
      <c r="H542" s="8">
        <f>IF(G542="","",Cfg_StartWeight-G542)</f>
        <v/>
      </c>
      <c r="I542" s="8">
        <f>IF(B542="","",Cfg_StartWeight-B542)</f>
        <v/>
      </c>
      <c r="J542" s="10">
        <f>IF(OR(B542="",G542=""),"",I542-G542)</f>
        <v/>
      </c>
      <c r="K542" s="9">
        <f>IF(B542="","",IFERROR(AVERAGEIFS($B$2:$B$1001,$A$2:$A$1001,"&gt;="&amp;A542-6,$A$2:$A$1001,"&lt;="&amp;A542),""))</f>
        <v/>
      </c>
    </row>
    <row r="543">
      <c r="A543" s="7" t="n"/>
      <c r="B543" s="8" t="n"/>
      <c r="E543">
        <f>IF(C543="","",C543-Cfg_TDEE-IFERROR(D543,0))</f>
        <v/>
      </c>
      <c r="F543">
        <f>IF(E543="","",IFERROR(F542,0)+(-E543))</f>
        <v/>
      </c>
      <c r="G543" s="9">
        <f>IF(F543="","",F543/Cfg_FatConstant)</f>
        <v/>
      </c>
      <c r="H543" s="8">
        <f>IF(G543="","",Cfg_StartWeight-G543)</f>
        <v/>
      </c>
      <c r="I543" s="8">
        <f>IF(B543="","",Cfg_StartWeight-B543)</f>
        <v/>
      </c>
      <c r="J543" s="10">
        <f>IF(OR(B543="",G543=""),"",I543-G543)</f>
        <v/>
      </c>
      <c r="K543" s="9">
        <f>IF(B543="","",IFERROR(AVERAGEIFS($B$2:$B$1001,$A$2:$A$1001,"&gt;="&amp;A543-6,$A$2:$A$1001,"&lt;="&amp;A543),""))</f>
        <v/>
      </c>
    </row>
    <row r="544">
      <c r="A544" s="7" t="n"/>
      <c r="B544" s="8" t="n"/>
      <c r="E544">
        <f>IF(C544="","",C544-Cfg_TDEE-IFERROR(D544,0))</f>
        <v/>
      </c>
      <c r="F544">
        <f>IF(E544="","",IFERROR(F543,0)+(-E544))</f>
        <v/>
      </c>
      <c r="G544" s="9">
        <f>IF(F544="","",F544/Cfg_FatConstant)</f>
        <v/>
      </c>
      <c r="H544" s="8">
        <f>IF(G544="","",Cfg_StartWeight-G544)</f>
        <v/>
      </c>
      <c r="I544" s="8">
        <f>IF(B544="","",Cfg_StartWeight-B544)</f>
        <v/>
      </c>
      <c r="J544" s="10">
        <f>IF(OR(B544="",G544=""),"",I544-G544)</f>
        <v/>
      </c>
      <c r="K544" s="9">
        <f>IF(B544="","",IFERROR(AVERAGEIFS($B$2:$B$1001,$A$2:$A$1001,"&gt;="&amp;A544-6,$A$2:$A$1001,"&lt;="&amp;A544),""))</f>
        <v/>
      </c>
    </row>
    <row r="545">
      <c r="A545" s="7" t="n"/>
      <c r="B545" s="8" t="n"/>
      <c r="E545">
        <f>IF(C545="","",C545-Cfg_TDEE-IFERROR(D545,0))</f>
        <v/>
      </c>
      <c r="F545">
        <f>IF(E545="","",IFERROR(F544,0)+(-E545))</f>
        <v/>
      </c>
      <c r="G545" s="9">
        <f>IF(F545="","",F545/Cfg_FatConstant)</f>
        <v/>
      </c>
      <c r="H545" s="8">
        <f>IF(G545="","",Cfg_StartWeight-G545)</f>
        <v/>
      </c>
      <c r="I545" s="8">
        <f>IF(B545="","",Cfg_StartWeight-B545)</f>
        <v/>
      </c>
      <c r="J545" s="10">
        <f>IF(OR(B545="",G545=""),"",I545-G545)</f>
        <v/>
      </c>
      <c r="K545" s="9">
        <f>IF(B545="","",IFERROR(AVERAGEIFS($B$2:$B$1001,$A$2:$A$1001,"&gt;="&amp;A545-6,$A$2:$A$1001,"&lt;="&amp;A545),""))</f>
        <v/>
      </c>
    </row>
    <row r="546">
      <c r="A546" s="7" t="n"/>
      <c r="B546" s="8" t="n"/>
      <c r="E546">
        <f>IF(C546="","",C546-Cfg_TDEE-IFERROR(D546,0))</f>
        <v/>
      </c>
      <c r="F546">
        <f>IF(E546="","",IFERROR(F545,0)+(-E546))</f>
        <v/>
      </c>
      <c r="G546" s="9">
        <f>IF(F546="","",F546/Cfg_FatConstant)</f>
        <v/>
      </c>
      <c r="H546" s="8">
        <f>IF(G546="","",Cfg_StartWeight-G546)</f>
        <v/>
      </c>
      <c r="I546" s="8">
        <f>IF(B546="","",Cfg_StartWeight-B546)</f>
        <v/>
      </c>
      <c r="J546" s="10">
        <f>IF(OR(B546="",G546=""),"",I546-G546)</f>
        <v/>
      </c>
      <c r="K546" s="9">
        <f>IF(B546="","",IFERROR(AVERAGEIFS($B$2:$B$1001,$A$2:$A$1001,"&gt;="&amp;A546-6,$A$2:$A$1001,"&lt;="&amp;A546),""))</f>
        <v/>
      </c>
    </row>
    <row r="547">
      <c r="A547" s="7" t="n"/>
      <c r="B547" s="8" t="n"/>
      <c r="E547">
        <f>IF(C547="","",C547-Cfg_TDEE-IFERROR(D547,0))</f>
        <v/>
      </c>
      <c r="F547">
        <f>IF(E547="","",IFERROR(F546,0)+(-E547))</f>
        <v/>
      </c>
      <c r="G547" s="9">
        <f>IF(F547="","",F547/Cfg_FatConstant)</f>
        <v/>
      </c>
      <c r="H547" s="8">
        <f>IF(G547="","",Cfg_StartWeight-G547)</f>
        <v/>
      </c>
      <c r="I547" s="8">
        <f>IF(B547="","",Cfg_StartWeight-B547)</f>
        <v/>
      </c>
      <c r="J547" s="10">
        <f>IF(OR(B547="",G547=""),"",I547-G547)</f>
        <v/>
      </c>
      <c r="K547" s="9">
        <f>IF(B547="","",IFERROR(AVERAGEIFS($B$2:$B$1001,$A$2:$A$1001,"&gt;="&amp;A547-6,$A$2:$A$1001,"&lt;="&amp;A547),""))</f>
        <v/>
      </c>
    </row>
    <row r="548">
      <c r="A548" s="7" t="n"/>
      <c r="B548" s="8" t="n"/>
      <c r="E548">
        <f>IF(C548="","",C548-Cfg_TDEE-IFERROR(D548,0))</f>
        <v/>
      </c>
      <c r="F548">
        <f>IF(E548="","",IFERROR(F547,0)+(-E548))</f>
        <v/>
      </c>
      <c r="G548" s="9">
        <f>IF(F548="","",F548/Cfg_FatConstant)</f>
        <v/>
      </c>
      <c r="H548" s="8">
        <f>IF(G548="","",Cfg_StartWeight-G548)</f>
        <v/>
      </c>
      <c r="I548" s="8">
        <f>IF(B548="","",Cfg_StartWeight-B548)</f>
        <v/>
      </c>
      <c r="J548" s="10">
        <f>IF(OR(B548="",G548=""),"",I548-G548)</f>
        <v/>
      </c>
      <c r="K548" s="9">
        <f>IF(B548="","",IFERROR(AVERAGEIFS($B$2:$B$1001,$A$2:$A$1001,"&gt;="&amp;A548-6,$A$2:$A$1001,"&lt;="&amp;A548),""))</f>
        <v/>
      </c>
    </row>
    <row r="549">
      <c r="A549" s="7" t="n"/>
      <c r="B549" s="8" t="n"/>
      <c r="E549">
        <f>IF(C549="","",C549-Cfg_TDEE-IFERROR(D549,0))</f>
        <v/>
      </c>
      <c r="F549">
        <f>IF(E549="","",IFERROR(F548,0)+(-E549))</f>
        <v/>
      </c>
      <c r="G549" s="9">
        <f>IF(F549="","",F549/Cfg_FatConstant)</f>
        <v/>
      </c>
      <c r="H549" s="8">
        <f>IF(G549="","",Cfg_StartWeight-G549)</f>
        <v/>
      </c>
      <c r="I549" s="8">
        <f>IF(B549="","",Cfg_StartWeight-B549)</f>
        <v/>
      </c>
      <c r="J549" s="10">
        <f>IF(OR(B549="",G549=""),"",I549-G549)</f>
        <v/>
      </c>
      <c r="K549" s="9">
        <f>IF(B549="","",IFERROR(AVERAGEIFS($B$2:$B$1001,$A$2:$A$1001,"&gt;="&amp;A549-6,$A$2:$A$1001,"&lt;="&amp;A549),""))</f>
        <v/>
      </c>
    </row>
    <row r="550">
      <c r="A550" s="7" t="n"/>
      <c r="B550" s="8" t="n"/>
      <c r="E550">
        <f>IF(C550="","",C550-Cfg_TDEE-IFERROR(D550,0))</f>
        <v/>
      </c>
      <c r="F550">
        <f>IF(E550="","",IFERROR(F549,0)+(-E550))</f>
        <v/>
      </c>
      <c r="G550" s="9">
        <f>IF(F550="","",F550/Cfg_FatConstant)</f>
        <v/>
      </c>
      <c r="H550" s="8">
        <f>IF(G550="","",Cfg_StartWeight-G550)</f>
        <v/>
      </c>
      <c r="I550" s="8">
        <f>IF(B550="","",Cfg_StartWeight-B550)</f>
        <v/>
      </c>
      <c r="J550" s="10">
        <f>IF(OR(B550="",G550=""),"",I550-G550)</f>
        <v/>
      </c>
      <c r="K550" s="9">
        <f>IF(B550="","",IFERROR(AVERAGEIFS($B$2:$B$1001,$A$2:$A$1001,"&gt;="&amp;A550-6,$A$2:$A$1001,"&lt;="&amp;A550),""))</f>
        <v/>
      </c>
    </row>
    <row r="551">
      <c r="A551" s="7" t="n"/>
      <c r="B551" s="8" t="n"/>
      <c r="E551">
        <f>IF(C551="","",C551-Cfg_TDEE-IFERROR(D551,0))</f>
        <v/>
      </c>
      <c r="F551">
        <f>IF(E551="","",IFERROR(F550,0)+(-E551))</f>
        <v/>
      </c>
      <c r="G551" s="9">
        <f>IF(F551="","",F551/Cfg_FatConstant)</f>
        <v/>
      </c>
      <c r="H551" s="8">
        <f>IF(G551="","",Cfg_StartWeight-G551)</f>
        <v/>
      </c>
      <c r="I551" s="8">
        <f>IF(B551="","",Cfg_StartWeight-B551)</f>
        <v/>
      </c>
      <c r="J551" s="10">
        <f>IF(OR(B551="",G551=""),"",I551-G551)</f>
        <v/>
      </c>
      <c r="K551" s="9">
        <f>IF(B551="","",IFERROR(AVERAGEIFS($B$2:$B$1001,$A$2:$A$1001,"&gt;="&amp;A551-6,$A$2:$A$1001,"&lt;="&amp;A551),""))</f>
        <v/>
      </c>
    </row>
    <row r="552">
      <c r="A552" s="7" t="n"/>
      <c r="B552" s="8" t="n"/>
      <c r="E552">
        <f>IF(C552="","",C552-Cfg_TDEE-IFERROR(D552,0))</f>
        <v/>
      </c>
      <c r="F552">
        <f>IF(E552="","",IFERROR(F551,0)+(-E552))</f>
        <v/>
      </c>
      <c r="G552" s="9">
        <f>IF(F552="","",F552/Cfg_FatConstant)</f>
        <v/>
      </c>
      <c r="H552" s="8">
        <f>IF(G552="","",Cfg_StartWeight-G552)</f>
        <v/>
      </c>
      <c r="I552" s="8">
        <f>IF(B552="","",Cfg_StartWeight-B552)</f>
        <v/>
      </c>
      <c r="J552" s="10">
        <f>IF(OR(B552="",G552=""),"",I552-G552)</f>
        <v/>
      </c>
      <c r="K552" s="9">
        <f>IF(B552="","",IFERROR(AVERAGEIFS($B$2:$B$1001,$A$2:$A$1001,"&gt;="&amp;A552-6,$A$2:$A$1001,"&lt;="&amp;A552),""))</f>
        <v/>
      </c>
    </row>
    <row r="553">
      <c r="A553" s="7" t="n"/>
      <c r="B553" s="8" t="n"/>
      <c r="E553">
        <f>IF(C553="","",C553-Cfg_TDEE-IFERROR(D553,0))</f>
        <v/>
      </c>
      <c r="F553">
        <f>IF(E553="","",IFERROR(F552,0)+(-E553))</f>
        <v/>
      </c>
      <c r="G553" s="9">
        <f>IF(F553="","",F553/Cfg_FatConstant)</f>
        <v/>
      </c>
      <c r="H553" s="8">
        <f>IF(G553="","",Cfg_StartWeight-G553)</f>
        <v/>
      </c>
      <c r="I553" s="8">
        <f>IF(B553="","",Cfg_StartWeight-B553)</f>
        <v/>
      </c>
      <c r="J553" s="10">
        <f>IF(OR(B553="",G553=""),"",I553-G553)</f>
        <v/>
      </c>
      <c r="K553" s="9">
        <f>IF(B553="","",IFERROR(AVERAGEIFS($B$2:$B$1001,$A$2:$A$1001,"&gt;="&amp;A553-6,$A$2:$A$1001,"&lt;="&amp;A553),""))</f>
        <v/>
      </c>
    </row>
    <row r="554">
      <c r="A554" s="7" t="n"/>
      <c r="B554" s="8" t="n"/>
      <c r="E554">
        <f>IF(C554="","",C554-Cfg_TDEE-IFERROR(D554,0))</f>
        <v/>
      </c>
      <c r="F554">
        <f>IF(E554="","",IFERROR(F553,0)+(-E554))</f>
        <v/>
      </c>
      <c r="G554" s="9">
        <f>IF(F554="","",F554/Cfg_FatConstant)</f>
        <v/>
      </c>
      <c r="H554" s="8">
        <f>IF(G554="","",Cfg_StartWeight-G554)</f>
        <v/>
      </c>
      <c r="I554" s="8">
        <f>IF(B554="","",Cfg_StartWeight-B554)</f>
        <v/>
      </c>
      <c r="J554" s="10">
        <f>IF(OR(B554="",G554=""),"",I554-G554)</f>
        <v/>
      </c>
      <c r="K554" s="9">
        <f>IF(B554="","",IFERROR(AVERAGEIFS($B$2:$B$1001,$A$2:$A$1001,"&gt;="&amp;A554-6,$A$2:$A$1001,"&lt;="&amp;A554),""))</f>
        <v/>
      </c>
    </row>
    <row r="555">
      <c r="A555" s="7" t="n"/>
      <c r="B555" s="8" t="n"/>
      <c r="E555">
        <f>IF(C555="","",C555-Cfg_TDEE-IFERROR(D555,0))</f>
        <v/>
      </c>
      <c r="F555">
        <f>IF(E555="","",IFERROR(F554,0)+(-E555))</f>
        <v/>
      </c>
      <c r="G555" s="9">
        <f>IF(F555="","",F555/Cfg_FatConstant)</f>
        <v/>
      </c>
      <c r="H555" s="8">
        <f>IF(G555="","",Cfg_StartWeight-G555)</f>
        <v/>
      </c>
      <c r="I555" s="8">
        <f>IF(B555="","",Cfg_StartWeight-B555)</f>
        <v/>
      </c>
      <c r="J555" s="10">
        <f>IF(OR(B555="",G555=""),"",I555-G555)</f>
        <v/>
      </c>
      <c r="K555" s="9">
        <f>IF(B555="","",IFERROR(AVERAGEIFS($B$2:$B$1001,$A$2:$A$1001,"&gt;="&amp;A555-6,$A$2:$A$1001,"&lt;="&amp;A555),""))</f>
        <v/>
      </c>
    </row>
    <row r="556">
      <c r="A556" s="7" t="n"/>
      <c r="B556" s="8" t="n"/>
      <c r="E556">
        <f>IF(C556="","",C556-Cfg_TDEE-IFERROR(D556,0))</f>
        <v/>
      </c>
      <c r="F556">
        <f>IF(E556="","",IFERROR(F555,0)+(-E556))</f>
        <v/>
      </c>
      <c r="G556" s="9">
        <f>IF(F556="","",F556/Cfg_FatConstant)</f>
        <v/>
      </c>
      <c r="H556" s="8">
        <f>IF(G556="","",Cfg_StartWeight-G556)</f>
        <v/>
      </c>
      <c r="I556" s="8">
        <f>IF(B556="","",Cfg_StartWeight-B556)</f>
        <v/>
      </c>
      <c r="J556" s="10">
        <f>IF(OR(B556="",G556=""),"",I556-G556)</f>
        <v/>
      </c>
      <c r="K556" s="9">
        <f>IF(B556="","",IFERROR(AVERAGEIFS($B$2:$B$1001,$A$2:$A$1001,"&gt;="&amp;A556-6,$A$2:$A$1001,"&lt;="&amp;A556),""))</f>
        <v/>
      </c>
    </row>
    <row r="557">
      <c r="A557" s="7" t="n"/>
      <c r="B557" s="8" t="n"/>
      <c r="E557">
        <f>IF(C557="","",C557-Cfg_TDEE-IFERROR(D557,0))</f>
        <v/>
      </c>
      <c r="F557">
        <f>IF(E557="","",IFERROR(F556,0)+(-E557))</f>
        <v/>
      </c>
      <c r="G557" s="9">
        <f>IF(F557="","",F557/Cfg_FatConstant)</f>
        <v/>
      </c>
      <c r="H557" s="8">
        <f>IF(G557="","",Cfg_StartWeight-G557)</f>
        <v/>
      </c>
      <c r="I557" s="8">
        <f>IF(B557="","",Cfg_StartWeight-B557)</f>
        <v/>
      </c>
      <c r="J557" s="10">
        <f>IF(OR(B557="",G557=""),"",I557-G557)</f>
        <v/>
      </c>
      <c r="K557" s="9">
        <f>IF(B557="","",IFERROR(AVERAGEIFS($B$2:$B$1001,$A$2:$A$1001,"&gt;="&amp;A557-6,$A$2:$A$1001,"&lt;="&amp;A557),""))</f>
        <v/>
      </c>
    </row>
    <row r="558">
      <c r="A558" s="7" t="n"/>
      <c r="B558" s="8" t="n"/>
      <c r="E558">
        <f>IF(C558="","",C558-Cfg_TDEE-IFERROR(D558,0))</f>
        <v/>
      </c>
      <c r="F558">
        <f>IF(E558="","",IFERROR(F557,0)+(-E558))</f>
        <v/>
      </c>
      <c r="G558" s="9">
        <f>IF(F558="","",F558/Cfg_FatConstant)</f>
        <v/>
      </c>
      <c r="H558" s="8">
        <f>IF(G558="","",Cfg_StartWeight-G558)</f>
        <v/>
      </c>
      <c r="I558" s="8">
        <f>IF(B558="","",Cfg_StartWeight-B558)</f>
        <v/>
      </c>
      <c r="J558" s="10">
        <f>IF(OR(B558="",G558=""),"",I558-G558)</f>
        <v/>
      </c>
      <c r="K558" s="9">
        <f>IF(B558="","",IFERROR(AVERAGEIFS($B$2:$B$1001,$A$2:$A$1001,"&gt;="&amp;A558-6,$A$2:$A$1001,"&lt;="&amp;A558),""))</f>
        <v/>
      </c>
    </row>
    <row r="559">
      <c r="A559" s="7" t="n"/>
      <c r="B559" s="8" t="n"/>
      <c r="E559">
        <f>IF(C559="","",C559-Cfg_TDEE-IFERROR(D559,0))</f>
        <v/>
      </c>
      <c r="F559">
        <f>IF(E559="","",IFERROR(F558,0)+(-E559))</f>
        <v/>
      </c>
      <c r="G559" s="9">
        <f>IF(F559="","",F559/Cfg_FatConstant)</f>
        <v/>
      </c>
      <c r="H559" s="8">
        <f>IF(G559="","",Cfg_StartWeight-G559)</f>
        <v/>
      </c>
      <c r="I559" s="8">
        <f>IF(B559="","",Cfg_StartWeight-B559)</f>
        <v/>
      </c>
      <c r="J559" s="10">
        <f>IF(OR(B559="",G559=""),"",I559-G559)</f>
        <v/>
      </c>
      <c r="K559" s="9">
        <f>IF(B559="","",IFERROR(AVERAGEIFS($B$2:$B$1001,$A$2:$A$1001,"&gt;="&amp;A559-6,$A$2:$A$1001,"&lt;="&amp;A559),""))</f>
        <v/>
      </c>
    </row>
    <row r="560">
      <c r="A560" s="7" t="n"/>
      <c r="B560" s="8" t="n"/>
      <c r="E560">
        <f>IF(C560="","",C560-Cfg_TDEE-IFERROR(D560,0))</f>
        <v/>
      </c>
      <c r="F560">
        <f>IF(E560="","",IFERROR(F559,0)+(-E560))</f>
        <v/>
      </c>
      <c r="G560" s="9">
        <f>IF(F560="","",F560/Cfg_FatConstant)</f>
        <v/>
      </c>
      <c r="H560" s="8">
        <f>IF(G560="","",Cfg_StartWeight-G560)</f>
        <v/>
      </c>
      <c r="I560" s="8">
        <f>IF(B560="","",Cfg_StartWeight-B560)</f>
        <v/>
      </c>
      <c r="J560" s="10">
        <f>IF(OR(B560="",G560=""),"",I560-G560)</f>
        <v/>
      </c>
      <c r="K560" s="9">
        <f>IF(B560="","",IFERROR(AVERAGEIFS($B$2:$B$1001,$A$2:$A$1001,"&gt;="&amp;A560-6,$A$2:$A$1001,"&lt;="&amp;A560),""))</f>
        <v/>
      </c>
    </row>
    <row r="561">
      <c r="A561" s="7" t="n"/>
      <c r="B561" s="8" t="n"/>
      <c r="E561">
        <f>IF(C561="","",C561-Cfg_TDEE-IFERROR(D561,0))</f>
        <v/>
      </c>
      <c r="F561">
        <f>IF(E561="","",IFERROR(F560,0)+(-E561))</f>
        <v/>
      </c>
      <c r="G561" s="9">
        <f>IF(F561="","",F561/Cfg_FatConstant)</f>
        <v/>
      </c>
      <c r="H561" s="8">
        <f>IF(G561="","",Cfg_StartWeight-G561)</f>
        <v/>
      </c>
      <c r="I561" s="8">
        <f>IF(B561="","",Cfg_StartWeight-B561)</f>
        <v/>
      </c>
      <c r="J561" s="10">
        <f>IF(OR(B561="",G561=""),"",I561-G561)</f>
        <v/>
      </c>
      <c r="K561" s="9">
        <f>IF(B561="","",IFERROR(AVERAGEIFS($B$2:$B$1001,$A$2:$A$1001,"&gt;="&amp;A561-6,$A$2:$A$1001,"&lt;="&amp;A561),""))</f>
        <v/>
      </c>
    </row>
    <row r="562">
      <c r="A562" s="7" t="n"/>
      <c r="B562" s="8" t="n"/>
      <c r="E562">
        <f>IF(C562="","",C562-Cfg_TDEE-IFERROR(D562,0))</f>
        <v/>
      </c>
      <c r="F562">
        <f>IF(E562="","",IFERROR(F561,0)+(-E562))</f>
        <v/>
      </c>
      <c r="G562" s="9">
        <f>IF(F562="","",F562/Cfg_FatConstant)</f>
        <v/>
      </c>
      <c r="H562" s="8">
        <f>IF(G562="","",Cfg_StartWeight-G562)</f>
        <v/>
      </c>
      <c r="I562" s="8">
        <f>IF(B562="","",Cfg_StartWeight-B562)</f>
        <v/>
      </c>
      <c r="J562" s="10">
        <f>IF(OR(B562="",G562=""),"",I562-G562)</f>
        <v/>
      </c>
      <c r="K562" s="9">
        <f>IF(B562="","",IFERROR(AVERAGEIFS($B$2:$B$1001,$A$2:$A$1001,"&gt;="&amp;A562-6,$A$2:$A$1001,"&lt;="&amp;A562),""))</f>
        <v/>
      </c>
    </row>
    <row r="563">
      <c r="A563" s="7" t="n"/>
      <c r="B563" s="8" t="n"/>
      <c r="E563">
        <f>IF(C563="","",C563-Cfg_TDEE-IFERROR(D563,0))</f>
        <v/>
      </c>
      <c r="F563">
        <f>IF(E563="","",IFERROR(F562,0)+(-E563))</f>
        <v/>
      </c>
      <c r="G563" s="9">
        <f>IF(F563="","",F563/Cfg_FatConstant)</f>
        <v/>
      </c>
      <c r="H563" s="8">
        <f>IF(G563="","",Cfg_StartWeight-G563)</f>
        <v/>
      </c>
      <c r="I563" s="8">
        <f>IF(B563="","",Cfg_StartWeight-B563)</f>
        <v/>
      </c>
      <c r="J563" s="10">
        <f>IF(OR(B563="",G563=""),"",I563-G563)</f>
        <v/>
      </c>
      <c r="K563" s="9">
        <f>IF(B563="","",IFERROR(AVERAGEIFS($B$2:$B$1001,$A$2:$A$1001,"&gt;="&amp;A563-6,$A$2:$A$1001,"&lt;="&amp;A563),""))</f>
        <v/>
      </c>
    </row>
    <row r="564">
      <c r="A564" s="7" t="n"/>
      <c r="B564" s="8" t="n"/>
      <c r="E564">
        <f>IF(C564="","",C564-Cfg_TDEE-IFERROR(D564,0))</f>
        <v/>
      </c>
      <c r="F564">
        <f>IF(E564="","",IFERROR(F563,0)+(-E564))</f>
        <v/>
      </c>
      <c r="G564" s="9">
        <f>IF(F564="","",F564/Cfg_FatConstant)</f>
        <v/>
      </c>
      <c r="H564" s="8">
        <f>IF(G564="","",Cfg_StartWeight-G564)</f>
        <v/>
      </c>
      <c r="I564" s="8">
        <f>IF(B564="","",Cfg_StartWeight-B564)</f>
        <v/>
      </c>
      <c r="J564" s="10">
        <f>IF(OR(B564="",G564=""),"",I564-G564)</f>
        <v/>
      </c>
      <c r="K564" s="9">
        <f>IF(B564="","",IFERROR(AVERAGEIFS($B$2:$B$1001,$A$2:$A$1001,"&gt;="&amp;A564-6,$A$2:$A$1001,"&lt;="&amp;A564),""))</f>
        <v/>
      </c>
    </row>
    <row r="565">
      <c r="A565" s="7" t="n"/>
      <c r="B565" s="8" t="n"/>
      <c r="E565">
        <f>IF(C565="","",C565-Cfg_TDEE-IFERROR(D565,0))</f>
        <v/>
      </c>
      <c r="F565">
        <f>IF(E565="","",IFERROR(F564,0)+(-E565))</f>
        <v/>
      </c>
      <c r="G565" s="9">
        <f>IF(F565="","",F565/Cfg_FatConstant)</f>
        <v/>
      </c>
      <c r="H565" s="8">
        <f>IF(G565="","",Cfg_StartWeight-G565)</f>
        <v/>
      </c>
      <c r="I565" s="8">
        <f>IF(B565="","",Cfg_StartWeight-B565)</f>
        <v/>
      </c>
      <c r="J565" s="10">
        <f>IF(OR(B565="",G565=""),"",I565-G565)</f>
        <v/>
      </c>
      <c r="K565" s="9">
        <f>IF(B565="","",IFERROR(AVERAGEIFS($B$2:$B$1001,$A$2:$A$1001,"&gt;="&amp;A565-6,$A$2:$A$1001,"&lt;="&amp;A565),""))</f>
        <v/>
      </c>
    </row>
    <row r="566">
      <c r="A566" s="7" t="n"/>
      <c r="B566" s="8" t="n"/>
      <c r="E566">
        <f>IF(C566="","",C566-Cfg_TDEE-IFERROR(D566,0))</f>
        <v/>
      </c>
      <c r="F566">
        <f>IF(E566="","",IFERROR(F565,0)+(-E566))</f>
        <v/>
      </c>
      <c r="G566" s="9">
        <f>IF(F566="","",F566/Cfg_FatConstant)</f>
        <v/>
      </c>
      <c r="H566" s="8">
        <f>IF(G566="","",Cfg_StartWeight-G566)</f>
        <v/>
      </c>
      <c r="I566" s="8">
        <f>IF(B566="","",Cfg_StartWeight-B566)</f>
        <v/>
      </c>
      <c r="J566" s="10">
        <f>IF(OR(B566="",G566=""),"",I566-G566)</f>
        <v/>
      </c>
      <c r="K566" s="9">
        <f>IF(B566="","",IFERROR(AVERAGEIFS($B$2:$B$1001,$A$2:$A$1001,"&gt;="&amp;A566-6,$A$2:$A$1001,"&lt;="&amp;A566),""))</f>
        <v/>
      </c>
    </row>
    <row r="567">
      <c r="A567" s="7" t="n"/>
      <c r="B567" s="8" t="n"/>
      <c r="E567">
        <f>IF(C567="","",C567-Cfg_TDEE-IFERROR(D567,0))</f>
        <v/>
      </c>
      <c r="F567">
        <f>IF(E567="","",IFERROR(F566,0)+(-E567))</f>
        <v/>
      </c>
      <c r="G567" s="9">
        <f>IF(F567="","",F567/Cfg_FatConstant)</f>
        <v/>
      </c>
      <c r="H567" s="8">
        <f>IF(G567="","",Cfg_StartWeight-G567)</f>
        <v/>
      </c>
      <c r="I567" s="8">
        <f>IF(B567="","",Cfg_StartWeight-B567)</f>
        <v/>
      </c>
      <c r="J567" s="10">
        <f>IF(OR(B567="",G567=""),"",I567-G567)</f>
        <v/>
      </c>
      <c r="K567" s="9">
        <f>IF(B567="","",IFERROR(AVERAGEIFS($B$2:$B$1001,$A$2:$A$1001,"&gt;="&amp;A567-6,$A$2:$A$1001,"&lt;="&amp;A567),""))</f>
        <v/>
      </c>
    </row>
    <row r="568">
      <c r="A568" s="7" t="n"/>
      <c r="B568" s="8" t="n"/>
      <c r="E568">
        <f>IF(C568="","",C568-Cfg_TDEE-IFERROR(D568,0))</f>
        <v/>
      </c>
      <c r="F568">
        <f>IF(E568="","",IFERROR(F567,0)+(-E568))</f>
        <v/>
      </c>
      <c r="G568" s="9">
        <f>IF(F568="","",F568/Cfg_FatConstant)</f>
        <v/>
      </c>
      <c r="H568" s="8">
        <f>IF(G568="","",Cfg_StartWeight-G568)</f>
        <v/>
      </c>
      <c r="I568" s="8">
        <f>IF(B568="","",Cfg_StartWeight-B568)</f>
        <v/>
      </c>
      <c r="J568" s="10">
        <f>IF(OR(B568="",G568=""),"",I568-G568)</f>
        <v/>
      </c>
      <c r="K568" s="9">
        <f>IF(B568="","",IFERROR(AVERAGEIFS($B$2:$B$1001,$A$2:$A$1001,"&gt;="&amp;A568-6,$A$2:$A$1001,"&lt;="&amp;A568),""))</f>
        <v/>
      </c>
    </row>
    <row r="569">
      <c r="A569" s="7" t="n"/>
      <c r="B569" s="8" t="n"/>
      <c r="E569">
        <f>IF(C569="","",C569-Cfg_TDEE-IFERROR(D569,0))</f>
        <v/>
      </c>
      <c r="F569">
        <f>IF(E569="","",IFERROR(F568,0)+(-E569))</f>
        <v/>
      </c>
      <c r="G569" s="9">
        <f>IF(F569="","",F569/Cfg_FatConstant)</f>
        <v/>
      </c>
      <c r="H569" s="8">
        <f>IF(G569="","",Cfg_StartWeight-G569)</f>
        <v/>
      </c>
      <c r="I569" s="8">
        <f>IF(B569="","",Cfg_StartWeight-B569)</f>
        <v/>
      </c>
      <c r="J569" s="10">
        <f>IF(OR(B569="",G569=""),"",I569-G569)</f>
        <v/>
      </c>
      <c r="K569" s="9">
        <f>IF(B569="","",IFERROR(AVERAGEIFS($B$2:$B$1001,$A$2:$A$1001,"&gt;="&amp;A569-6,$A$2:$A$1001,"&lt;="&amp;A569),""))</f>
        <v/>
      </c>
    </row>
    <row r="570">
      <c r="A570" s="7" t="n"/>
      <c r="B570" s="8" t="n"/>
      <c r="E570">
        <f>IF(C570="","",C570-Cfg_TDEE-IFERROR(D570,0))</f>
        <v/>
      </c>
      <c r="F570">
        <f>IF(E570="","",IFERROR(F569,0)+(-E570))</f>
        <v/>
      </c>
      <c r="G570" s="9">
        <f>IF(F570="","",F570/Cfg_FatConstant)</f>
        <v/>
      </c>
      <c r="H570" s="8">
        <f>IF(G570="","",Cfg_StartWeight-G570)</f>
        <v/>
      </c>
      <c r="I570" s="8">
        <f>IF(B570="","",Cfg_StartWeight-B570)</f>
        <v/>
      </c>
      <c r="J570" s="10">
        <f>IF(OR(B570="",G570=""),"",I570-G570)</f>
        <v/>
      </c>
      <c r="K570" s="9">
        <f>IF(B570="","",IFERROR(AVERAGEIFS($B$2:$B$1001,$A$2:$A$1001,"&gt;="&amp;A570-6,$A$2:$A$1001,"&lt;="&amp;A570),""))</f>
        <v/>
      </c>
    </row>
    <row r="571">
      <c r="A571" s="7" t="n"/>
      <c r="B571" s="8" t="n"/>
      <c r="E571">
        <f>IF(C571="","",C571-Cfg_TDEE-IFERROR(D571,0))</f>
        <v/>
      </c>
      <c r="F571">
        <f>IF(E571="","",IFERROR(F570,0)+(-E571))</f>
        <v/>
      </c>
      <c r="G571" s="9">
        <f>IF(F571="","",F571/Cfg_FatConstant)</f>
        <v/>
      </c>
      <c r="H571" s="8">
        <f>IF(G571="","",Cfg_StartWeight-G571)</f>
        <v/>
      </c>
      <c r="I571" s="8">
        <f>IF(B571="","",Cfg_StartWeight-B571)</f>
        <v/>
      </c>
      <c r="J571" s="10">
        <f>IF(OR(B571="",G571=""),"",I571-G571)</f>
        <v/>
      </c>
      <c r="K571" s="9">
        <f>IF(B571="","",IFERROR(AVERAGEIFS($B$2:$B$1001,$A$2:$A$1001,"&gt;="&amp;A571-6,$A$2:$A$1001,"&lt;="&amp;A571),""))</f>
        <v/>
      </c>
    </row>
    <row r="572">
      <c r="A572" s="7" t="n"/>
      <c r="B572" s="8" t="n"/>
      <c r="E572">
        <f>IF(C572="","",C572-Cfg_TDEE-IFERROR(D572,0))</f>
        <v/>
      </c>
      <c r="F572">
        <f>IF(E572="","",IFERROR(F571,0)+(-E572))</f>
        <v/>
      </c>
      <c r="G572" s="9">
        <f>IF(F572="","",F572/Cfg_FatConstant)</f>
        <v/>
      </c>
      <c r="H572" s="8">
        <f>IF(G572="","",Cfg_StartWeight-G572)</f>
        <v/>
      </c>
      <c r="I572" s="8">
        <f>IF(B572="","",Cfg_StartWeight-B572)</f>
        <v/>
      </c>
      <c r="J572" s="10">
        <f>IF(OR(B572="",G572=""),"",I572-G572)</f>
        <v/>
      </c>
      <c r="K572" s="9">
        <f>IF(B572="","",IFERROR(AVERAGEIFS($B$2:$B$1001,$A$2:$A$1001,"&gt;="&amp;A572-6,$A$2:$A$1001,"&lt;="&amp;A572),""))</f>
        <v/>
      </c>
    </row>
    <row r="573">
      <c r="A573" s="7" t="n"/>
      <c r="B573" s="8" t="n"/>
      <c r="E573">
        <f>IF(C573="","",C573-Cfg_TDEE-IFERROR(D573,0))</f>
        <v/>
      </c>
      <c r="F573">
        <f>IF(E573="","",IFERROR(F572,0)+(-E573))</f>
        <v/>
      </c>
      <c r="G573" s="9">
        <f>IF(F573="","",F573/Cfg_FatConstant)</f>
        <v/>
      </c>
      <c r="H573" s="8">
        <f>IF(G573="","",Cfg_StartWeight-G573)</f>
        <v/>
      </c>
      <c r="I573" s="8">
        <f>IF(B573="","",Cfg_StartWeight-B573)</f>
        <v/>
      </c>
      <c r="J573" s="10">
        <f>IF(OR(B573="",G573=""),"",I573-G573)</f>
        <v/>
      </c>
      <c r="K573" s="9">
        <f>IF(B573="","",IFERROR(AVERAGEIFS($B$2:$B$1001,$A$2:$A$1001,"&gt;="&amp;A573-6,$A$2:$A$1001,"&lt;="&amp;A573),""))</f>
        <v/>
      </c>
    </row>
    <row r="574">
      <c r="A574" s="7" t="n"/>
      <c r="B574" s="8" t="n"/>
      <c r="E574">
        <f>IF(C574="","",C574-Cfg_TDEE-IFERROR(D574,0))</f>
        <v/>
      </c>
      <c r="F574">
        <f>IF(E574="","",IFERROR(F573,0)+(-E574))</f>
        <v/>
      </c>
      <c r="G574" s="9">
        <f>IF(F574="","",F574/Cfg_FatConstant)</f>
        <v/>
      </c>
      <c r="H574" s="8">
        <f>IF(G574="","",Cfg_StartWeight-G574)</f>
        <v/>
      </c>
      <c r="I574" s="8">
        <f>IF(B574="","",Cfg_StartWeight-B574)</f>
        <v/>
      </c>
      <c r="J574" s="10">
        <f>IF(OR(B574="",G574=""),"",I574-G574)</f>
        <v/>
      </c>
      <c r="K574" s="9">
        <f>IF(B574="","",IFERROR(AVERAGEIFS($B$2:$B$1001,$A$2:$A$1001,"&gt;="&amp;A574-6,$A$2:$A$1001,"&lt;="&amp;A574),""))</f>
        <v/>
      </c>
    </row>
    <row r="575">
      <c r="A575" s="7" t="n"/>
      <c r="B575" s="8" t="n"/>
      <c r="E575">
        <f>IF(C575="","",C575-Cfg_TDEE-IFERROR(D575,0))</f>
        <v/>
      </c>
      <c r="F575">
        <f>IF(E575="","",IFERROR(F574,0)+(-E575))</f>
        <v/>
      </c>
      <c r="G575" s="9">
        <f>IF(F575="","",F575/Cfg_FatConstant)</f>
        <v/>
      </c>
      <c r="H575" s="8">
        <f>IF(G575="","",Cfg_StartWeight-G575)</f>
        <v/>
      </c>
      <c r="I575" s="8">
        <f>IF(B575="","",Cfg_StartWeight-B575)</f>
        <v/>
      </c>
      <c r="J575" s="10">
        <f>IF(OR(B575="",G575=""),"",I575-G575)</f>
        <v/>
      </c>
      <c r="K575" s="9">
        <f>IF(B575="","",IFERROR(AVERAGEIFS($B$2:$B$1001,$A$2:$A$1001,"&gt;="&amp;A575-6,$A$2:$A$1001,"&lt;="&amp;A575),""))</f>
        <v/>
      </c>
    </row>
    <row r="576">
      <c r="A576" s="7" t="n"/>
      <c r="B576" s="8" t="n"/>
      <c r="E576">
        <f>IF(C576="","",C576-Cfg_TDEE-IFERROR(D576,0))</f>
        <v/>
      </c>
      <c r="F576">
        <f>IF(E576="","",IFERROR(F575,0)+(-E576))</f>
        <v/>
      </c>
      <c r="G576" s="9">
        <f>IF(F576="","",F576/Cfg_FatConstant)</f>
        <v/>
      </c>
      <c r="H576" s="8">
        <f>IF(G576="","",Cfg_StartWeight-G576)</f>
        <v/>
      </c>
      <c r="I576" s="8">
        <f>IF(B576="","",Cfg_StartWeight-B576)</f>
        <v/>
      </c>
      <c r="J576" s="10">
        <f>IF(OR(B576="",G576=""),"",I576-G576)</f>
        <v/>
      </c>
      <c r="K576" s="9">
        <f>IF(B576="","",IFERROR(AVERAGEIFS($B$2:$B$1001,$A$2:$A$1001,"&gt;="&amp;A576-6,$A$2:$A$1001,"&lt;="&amp;A576),""))</f>
        <v/>
      </c>
    </row>
    <row r="577">
      <c r="A577" s="7" t="n"/>
      <c r="B577" s="8" t="n"/>
      <c r="E577">
        <f>IF(C577="","",C577-Cfg_TDEE-IFERROR(D577,0))</f>
        <v/>
      </c>
      <c r="F577">
        <f>IF(E577="","",IFERROR(F576,0)+(-E577))</f>
        <v/>
      </c>
      <c r="G577" s="9">
        <f>IF(F577="","",F577/Cfg_FatConstant)</f>
        <v/>
      </c>
      <c r="H577" s="8">
        <f>IF(G577="","",Cfg_StartWeight-G577)</f>
        <v/>
      </c>
      <c r="I577" s="8">
        <f>IF(B577="","",Cfg_StartWeight-B577)</f>
        <v/>
      </c>
      <c r="J577" s="10">
        <f>IF(OR(B577="",G577=""),"",I577-G577)</f>
        <v/>
      </c>
      <c r="K577" s="9">
        <f>IF(B577="","",IFERROR(AVERAGEIFS($B$2:$B$1001,$A$2:$A$1001,"&gt;="&amp;A577-6,$A$2:$A$1001,"&lt;="&amp;A577),""))</f>
        <v/>
      </c>
    </row>
    <row r="578">
      <c r="A578" s="7" t="n"/>
      <c r="B578" s="8" t="n"/>
      <c r="E578">
        <f>IF(C578="","",C578-Cfg_TDEE-IFERROR(D578,0))</f>
        <v/>
      </c>
      <c r="F578">
        <f>IF(E578="","",IFERROR(F577,0)+(-E578))</f>
        <v/>
      </c>
      <c r="G578" s="9">
        <f>IF(F578="","",F578/Cfg_FatConstant)</f>
        <v/>
      </c>
      <c r="H578" s="8">
        <f>IF(G578="","",Cfg_StartWeight-G578)</f>
        <v/>
      </c>
      <c r="I578" s="8">
        <f>IF(B578="","",Cfg_StartWeight-B578)</f>
        <v/>
      </c>
      <c r="J578" s="10">
        <f>IF(OR(B578="",G578=""),"",I578-G578)</f>
        <v/>
      </c>
      <c r="K578" s="9">
        <f>IF(B578="","",IFERROR(AVERAGEIFS($B$2:$B$1001,$A$2:$A$1001,"&gt;="&amp;A578-6,$A$2:$A$1001,"&lt;="&amp;A578),""))</f>
        <v/>
      </c>
    </row>
    <row r="579">
      <c r="A579" s="7" t="n"/>
      <c r="B579" s="8" t="n"/>
      <c r="E579">
        <f>IF(C579="","",C579-Cfg_TDEE-IFERROR(D579,0))</f>
        <v/>
      </c>
      <c r="F579">
        <f>IF(E579="","",IFERROR(F578,0)+(-E579))</f>
        <v/>
      </c>
      <c r="G579" s="9">
        <f>IF(F579="","",F579/Cfg_FatConstant)</f>
        <v/>
      </c>
      <c r="H579" s="8">
        <f>IF(G579="","",Cfg_StartWeight-G579)</f>
        <v/>
      </c>
      <c r="I579" s="8">
        <f>IF(B579="","",Cfg_StartWeight-B579)</f>
        <v/>
      </c>
      <c r="J579" s="10">
        <f>IF(OR(B579="",G579=""),"",I579-G579)</f>
        <v/>
      </c>
      <c r="K579" s="9">
        <f>IF(B579="","",IFERROR(AVERAGEIFS($B$2:$B$1001,$A$2:$A$1001,"&gt;="&amp;A579-6,$A$2:$A$1001,"&lt;="&amp;A579),""))</f>
        <v/>
      </c>
    </row>
    <row r="580">
      <c r="A580" s="7" t="n"/>
      <c r="B580" s="8" t="n"/>
      <c r="E580">
        <f>IF(C580="","",C580-Cfg_TDEE-IFERROR(D580,0))</f>
        <v/>
      </c>
      <c r="F580">
        <f>IF(E580="","",IFERROR(F579,0)+(-E580))</f>
        <v/>
      </c>
      <c r="G580" s="9">
        <f>IF(F580="","",F580/Cfg_FatConstant)</f>
        <v/>
      </c>
      <c r="H580" s="8">
        <f>IF(G580="","",Cfg_StartWeight-G580)</f>
        <v/>
      </c>
      <c r="I580" s="8">
        <f>IF(B580="","",Cfg_StartWeight-B580)</f>
        <v/>
      </c>
      <c r="J580" s="10">
        <f>IF(OR(B580="",G580=""),"",I580-G580)</f>
        <v/>
      </c>
      <c r="K580" s="9">
        <f>IF(B580="","",IFERROR(AVERAGEIFS($B$2:$B$1001,$A$2:$A$1001,"&gt;="&amp;A580-6,$A$2:$A$1001,"&lt;="&amp;A580),""))</f>
        <v/>
      </c>
    </row>
    <row r="581">
      <c r="A581" s="7" t="n"/>
      <c r="B581" s="8" t="n"/>
      <c r="E581">
        <f>IF(C581="","",C581-Cfg_TDEE-IFERROR(D581,0))</f>
        <v/>
      </c>
      <c r="F581">
        <f>IF(E581="","",IFERROR(F580,0)+(-E581))</f>
        <v/>
      </c>
      <c r="G581" s="9">
        <f>IF(F581="","",F581/Cfg_FatConstant)</f>
        <v/>
      </c>
      <c r="H581" s="8">
        <f>IF(G581="","",Cfg_StartWeight-G581)</f>
        <v/>
      </c>
      <c r="I581" s="8">
        <f>IF(B581="","",Cfg_StartWeight-B581)</f>
        <v/>
      </c>
      <c r="J581" s="10">
        <f>IF(OR(B581="",G581=""),"",I581-G581)</f>
        <v/>
      </c>
      <c r="K581" s="9">
        <f>IF(B581="","",IFERROR(AVERAGEIFS($B$2:$B$1001,$A$2:$A$1001,"&gt;="&amp;A581-6,$A$2:$A$1001,"&lt;="&amp;A581),""))</f>
        <v/>
      </c>
    </row>
    <row r="582">
      <c r="A582" s="7" t="n"/>
      <c r="B582" s="8" t="n"/>
      <c r="E582">
        <f>IF(C582="","",C582-Cfg_TDEE-IFERROR(D582,0))</f>
        <v/>
      </c>
      <c r="F582">
        <f>IF(E582="","",IFERROR(F581,0)+(-E582))</f>
        <v/>
      </c>
      <c r="G582" s="9">
        <f>IF(F582="","",F582/Cfg_FatConstant)</f>
        <v/>
      </c>
      <c r="H582" s="8">
        <f>IF(G582="","",Cfg_StartWeight-G582)</f>
        <v/>
      </c>
      <c r="I582" s="8">
        <f>IF(B582="","",Cfg_StartWeight-B582)</f>
        <v/>
      </c>
      <c r="J582" s="10">
        <f>IF(OR(B582="",G582=""),"",I582-G582)</f>
        <v/>
      </c>
      <c r="K582" s="9">
        <f>IF(B582="","",IFERROR(AVERAGEIFS($B$2:$B$1001,$A$2:$A$1001,"&gt;="&amp;A582-6,$A$2:$A$1001,"&lt;="&amp;A582),""))</f>
        <v/>
      </c>
    </row>
    <row r="583">
      <c r="A583" s="7" t="n"/>
      <c r="B583" s="8" t="n"/>
      <c r="E583">
        <f>IF(C583="","",C583-Cfg_TDEE-IFERROR(D583,0))</f>
        <v/>
      </c>
      <c r="F583">
        <f>IF(E583="","",IFERROR(F582,0)+(-E583))</f>
        <v/>
      </c>
      <c r="G583" s="9">
        <f>IF(F583="","",F583/Cfg_FatConstant)</f>
        <v/>
      </c>
      <c r="H583" s="8">
        <f>IF(G583="","",Cfg_StartWeight-G583)</f>
        <v/>
      </c>
      <c r="I583" s="8">
        <f>IF(B583="","",Cfg_StartWeight-B583)</f>
        <v/>
      </c>
      <c r="J583" s="10">
        <f>IF(OR(B583="",G583=""),"",I583-G583)</f>
        <v/>
      </c>
      <c r="K583" s="9">
        <f>IF(B583="","",IFERROR(AVERAGEIFS($B$2:$B$1001,$A$2:$A$1001,"&gt;="&amp;A583-6,$A$2:$A$1001,"&lt;="&amp;A583),""))</f>
        <v/>
      </c>
    </row>
    <row r="584">
      <c r="A584" s="7" t="n"/>
      <c r="B584" s="8" t="n"/>
      <c r="E584">
        <f>IF(C584="","",C584-Cfg_TDEE-IFERROR(D584,0))</f>
        <v/>
      </c>
      <c r="F584">
        <f>IF(E584="","",IFERROR(F583,0)+(-E584))</f>
        <v/>
      </c>
      <c r="G584" s="9">
        <f>IF(F584="","",F584/Cfg_FatConstant)</f>
        <v/>
      </c>
      <c r="H584" s="8">
        <f>IF(G584="","",Cfg_StartWeight-G584)</f>
        <v/>
      </c>
      <c r="I584" s="8">
        <f>IF(B584="","",Cfg_StartWeight-B584)</f>
        <v/>
      </c>
      <c r="J584" s="10">
        <f>IF(OR(B584="",G584=""),"",I584-G584)</f>
        <v/>
      </c>
      <c r="K584" s="9">
        <f>IF(B584="","",IFERROR(AVERAGEIFS($B$2:$B$1001,$A$2:$A$1001,"&gt;="&amp;A584-6,$A$2:$A$1001,"&lt;="&amp;A584),""))</f>
        <v/>
      </c>
    </row>
    <row r="585">
      <c r="A585" s="7" t="n"/>
      <c r="B585" s="8" t="n"/>
      <c r="E585">
        <f>IF(C585="","",C585-Cfg_TDEE-IFERROR(D585,0))</f>
        <v/>
      </c>
      <c r="F585">
        <f>IF(E585="","",IFERROR(F584,0)+(-E585))</f>
        <v/>
      </c>
      <c r="G585" s="9">
        <f>IF(F585="","",F585/Cfg_FatConstant)</f>
        <v/>
      </c>
      <c r="H585" s="8">
        <f>IF(G585="","",Cfg_StartWeight-G585)</f>
        <v/>
      </c>
      <c r="I585" s="8">
        <f>IF(B585="","",Cfg_StartWeight-B585)</f>
        <v/>
      </c>
      <c r="J585" s="10">
        <f>IF(OR(B585="",G585=""),"",I585-G585)</f>
        <v/>
      </c>
      <c r="K585" s="9">
        <f>IF(B585="","",IFERROR(AVERAGEIFS($B$2:$B$1001,$A$2:$A$1001,"&gt;="&amp;A585-6,$A$2:$A$1001,"&lt;="&amp;A585),""))</f>
        <v/>
      </c>
    </row>
    <row r="586">
      <c r="A586" s="7" t="n"/>
      <c r="B586" s="8" t="n"/>
      <c r="E586">
        <f>IF(C586="","",C586-Cfg_TDEE-IFERROR(D586,0))</f>
        <v/>
      </c>
      <c r="F586">
        <f>IF(E586="","",IFERROR(F585,0)+(-E586))</f>
        <v/>
      </c>
      <c r="G586" s="9">
        <f>IF(F586="","",F586/Cfg_FatConstant)</f>
        <v/>
      </c>
      <c r="H586" s="8">
        <f>IF(G586="","",Cfg_StartWeight-G586)</f>
        <v/>
      </c>
      <c r="I586" s="8">
        <f>IF(B586="","",Cfg_StartWeight-B586)</f>
        <v/>
      </c>
      <c r="J586" s="10">
        <f>IF(OR(B586="",G586=""),"",I586-G586)</f>
        <v/>
      </c>
      <c r="K586" s="9">
        <f>IF(B586="","",IFERROR(AVERAGEIFS($B$2:$B$1001,$A$2:$A$1001,"&gt;="&amp;A586-6,$A$2:$A$1001,"&lt;="&amp;A586),""))</f>
        <v/>
      </c>
    </row>
    <row r="587">
      <c r="A587" s="7" t="n"/>
      <c r="B587" s="8" t="n"/>
      <c r="E587">
        <f>IF(C587="","",C587-Cfg_TDEE-IFERROR(D587,0))</f>
        <v/>
      </c>
      <c r="F587">
        <f>IF(E587="","",IFERROR(F586,0)+(-E587))</f>
        <v/>
      </c>
      <c r="G587" s="9">
        <f>IF(F587="","",F587/Cfg_FatConstant)</f>
        <v/>
      </c>
      <c r="H587" s="8">
        <f>IF(G587="","",Cfg_StartWeight-G587)</f>
        <v/>
      </c>
      <c r="I587" s="8">
        <f>IF(B587="","",Cfg_StartWeight-B587)</f>
        <v/>
      </c>
      <c r="J587" s="10">
        <f>IF(OR(B587="",G587=""),"",I587-G587)</f>
        <v/>
      </c>
      <c r="K587" s="9">
        <f>IF(B587="","",IFERROR(AVERAGEIFS($B$2:$B$1001,$A$2:$A$1001,"&gt;="&amp;A587-6,$A$2:$A$1001,"&lt;="&amp;A587),""))</f>
        <v/>
      </c>
    </row>
    <row r="588">
      <c r="A588" s="7" t="n"/>
      <c r="B588" s="8" t="n"/>
      <c r="E588">
        <f>IF(C588="","",C588-Cfg_TDEE-IFERROR(D588,0))</f>
        <v/>
      </c>
      <c r="F588">
        <f>IF(E588="","",IFERROR(F587,0)+(-E588))</f>
        <v/>
      </c>
      <c r="G588" s="9">
        <f>IF(F588="","",F588/Cfg_FatConstant)</f>
        <v/>
      </c>
      <c r="H588" s="8">
        <f>IF(G588="","",Cfg_StartWeight-G588)</f>
        <v/>
      </c>
      <c r="I588" s="8">
        <f>IF(B588="","",Cfg_StartWeight-B588)</f>
        <v/>
      </c>
      <c r="J588" s="10">
        <f>IF(OR(B588="",G588=""),"",I588-G588)</f>
        <v/>
      </c>
      <c r="K588" s="9">
        <f>IF(B588="","",IFERROR(AVERAGEIFS($B$2:$B$1001,$A$2:$A$1001,"&gt;="&amp;A588-6,$A$2:$A$1001,"&lt;="&amp;A588),""))</f>
        <v/>
      </c>
    </row>
    <row r="589">
      <c r="A589" s="7" t="n"/>
      <c r="B589" s="8" t="n"/>
      <c r="E589">
        <f>IF(C589="","",C589-Cfg_TDEE-IFERROR(D589,0))</f>
        <v/>
      </c>
      <c r="F589">
        <f>IF(E589="","",IFERROR(F588,0)+(-E589))</f>
        <v/>
      </c>
      <c r="G589" s="9">
        <f>IF(F589="","",F589/Cfg_FatConstant)</f>
        <v/>
      </c>
      <c r="H589" s="8">
        <f>IF(G589="","",Cfg_StartWeight-G589)</f>
        <v/>
      </c>
      <c r="I589" s="8">
        <f>IF(B589="","",Cfg_StartWeight-B589)</f>
        <v/>
      </c>
      <c r="J589" s="10">
        <f>IF(OR(B589="",G589=""),"",I589-G589)</f>
        <v/>
      </c>
      <c r="K589" s="9">
        <f>IF(B589="","",IFERROR(AVERAGEIFS($B$2:$B$1001,$A$2:$A$1001,"&gt;="&amp;A589-6,$A$2:$A$1001,"&lt;="&amp;A589),""))</f>
        <v/>
      </c>
    </row>
    <row r="590">
      <c r="A590" s="7" t="n"/>
      <c r="B590" s="8" t="n"/>
      <c r="E590">
        <f>IF(C590="","",C590-Cfg_TDEE-IFERROR(D590,0))</f>
        <v/>
      </c>
      <c r="F590">
        <f>IF(E590="","",IFERROR(F589,0)+(-E590))</f>
        <v/>
      </c>
      <c r="G590" s="9">
        <f>IF(F590="","",F590/Cfg_FatConstant)</f>
        <v/>
      </c>
      <c r="H590" s="8">
        <f>IF(G590="","",Cfg_StartWeight-G590)</f>
        <v/>
      </c>
      <c r="I590" s="8">
        <f>IF(B590="","",Cfg_StartWeight-B590)</f>
        <v/>
      </c>
      <c r="J590" s="10">
        <f>IF(OR(B590="",G590=""),"",I590-G590)</f>
        <v/>
      </c>
      <c r="K590" s="9">
        <f>IF(B590="","",IFERROR(AVERAGEIFS($B$2:$B$1001,$A$2:$A$1001,"&gt;="&amp;A590-6,$A$2:$A$1001,"&lt;="&amp;A590),""))</f>
        <v/>
      </c>
    </row>
    <row r="591">
      <c r="A591" s="7" t="n"/>
      <c r="B591" s="8" t="n"/>
      <c r="E591">
        <f>IF(C591="","",C591-Cfg_TDEE-IFERROR(D591,0))</f>
        <v/>
      </c>
      <c r="F591">
        <f>IF(E591="","",IFERROR(F590,0)+(-E591))</f>
        <v/>
      </c>
      <c r="G591" s="9">
        <f>IF(F591="","",F591/Cfg_FatConstant)</f>
        <v/>
      </c>
      <c r="H591" s="8">
        <f>IF(G591="","",Cfg_StartWeight-G591)</f>
        <v/>
      </c>
      <c r="I591" s="8">
        <f>IF(B591="","",Cfg_StartWeight-B591)</f>
        <v/>
      </c>
      <c r="J591" s="10">
        <f>IF(OR(B591="",G591=""),"",I591-G591)</f>
        <v/>
      </c>
      <c r="K591" s="9">
        <f>IF(B591="","",IFERROR(AVERAGEIFS($B$2:$B$1001,$A$2:$A$1001,"&gt;="&amp;A591-6,$A$2:$A$1001,"&lt;="&amp;A591),""))</f>
        <v/>
      </c>
    </row>
    <row r="592">
      <c r="A592" s="7" t="n"/>
      <c r="B592" s="8" t="n"/>
      <c r="E592">
        <f>IF(C592="","",C592-Cfg_TDEE-IFERROR(D592,0))</f>
        <v/>
      </c>
      <c r="F592">
        <f>IF(E592="","",IFERROR(F591,0)+(-E592))</f>
        <v/>
      </c>
      <c r="G592" s="9">
        <f>IF(F592="","",F592/Cfg_FatConstant)</f>
        <v/>
      </c>
      <c r="H592" s="8">
        <f>IF(G592="","",Cfg_StartWeight-G592)</f>
        <v/>
      </c>
      <c r="I592" s="8">
        <f>IF(B592="","",Cfg_StartWeight-B592)</f>
        <v/>
      </c>
      <c r="J592" s="10">
        <f>IF(OR(B592="",G592=""),"",I592-G592)</f>
        <v/>
      </c>
      <c r="K592" s="9">
        <f>IF(B592="","",IFERROR(AVERAGEIFS($B$2:$B$1001,$A$2:$A$1001,"&gt;="&amp;A592-6,$A$2:$A$1001,"&lt;="&amp;A592),""))</f>
        <v/>
      </c>
    </row>
    <row r="593">
      <c r="A593" s="7" t="n"/>
      <c r="B593" s="8" t="n"/>
      <c r="E593">
        <f>IF(C593="","",C593-Cfg_TDEE-IFERROR(D593,0))</f>
        <v/>
      </c>
      <c r="F593">
        <f>IF(E593="","",IFERROR(F592,0)+(-E593))</f>
        <v/>
      </c>
      <c r="G593" s="9">
        <f>IF(F593="","",F593/Cfg_FatConstant)</f>
        <v/>
      </c>
      <c r="H593" s="8">
        <f>IF(G593="","",Cfg_StartWeight-G593)</f>
        <v/>
      </c>
      <c r="I593" s="8">
        <f>IF(B593="","",Cfg_StartWeight-B593)</f>
        <v/>
      </c>
      <c r="J593" s="10">
        <f>IF(OR(B593="",G593=""),"",I593-G593)</f>
        <v/>
      </c>
      <c r="K593" s="9">
        <f>IF(B593="","",IFERROR(AVERAGEIFS($B$2:$B$1001,$A$2:$A$1001,"&gt;="&amp;A593-6,$A$2:$A$1001,"&lt;="&amp;A593),""))</f>
        <v/>
      </c>
    </row>
    <row r="594">
      <c r="A594" s="7" t="n"/>
      <c r="B594" s="8" t="n"/>
      <c r="E594">
        <f>IF(C594="","",C594-Cfg_TDEE-IFERROR(D594,0))</f>
        <v/>
      </c>
      <c r="F594">
        <f>IF(E594="","",IFERROR(F593,0)+(-E594))</f>
        <v/>
      </c>
      <c r="G594" s="9">
        <f>IF(F594="","",F594/Cfg_FatConstant)</f>
        <v/>
      </c>
      <c r="H594" s="8">
        <f>IF(G594="","",Cfg_StartWeight-G594)</f>
        <v/>
      </c>
      <c r="I594" s="8">
        <f>IF(B594="","",Cfg_StartWeight-B594)</f>
        <v/>
      </c>
      <c r="J594" s="10">
        <f>IF(OR(B594="",G594=""),"",I594-G594)</f>
        <v/>
      </c>
      <c r="K594" s="9">
        <f>IF(B594="","",IFERROR(AVERAGEIFS($B$2:$B$1001,$A$2:$A$1001,"&gt;="&amp;A594-6,$A$2:$A$1001,"&lt;="&amp;A594),""))</f>
        <v/>
      </c>
    </row>
    <row r="595">
      <c r="A595" s="7" t="n"/>
      <c r="B595" s="8" t="n"/>
      <c r="E595">
        <f>IF(C595="","",C595-Cfg_TDEE-IFERROR(D595,0))</f>
        <v/>
      </c>
      <c r="F595">
        <f>IF(E595="","",IFERROR(F594,0)+(-E595))</f>
        <v/>
      </c>
      <c r="G595" s="9">
        <f>IF(F595="","",F595/Cfg_FatConstant)</f>
        <v/>
      </c>
      <c r="H595" s="8">
        <f>IF(G595="","",Cfg_StartWeight-G595)</f>
        <v/>
      </c>
      <c r="I595" s="8">
        <f>IF(B595="","",Cfg_StartWeight-B595)</f>
        <v/>
      </c>
      <c r="J595" s="10">
        <f>IF(OR(B595="",G595=""),"",I595-G595)</f>
        <v/>
      </c>
      <c r="K595" s="9">
        <f>IF(B595="","",IFERROR(AVERAGEIFS($B$2:$B$1001,$A$2:$A$1001,"&gt;="&amp;A595-6,$A$2:$A$1001,"&lt;="&amp;A595),""))</f>
        <v/>
      </c>
    </row>
    <row r="596">
      <c r="A596" s="7" t="n"/>
      <c r="B596" s="8" t="n"/>
      <c r="E596">
        <f>IF(C596="","",C596-Cfg_TDEE-IFERROR(D596,0))</f>
        <v/>
      </c>
      <c r="F596">
        <f>IF(E596="","",IFERROR(F595,0)+(-E596))</f>
        <v/>
      </c>
      <c r="G596" s="9">
        <f>IF(F596="","",F596/Cfg_FatConstant)</f>
        <v/>
      </c>
      <c r="H596" s="8">
        <f>IF(G596="","",Cfg_StartWeight-G596)</f>
        <v/>
      </c>
      <c r="I596" s="8">
        <f>IF(B596="","",Cfg_StartWeight-B596)</f>
        <v/>
      </c>
      <c r="J596" s="10">
        <f>IF(OR(B596="",G596=""),"",I596-G596)</f>
        <v/>
      </c>
      <c r="K596" s="9">
        <f>IF(B596="","",IFERROR(AVERAGEIFS($B$2:$B$1001,$A$2:$A$1001,"&gt;="&amp;A596-6,$A$2:$A$1001,"&lt;="&amp;A596),""))</f>
        <v/>
      </c>
    </row>
    <row r="597">
      <c r="A597" s="7" t="n"/>
      <c r="B597" s="8" t="n"/>
      <c r="E597">
        <f>IF(C597="","",C597-Cfg_TDEE-IFERROR(D597,0))</f>
        <v/>
      </c>
      <c r="F597">
        <f>IF(E597="","",IFERROR(F596,0)+(-E597))</f>
        <v/>
      </c>
      <c r="G597" s="9">
        <f>IF(F597="","",F597/Cfg_FatConstant)</f>
        <v/>
      </c>
      <c r="H597" s="8">
        <f>IF(G597="","",Cfg_StartWeight-G597)</f>
        <v/>
      </c>
      <c r="I597" s="8">
        <f>IF(B597="","",Cfg_StartWeight-B597)</f>
        <v/>
      </c>
      <c r="J597" s="10">
        <f>IF(OR(B597="",G597=""),"",I597-G597)</f>
        <v/>
      </c>
      <c r="K597" s="9">
        <f>IF(B597="","",IFERROR(AVERAGEIFS($B$2:$B$1001,$A$2:$A$1001,"&gt;="&amp;A597-6,$A$2:$A$1001,"&lt;="&amp;A597),""))</f>
        <v/>
      </c>
    </row>
    <row r="598">
      <c r="A598" s="7" t="n"/>
      <c r="B598" s="8" t="n"/>
      <c r="E598">
        <f>IF(C598="","",C598-Cfg_TDEE-IFERROR(D598,0))</f>
        <v/>
      </c>
      <c r="F598">
        <f>IF(E598="","",IFERROR(F597,0)+(-E598))</f>
        <v/>
      </c>
      <c r="G598" s="9">
        <f>IF(F598="","",F598/Cfg_FatConstant)</f>
        <v/>
      </c>
      <c r="H598" s="8">
        <f>IF(G598="","",Cfg_StartWeight-G598)</f>
        <v/>
      </c>
      <c r="I598" s="8">
        <f>IF(B598="","",Cfg_StartWeight-B598)</f>
        <v/>
      </c>
      <c r="J598" s="10">
        <f>IF(OR(B598="",G598=""),"",I598-G598)</f>
        <v/>
      </c>
      <c r="K598" s="9">
        <f>IF(B598="","",IFERROR(AVERAGEIFS($B$2:$B$1001,$A$2:$A$1001,"&gt;="&amp;A598-6,$A$2:$A$1001,"&lt;="&amp;A598),""))</f>
        <v/>
      </c>
    </row>
    <row r="599">
      <c r="A599" s="7" t="n"/>
      <c r="B599" s="8" t="n"/>
      <c r="E599">
        <f>IF(C599="","",C599-Cfg_TDEE-IFERROR(D599,0))</f>
        <v/>
      </c>
      <c r="F599">
        <f>IF(E599="","",IFERROR(F598,0)+(-E599))</f>
        <v/>
      </c>
      <c r="G599" s="9">
        <f>IF(F599="","",F599/Cfg_FatConstant)</f>
        <v/>
      </c>
      <c r="H599" s="8">
        <f>IF(G599="","",Cfg_StartWeight-G599)</f>
        <v/>
      </c>
      <c r="I599" s="8">
        <f>IF(B599="","",Cfg_StartWeight-B599)</f>
        <v/>
      </c>
      <c r="J599" s="10">
        <f>IF(OR(B599="",G599=""),"",I599-G599)</f>
        <v/>
      </c>
      <c r="K599" s="9">
        <f>IF(B599="","",IFERROR(AVERAGEIFS($B$2:$B$1001,$A$2:$A$1001,"&gt;="&amp;A599-6,$A$2:$A$1001,"&lt;="&amp;A599),""))</f>
        <v/>
      </c>
    </row>
    <row r="600">
      <c r="A600" s="7" t="n"/>
      <c r="B600" s="8" t="n"/>
      <c r="E600">
        <f>IF(C600="","",C600-Cfg_TDEE-IFERROR(D600,0))</f>
        <v/>
      </c>
      <c r="F600">
        <f>IF(E600="","",IFERROR(F599,0)+(-E600))</f>
        <v/>
      </c>
      <c r="G600" s="9">
        <f>IF(F600="","",F600/Cfg_FatConstant)</f>
        <v/>
      </c>
      <c r="H600" s="8">
        <f>IF(G600="","",Cfg_StartWeight-G600)</f>
        <v/>
      </c>
      <c r="I600" s="8">
        <f>IF(B600="","",Cfg_StartWeight-B600)</f>
        <v/>
      </c>
      <c r="J600" s="10">
        <f>IF(OR(B600="",G600=""),"",I600-G600)</f>
        <v/>
      </c>
      <c r="K600" s="9">
        <f>IF(B600="","",IFERROR(AVERAGEIFS($B$2:$B$1001,$A$2:$A$1001,"&gt;="&amp;A600-6,$A$2:$A$1001,"&lt;="&amp;A600),""))</f>
        <v/>
      </c>
    </row>
    <row r="601">
      <c r="A601" s="7" t="n"/>
      <c r="B601" s="8" t="n"/>
      <c r="E601">
        <f>IF(C601="","",C601-Cfg_TDEE-IFERROR(D601,0))</f>
        <v/>
      </c>
      <c r="F601">
        <f>IF(E601="","",IFERROR(F600,0)+(-E601))</f>
        <v/>
      </c>
      <c r="G601" s="9">
        <f>IF(F601="","",F601/Cfg_FatConstant)</f>
        <v/>
      </c>
      <c r="H601" s="8">
        <f>IF(G601="","",Cfg_StartWeight-G601)</f>
        <v/>
      </c>
      <c r="I601" s="8">
        <f>IF(B601="","",Cfg_StartWeight-B601)</f>
        <v/>
      </c>
      <c r="J601" s="10">
        <f>IF(OR(B601="",G601=""),"",I601-G601)</f>
        <v/>
      </c>
      <c r="K601" s="9">
        <f>IF(B601="","",IFERROR(AVERAGEIFS($B$2:$B$1001,$A$2:$A$1001,"&gt;="&amp;A601-6,$A$2:$A$1001,"&lt;="&amp;A601),""))</f>
        <v/>
      </c>
    </row>
    <row r="602">
      <c r="A602" s="7" t="n"/>
      <c r="B602" s="8" t="n"/>
      <c r="E602">
        <f>IF(C602="","",C602-Cfg_TDEE-IFERROR(D602,0))</f>
        <v/>
      </c>
      <c r="F602">
        <f>IF(E602="","",IFERROR(F601,0)+(-E602))</f>
        <v/>
      </c>
      <c r="G602" s="9">
        <f>IF(F602="","",F602/Cfg_FatConstant)</f>
        <v/>
      </c>
      <c r="H602" s="8">
        <f>IF(G602="","",Cfg_StartWeight-G602)</f>
        <v/>
      </c>
      <c r="I602" s="8">
        <f>IF(B602="","",Cfg_StartWeight-B602)</f>
        <v/>
      </c>
      <c r="J602" s="10">
        <f>IF(OR(B602="",G602=""),"",I602-G602)</f>
        <v/>
      </c>
      <c r="K602" s="9">
        <f>IF(B602="","",IFERROR(AVERAGEIFS($B$2:$B$1001,$A$2:$A$1001,"&gt;="&amp;A602-6,$A$2:$A$1001,"&lt;="&amp;A602),""))</f>
        <v/>
      </c>
    </row>
    <row r="603">
      <c r="A603" s="7" t="n"/>
      <c r="B603" s="8" t="n"/>
      <c r="E603">
        <f>IF(C603="","",C603-Cfg_TDEE-IFERROR(D603,0))</f>
        <v/>
      </c>
      <c r="F603">
        <f>IF(E603="","",IFERROR(F602,0)+(-E603))</f>
        <v/>
      </c>
      <c r="G603" s="9">
        <f>IF(F603="","",F603/Cfg_FatConstant)</f>
        <v/>
      </c>
      <c r="H603" s="8">
        <f>IF(G603="","",Cfg_StartWeight-G603)</f>
        <v/>
      </c>
      <c r="I603" s="8">
        <f>IF(B603="","",Cfg_StartWeight-B603)</f>
        <v/>
      </c>
      <c r="J603" s="10">
        <f>IF(OR(B603="",G603=""),"",I603-G603)</f>
        <v/>
      </c>
      <c r="K603" s="9">
        <f>IF(B603="","",IFERROR(AVERAGEIFS($B$2:$B$1001,$A$2:$A$1001,"&gt;="&amp;A603-6,$A$2:$A$1001,"&lt;="&amp;A603),""))</f>
        <v/>
      </c>
    </row>
    <row r="604">
      <c r="A604" s="7" t="n"/>
      <c r="B604" s="8" t="n"/>
      <c r="E604">
        <f>IF(C604="","",C604-Cfg_TDEE-IFERROR(D604,0))</f>
        <v/>
      </c>
      <c r="F604">
        <f>IF(E604="","",IFERROR(F603,0)+(-E604))</f>
        <v/>
      </c>
      <c r="G604" s="9">
        <f>IF(F604="","",F604/Cfg_FatConstant)</f>
        <v/>
      </c>
      <c r="H604" s="8">
        <f>IF(G604="","",Cfg_StartWeight-G604)</f>
        <v/>
      </c>
      <c r="I604" s="8">
        <f>IF(B604="","",Cfg_StartWeight-B604)</f>
        <v/>
      </c>
      <c r="J604" s="10">
        <f>IF(OR(B604="",G604=""),"",I604-G604)</f>
        <v/>
      </c>
      <c r="K604" s="9">
        <f>IF(B604="","",IFERROR(AVERAGEIFS($B$2:$B$1001,$A$2:$A$1001,"&gt;="&amp;A604-6,$A$2:$A$1001,"&lt;="&amp;A604),""))</f>
        <v/>
      </c>
    </row>
    <row r="605">
      <c r="A605" s="7" t="n"/>
      <c r="B605" s="8" t="n"/>
      <c r="E605">
        <f>IF(C605="","",C605-Cfg_TDEE-IFERROR(D605,0))</f>
        <v/>
      </c>
      <c r="F605">
        <f>IF(E605="","",IFERROR(F604,0)+(-E605))</f>
        <v/>
      </c>
      <c r="G605" s="9">
        <f>IF(F605="","",F605/Cfg_FatConstant)</f>
        <v/>
      </c>
      <c r="H605" s="8">
        <f>IF(G605="","",Cfg_StartWeight-G605)</f>
        <v/>
      </c>
      <c r="I605" s="8">
        <f>IF(B605="","",Cfg_StartWeight-B605)</f>
        <v/>
      </c>
      <c r="J605" s="10">
        <f>IF(OR(B605="",G605=""),"",I605-G605)</f>
        <v/>
      </c>
      <c r="K605" s="9">
        <f>IF(B605="","",IFERROR(AVERAGEIFS($B$2:$B$1001,$A$2:$A$1001,"&gt;="&amp;A605-6,$A$2:$A$1001,"&lt;="&amp;A605),""))</f>
        <v/>
      </c>
    </row>
    <row r="606">
      <c r="A606" s="7" t="n"/>
      <c r="B606" s="8" t="n"/>
      <c r="E606">
        <f>IF(C606="","",C606-Cfg_TDEE-IFERROR(D606,0))</f>
        <v/>
      </c>
      <c r="F606">
        <f>IF(E606="","",IFERROR(F605,0)+(-E606))</f>
        <v/>
      </c>
      <c r="G606" s="9">
        <f>IF(F606="","",F606/Cfg_FatConstant)</f>
        <v/>
      </c>
      <c r="H606" s="8">
        <f>IF(G606="","",Cfg_StartWeight-G606)</f>
        <v/>
      </c>
      <c r="I606" s="8">
        <f>IF(B606="","",Cfg_StartWeight-B606)</f>
        <v/>
      </c>
      <c r="J606" s="10">
        <f>IF(OR(B606="",G606=""),"",I606-G606)</f>
        <v/>
      </c>
      <c r="K606" s="9">
        <f>IF(B606="","",IFERROR(AVERAGEIFS($B$2:$B$1001,$A$2:$A$1001,"&gt;="&amp;A606-6,$A$2:$A$1001,"&lt;="&amp;A606),""))</f>
        <v/>
      </c>
    </row>
    <row r="607">
      <c r="A607" s="7" t="n"/>
      <c r="B607" s="8" t="n"/>
      <c r="E607">
        <f>IF(C607="","",C607-Cfg_TDEE-IFERROR(D607,0))</f>
        <v/>
      </c>
      <c r="F607">
        <f>IF(E607="","",IFERROR(F606,0)+(-E607))</f>
        <v/>
      </c>
      <c r="G607" s="9">
        <f>IF(F607="","",F607/Cfg_FatConstant)</f>
        <v/>
      </c>
      <c r="H607" s="8">
        <f>IF(G607="","",Cfg_StartWeight-G607)</f>
        <v/>
      </c>
      <c r="I607" s="8">
        <f>IF(B607="","",Cfg_StartWeight-B607)</f>
        <v/>
      </c>
      <c r="J607" s="10">
        <f>IF(OR(B607="",G607=""),"",I607-G607)</f>
        <v/>
      </c>
      <c r="K607" s="9">
        <f>IF(B607="","",IFERROR(AVERAGEIFS($B$2:$B$1001,$A$2:$A$1001,"&gt;="&amp;A607-6,$A$2:$A$1001,"&lt;="&amp;A607),""))</f>
        <v/>
      </c>
    </row>
    <row r="608">
      <c r="A608" s="7" t="n"/>
      <c r="B608" s="8" t="n"/>
      <c r="E608">
        <f>IF(C608="","",C608-Cfg_TDEE-IFERROR(D608,0))</f>
        <v/>
      </c>
      <c r="F608">
        <f>IF(E608="","",IFERROR(F607,0)+(-E608))</f>
        <v/>
      </c>
      <c r="G608" s="9">
        <f>IF(F608="","",F608/Cfg_FatConstant)</f>
        <v/>
      </c>
      <c r="H608" s="8">
        <f>IF(G608="","",Cfg_StartWeight-G608)</f>
        <v/>
      </c>
      <c r="I608" s="8">
        <f>IF(B608="","",Cfg_StartWeight-B608)</f>
        <v/>
      </c>
      <c r="J608" s="10">
        <f>IF(OR(B608="",G608=""),"",I608-G608)</f>
        <v/>
      </c>
      <c r="K608" s="9">
        <f>IF(B608="","",IFERROR(AVERAGEIFS($B$2:$B$1001,$A$2:$A$1001,"&gt;="&amp;A608-6,$A$2:$A$1001,"&lt;="&amp;A608),""))</f>
        <v/>
      </c>
    </row>
    <row r="609">
      <c r="A609" s="7" t="n"/>
      <c r="B609" s="8" t="n"/>
      <c r="E609">
        <f>IF(C609="","",C609-Cfg_TDEE-IFERROR(D609,0))</f>
        <v/>
      </c>
      <c r="F609">
        <f>IF(E609="","",IFERROR(F608,0)+(-E609))</f>
        <v/>
      </c>
      <c r="G609" s="9">
        <f>IF(F609="","",F609/Cfg_FatConstant)</f>
        <v/>
      </c>
      <c r="H609" s="8">
        <f>IF(G609="","",Cfg_StartWeight-G609)</f>
        <v/>
      </c>
      <c r="I609" s="8">
        <f>IF(B609="","",Cfg_StartWeight-B609)</f>
        <v/>
      </c>
      <c r="J609" s="10">
        <f>IF(OR(B609="",G609=""),"",I609-G609)</f>
        <v/>
      </c>
      <c r="K609" s="9">
        <f>IF(B609="","",IFERROR(AVERAGEIFS($B$2:$B$1001,$A$2:$A$1001,"&gt;="&amp;A609-6,$A$2:$A$1001,"&lt;="&amp;A609),""))</f>
        <v/>
      </c>
    </row>
    <row r="610">
      <c r="A610" s="7" t="n"/>
      <c r="B610" s="8" t="n"/>
      <c r="E610">
        <f>IF(C610="","",C610-Cfg_TDEE-IFERROR(D610,0))</f>
        <v/>
      </c>
      <c r="F610">
        <f>IF(E610="","",IFERROR(F609,0)+(-E610))</f>
        <v/>
      </c>
      <c r="G610" s="9">
        <f>IF(F610="","",F610/Cfg_FatConstant)</f>
        <v/>
      </c>
      <c r="H610" s="8">
        <f>IF(G610="","",Cfg_StartWeight-G610)</f>
        <v/>
      </c>
      <c r="I610" s="8">
        <f>IF(B610="","",Cfg_StartWeight-B610)</f>
        <v/>
      </c>
      <c r="J610" s="10">
        <f>IF(OR(B610="",G610=""),"",I610-G610)</f>
        <v/>
      </c>
      <c r="K610" s="9">
        <f>IF(B610="","",IFERROR(AVERAGEIFS($B$2:$B$1001,$A$2:$A$1001,"&gt;="&amp;A610-6,$A$2:$A$1001,"&lt;="&amp;A610),""))</f>
        <v/>
      </c>
    </row>
    <row r="611">
      <c r="A611" s="7" t="n"/>
      <c r="B611" s="8" t="n"/>
      <c r="E611">
        <f>IF(C611="","",C611-Cfg_TDEE-IFERROR(D611,0))</f>
        <v/>
      </c>
      <c r="F611">
        <f>IF(E611="","",IFERROR(F610,0)+(-E611))</f>
        <v/>
      </c>
      <c r="G611" s="9">
        <f>IF(F611="","",F611/Cfg_FatConstant)</f>
        <v/>
      </c>
      <c r="H611" s="8">
        <f>IF(G611="","",Cfg_StartWeight-G611)</f>
        <v/>
      </c>
      <c r="I611" s="8">
        <f>IF(B611="","",Cfg_StartWeight-B611)</f>
        <v/>
      </c>
      <c r="J611" s="10">
        <f>IF(OR(B611="",G611=""),"",I611-G611)</f>
        <v/>
      </c>
      <c r="K611" s="9">
        <f>IF(B611="","",IFERROR(AVERAGEIFS($B$2:$B$1001,$A$2:$A$1001,"&gt;="&amp;A611-6,$A$2:$A$1001,"&lt;="&amp;A611),""))</f>
        <v/>
      </c>
    </row>
    <row r="612">
      <c r="A612" s="7" t="n"/>
      <c r="B612" s="8" t="n"/>
      <c r="E612">
        <f>IF(C612="","",C612-Cfg_TDEE-IFERROR(D612,0))</f>
        <v/>
      </c>
      <c r="F612">
        <f>IF(E612="","",IFERROR(F611,0)+(-E612))</f>
        <v/>
      </c>
      <c r="G612" s="9">
        <f>IF(F612="","",F612/Cfg_FatConstant)</f>
        <v/>
      </c>
      <c r="H612" s="8">
        <f>IF(G612="","",Cfg_StartWeight-G612)</f>
        <v/>
      </c>
      <c r="I612" s="8">
        <f>IF(B612="","",Cfg_StartWeight-B612)</f>
        <v/>
      </c>
      <c r="J612" s="10">
        <f>IF(OR(B612="",G612=""),"",I612-G612)</f>
        <v/>
      </c>
      <c r="K612" s="9">
        <f>IF(B612="","",IFERROR(AVERAGEIFS($B$2:$B$1001,$A$2:$A$1001,"&gt;="&amp;A612-6,$A$2:$A$1001,"&lt;="&amp;A612),""))</f>
        <v/>
      </c>
    </row>
    <row r="613">
      <c r="A613" s="7" t="n"/>
      <c r="B613" s="8" t="n"/>
      <c r="E613">
        <f>IF(C613="","",C613-Cfg_TDEE-IFERROR(D613,0))</f>
        <v/>
      </c>
      <c r="F613">
        <f>IF(E613="","",IFERROR(F612,0)+(-E613))</f>
        <v/>
      </c>
      <c r="G613" s="9">
        <f>IF(F613="","",F613/Cfg_FatConstant)</f>
        <v/>
      </c>
      <c r="H613" s="8">
        <f>IF(G613="","",Cfg_StartWeight-G613)</f>
        <v/>
      </c>
      <c r="I613" s="8">
        <f>IF(B613="","",Cfg_StartWeight-B613)</f>
        <v/>
      </c>
      <c r="J613" s="10">
        <f>IF(OR(B613="",G613=""),"",I613-G613)</f>
        <v/>
      </c>
      <c r="K613" s="9">
        <f>IF(B613="","",IFERROR(AVERAGEIFS($B$2:$B$1001,$A$2:$A$1001,"&gt;="&amp;A613-6,$A$2:$A$1001,"&lt;="&amp;A613),""))</f>
        <v/>
      </c>
    </row>
    <row r="614">
      <c r="A614" s="7" t="n"/>
      <c r="B614" s="8" t="n"/>
      <c r="E614">
        <f>IF(C614="","",C614-Cfg_TDEE-IFERROR(D614,0))</f>
        <v/>
      </c>
      <c r="F614">
        <f>IF(E614="","",IFERROR(F613,0)+(-E614))</f>
        <v/>
      </c>
      <c r="G614" s="9">
        <f>IF(F614="","",F614/Cfg_FatConstant)</f>
        <v/>
      </c>
      <c r="H614" s="8">
        <f>IF(G614="","",Cfg_StartWeight-G614)</f>
        <v/>
      </c>
      <c r="I614" s="8">
        <f>IF(B614="","",Cfg_StartWeight-B614)</f>
        <v/>
      </c>
      <c r="J614" s="10">
        <f>IF(OR(B614="",G614=""),"",I614-G614)</f>
        <v/>
      </c>
      <c r="K614" s="9">
        <f>IF(B614="","",IFERROR(AVERAGEIFS($B$2:$B$1001,$A$2:$A$1001,"&gt;="&amp;A614-6,$A$2:$A$1001,"&lt;="&amp;A614),""))</f>
        <v/>
      </c>
    </row>
    <row r="615">
      <c r="A615" s="7" t="n"/>
      <c r="B615" s="8" t="n"/>
      <c r="E615">
        <f>IF(C615="","",C615-Cfg_TDEE-IFERROR(D615,0))</f>
        <v/>
      </c>
      <c r="F615">
        <f>IF(E615="","",IFERROR(F614,0)+(-E615))</f>
        <v/>
      </c>
      <c r="G615" s="9">
        <f>IF(F615="","",F615/Cfg_FatConstant)</f>
        <v/>
      </c>
      <c r="H615" s="8">
        <f>IF(G615="","",Cfg_StartWeight-G615)</f>
        <v/>
      </c>
      <c r="I615" s="8">
        <f>IF(B615="","",Cfg_StartWeight-B615)</f>
        <v/>
      </c>
      <c r="J615" s="10">
        <f>IF(OR(B615="",G615=""),"",I615-G615)</f>
        <v/>
      </c>
      <c r="K615" s="9">
        <f>IF(B615="","",IFERROR(AVERAGEIFS($B$2:$B$1001,$A$2:$A$1001,"&gt;="&amp;A615-6,$A$2:$A$1001,"&lt;="&amp;A615),""))</f>
        <v/>
      </c>
    </row>
    <row r="616">
      <c r="A616" s="7" t="n"/>
      <c r="B616" s="8" t="n"/>
      <c r="E616">
        <f>IF(C616="","",C616-Cfg_TDEE-IFERROR(D616,0))</f>
        <v/>
      </c>
      <c r="F616">
        <f>IF(E616="","",IFERROR(F615,0)+(-E616))</f>
        <v/>
      </c>
      <c r="G616" s="9">
        <f>IF(F616="","",F616/Cfg_FatConstant)</f>
        <v/>
      </c>
      <c r="H616" s="8">
        <f>IF(G616="","",Cfg_StartWeight-G616)</f>
        <v/>
      </c>
      <c r="I616" s="8">
        <f>IF(B616="","",Cfg_StartWeight-B616)</f>
        <v/>
      </c>
      <c r="J616" s="10">
        <f>IF(OR(B616="",G616=""),"",I616-G616)</f>
        <v/>
      </c>
      <c r="K616" s="9">
        <f>IF(B616="","",IFERROR(AVERAGEIFS($B$2:$B$1001,$A$2:$A$1001,"&gt;="&amp;A616-6,$A$2:$A$1001,"&lt;="&amp;A616),""))</f>
        <v/>
      </c>
    </row>
    <row r="617">
      <c r="A617" s="7" t="n"/>
      <c r="B617" s="8" t="n"/>
      <c r="E617">
        <f>IF(C617="","",C617-Cfg_TDEE-IFERROR(D617,0))</f>
        <v/>
      </c>
      <c r="F617">
        <f>IF(E617="","",IFERROR(F616,0)+(-E617))</f>
        <v/>
      </c>
      <c r="G617" s="9">
        <f>IF(F617="","",F617/Cfg_FatConstant)</f>
        <v/>
      </c>
      <c r="H617" s="8">
        <f>IF(G617="","",Cfg_StartWeight-G617)</f>
        <v/>
      </c>
      <c r="I617" s="8">
        <f>IF(B617="","",Cfg_StartWeight-B617)</f>
        <v/>
      </c>
      <c r="J617" s="10">
        <f>IF(OR(B617="",G617=""),"",I617-G617)</f>
        <v/>
      </c>
      <c r="K617" s="9">
        <f>IF(B617="","",IFERROR(AVERAGEIFS($B$2:$B$1001,$A$2:$A$1001,"&gt;="&amp;A617-6,$A$2:$A$1001,"&lt;="&amp;A617),""))</f>
        <v/>
      </c>
    </row>
    <row r="618">
      <c r="A618" s="7" t="n"/>
      <c r="B618" s="8" t="n"/>
      <c r="E618">
        <f>IF(C618="","",C618-Cfg_TDEE-IFERROR(D618,0))</f>
        <v/>
      </c>
      <c r="F618">
        <f>IF(E618="","",IFERROR(F617,0)+(-E618))</f>
        <v/>
      </c>
      <c r="G618" s="9">
        <f>IF(F618="","",F618/Cfg_FatConstant)</f>
        <v/>
      </c>
      <c r="H618" s="8">
        <f>IF(G618="","",Cfg_StartWeight-G618)</f>
        <v/>
      </c>
      <c r="I618" s="8">
        <f>IF(B618="","",Cfg_StartWeight-B618)</f>
        <v/>
      </c>
      <c r="J618" s="10">
        <f>IF(OR(B618="",G618=""),"",I618-G618)</f>
        <v/>
      </c>
      <c r="K618" s="9">
        <f>IF(B618="","",IFERROR(AVERAGEIFS($B$2:$B$1001,$A$2:$A$1001,"&gt;="&amp;A618-6,$A$2:$A$1001,"&lt;="&amp;A618),""))</f>
        <v/>
      </c>
    </row>
    <row r="619">
      <c r="A619" s="7" t="n"/>
      <c r="B619" s="8" t="n"/>
      <c r="E619">
        <f>IF(C619="","",C619-Cfg_TDEE-IFERROR(D619,0))</f>
        <v/>
      </c>
      <c r="F619">
        <f>IF(E619="","",IFERROR(F618,0)+(-E619))</f>
        <v/>
      </c>
      <c r="G619" s="9">
        <f>IF(F619="","",F619/Cfg_FatConstant)</f>
        <v/>
      </c>
      <c r="H619" s="8">
        <f>IF(G619="","",Cfg_StartWeight-G619)</f>
        <v/>
      </c>
      <c r="I619" s="8">
        <f>IF(B619="","",Cfg_StartWeight-B619)</f>
        <v/>
      </c>
      <c r="J619" s="10">
        <f>IF(OR(B619="",G619=""),"",I619-G619)</f>
        <v/>
      </c>
      <c r="K619" s="9">
        <f>IF(B619="","",IFERROR(AVERAGEIFS($B$2:$B$1001,$A$2:$A$1001,"&gt;="&amp;A619-6,$A$2:$A$1001,"&lt;="&amp;A619),""))</f>
        <v/>
      </c>
    </row>
    <row r="620">
      <c r="A620" s="7" t="n"/>
      <c r="B620" s="8" t="n"/>
      <c r="E620">
        <f>IF(C620="","",C620-Cfg_TDEE-IFERROR(D620,0))</f>
        <v/>
      </c>
      <c r="F620">
        <f>IF(E620="","",IFERROR(F619,0)+(-E620))</f>
        <v/>
      </c>
      <c r="G620" s="9">
        <f>IF(F620="","",F620/Cfg_FatConstant)</f>
        <v/>
      </c>
      <c r="H620" s="8">
        <f>IF(G620="","",Cfg_StartWeight-G620)</f>
        <v/>
      </c>
      <c r="I620" s="8">
        <f>IF(B620="","",Cfg_StartWeight-B620)</f>
        <v/>
      </c>
      <c r="J620" s="10">
        <f>IF(OR(B620="",G620=""),"",I620-G620)</f>
        <v/>
      </c>
      <c r="K620" s="9">
        <f>IF(B620="","",IFERROR(AVERAGEIFS($B$2:$B$1001,$A$2:$A$1001,"&gt;="&amp;A620-6,$A$2:$A$1001,"&lt;="&amp;A620),""))</f>
        <v/>
      </c>
    </row>
    <row r="621">
      <c r="A621" s="7" t="n"/>
      <c r="B621" s="8" t="n"/>
      <c r="E621">
        <f>IF(C621="","",C621-Cfg_TDEE-IFERROR(D621,0))</f>
        <v/>
      </c>
      <c r="F621">
        <f>IF(E621="","",IFERROR(F620,0)+(-E621))</f>
        <v/>
      </c>
      <c r="G621" s="9">
        <f>IF(F621="","",F621/Cfg_FatConstant)</f>
        <v/>
      </c>
      <c r="H621" s="8">
        <f>IF(G621="","",Cfg_StartWeight-G621)</f>
        <v/>
      </c>
      <c r="I621" s="8">
        <f>IF(B621="","",Cfg_StartWeight-B621)</f>
        <v/>
      </c>
      <c r="J621" s="10">
        <f>IF(OR(B621="",G621=""),"",I621-G621)</f>
        <v/>
      </c>
      <c r="K621" s="9">
        <f>IF(B621="","",IFERROR(AVERAGEIFS($B$2:$B$1001,$A$2:$A$1001,"&gt;="&amp;A621-6,$A$2:$A$1001,"&lt;="&amp;A621),""))</f>
        <v/>
      </c>
    </row>
    <row r="622">
      <c r="A622" s="7" t="n"/>
      <c r="B622" s="8" t="n"/>
      <c r="E622">
        <f>IF(C622="","",C622-Cfg_TDEE-IFERROR(D622,0))</f>
        <v/>
      </c>
      <c r="F622">
        <f>IF(E622="","",IFERROR(F621,0)+(-E622))</f>
        <v/>
      </c>
      <c r="G622" s="9">
        <f>IF(F622="","",F622/Cfg_FatConstant)</f>
        <v/>
      </c>
      <c r="H622" s="8">
        <f>IF(G622="","",Cfg_StartWeight-G622)</f>
        <v/>
      </c>
      <c r="I622" s="8">
        <f>IF(B622="","",Cfg_StartWeight-B622)</f>
        <v/>
      </c>
      <c r="J622" s="10">
        <f>IF(OR(B622="",G622=""),"",I622-G622)</f>
        <v/>
      </c>
      <c r="K622" s="9">
        <f>IF(B622="","",IFERROR(AVERAGEIFS($B$2:$B$1001,$A$2:$A$1001,"&gt;="&amp;A622-6,$A$2:$A$1001,"&lt;="&amp;A622),""))</f>
        <v/>
      </c>
    </row>
    <row r="623">
      <c r="A623" s="7" t="n"/>
      <c r="B623" s="8" t="n"/>
      <c r="E623">
        <f>IF(C623="","",C623-Cfg_TDEE-IFERROR(D623,0))</f>
        <v/>
      </c>
      <c r="F623">
        <f>IF(E623="","",IFERROR(F622,0)+(-E623))</f>
        <v/>
      </c>
      <c r="G623" s="9">
        <f>IF(F623="","",F623/Cfg_FatConstant)</f>
        <v/>
      </c>
      <c r="H623" s="8">
        <f>IF(G623="","",Cfg_StartWeight-G623)</f>
        <v/>
      </c>
      <c r="I623" s="8">
        <f>IF(B623="","",Cfg_StartWeight-B623)</f>
        <v/>
      </c>
      <c r="J623" s="10">
        <f>IF(OR(B623="",G623=""),"",I623-G623)</f>
        <v/>
      </c>
      <c r="K623" s="9">
        <f>IF(B623="","",IFERROR(AVERAGEIFS($B$2:$B$1001,$A$2:$A$1001,"&gt;="&amp;A623-6,$A$2:$A$1001,"&lt;="&amp;A623),""))</f>
        <v/>
      </c>
    </row>
    <row r="624">
      <c r="A624" s="7" t="n"/>
      <c r="B624" s="8" t="n"/>
      <c r="E624">
        <f>IF(C624="","",C624-Cfg_TDEE-IFERROR(D624,0))</f>
        <v/>
      </c>
      <c r="F624">
        <f>IF(E624="","",IFERROR(F623,0)+(-E624))</f>
        <v/>
      </c>
      <c r="G624" s="9">
        <f>IF(F624="","",F624/Cfg_FatConstant)</f>
        <v/>
      </c>
      <c r="H624" s="8">
        <f>IF(G624="","",Cfg_StartWeight-G624)</f>
        <v/>
      </c>
      <c r="I624" s="8">
        <f>IF(B624="","",Cfg_StartWeight-B624)</f>
        <v/>
      </c>
      <c r="J624" s="10">
        <f>IF(OR(B624="",G624=""),"",I624-G624)</f>
        <v/>
      </c>
      <c r="K624" s="9">
        <f>IF(B624="","",IFERROR(AVERAGEIFS($B$2:$B$1001,$A$2:$A$1001,"&gt;="&amp;A624-6,$A$2:$A$1001,"&lt;="&amp;A624),""))</f>
        <v/>
      </c>
    </row>
    <row r="625">
      <c r="A625" s="7" t="n"/>
      <c r="B625" s="8" t="n"/>
      <c r="E625">
        <f>IF(C625="","",C625-Cfg_TDEE-IFERROR(D625,0))</f>
        <v/>
      </c>
      <c r="F625">
        <f>IF(E625="","",IFERROR(F624,0)+(-E625))</f>
        <v/>
      </c>
      <c r="G625" s="9">
        <f>IF(F625="","",F625/Cfg_FatConstant)</f>
        <v/>
      </c>
      <c r="H625" s="8">
        <f>IF(G625="","",Cfg_StartWeight-G625)</f>
        <v/>
      </c>
      <c r="I625" s="8">
        <f>IF(B625="","",Cfg_StartWeight-B625)</f>
        <v/>
      </c>
      <c r="J625" s="10">
        <f>IF(OR(B625="",G625=""),"",I625-G625)</f>
        <v/>
      </c>
      <c r="K625" s="9">
        <f>IF(B625="","",IFERROR(AVERAGEIFS($B$2:$B$1001,$A$2:$A$1001,"&gt;="&amp;A625-6,$A$2:$A$1001,"&lt;="&amp;A625),""))</f>
        <v/>
      </c>
    </row>
    <row r="626">
      <c r="A626" s="7" t="n"/>
      <c r="B626" s="8" t="n"/>
      <c r="E626">
        <f>IF(C626="","",C626-Cfg_TDEE-IFERROR(D626,0))</f>
        <v/>
      </c>
      <c r="F626">
        <f>IF(E626="","",IFERROR(F625,0)+(-E626))</f>
        <v/>
      </c>
      <c r="G626" s="9">
        <f>IF(F626="","",F626/Cfg_FatConstant)</f>
        <v/>
      </c>
      <c r="H626" s="8">
        <f>IF(G626="","",Cfg_StartWeight-G626)</f>
        <v/>
      </c>
      <c r="I626" s="8">
        <f>IF(B626="","",Cfg_StartWeight-B626)</f>
        <v/>
      </c>
      <c r="J626" s="10">
        <f>IF(OR(B626="",G626=""),"",I626-G626)</f>
        <v/>
      </c>
      <c r="K626" s="9">
        <f>IF(B626="","",IFERROR(AVERAGEIFS($B$2:$B$1001,$A$2:$A$1001,"&gt;="&amp;A626-6,$A$2:$A$1001,"&lt;="&amp;A626),""))</f>
        <v/>
      </c>
    </row>
    <row r="627">
      <c r="A627" s="7" t="n"/>
      <c r="B627" s="8" t="n"/>
      <c r="E627">
        <f>IF(C627="","",C627-Cfg_TDEE-IFERROR(D627,0))</f>
        <v/>
      </c>
      <c r="F627">
        <f>IF(E627="","",IFERROR(F626,0)+(-E627))</f>
        <v/>
      </c>
      <c r="G627" s="9">
        <f>IF(F627="","",F627/Cfg_FatConstant)</f>
        <v/>
      </c>
      <c r="H627" s="8">
        <f>IF(G627="","",Cfg_StartWeight-G627)</f>
        <v/>
      </c>
      <c r="I627" s="8">
        <f>IF(B627="","",Cfg_StartWeight-B627)</f>
        <v/>
      </c>
      <c r="J627" s="10">
        <f>IF(OR(B627="",G627=""),"",I627-G627)</f>
        <v/>
      </c>
      <c r="K627" s="9">
        <f>IF(B627="","",IFERROR(AVERAGEIFS($B$2:$B$1001,$A$2:$A$1001,"&gt;="&amp;A627-6,$A$2:$A$1001,"&lt;="&amp;A627),""))</f>
        <v/>
      </c>
    </row>
    <row r="628">
      <c r="A628" s="7" t="n"/>
      <c r="B628" s="8" t="n"/>
      <c r="E628">
        <f>IF(C628="","",C628-Cfg_TDEE-IFERROR(D628,0))</f>
        <v/>
      </c>
      <c r="F628">
        <f>IF(E628="","",IFERROR(F627,0)+(-E628))</f>
        <v/>
      </c>
      <c r="G628" s="9">
        <f>IF(F628="","",F628/Cfg_FatConstant)</f>
        <v/>
      </c>
      <c r="H628" s="8">
        <f>IF(G628="","",Cfg_StartWeight-G628)</f>
        <v/>
      </c>
      <c r="I628" s="8">
        <f>IF(B628="","",Cfg_StartWeight-B628)</f>
        <v/>
      </c>
      <c r="J628" s="10">
        <f>IF(OR(B628="",G628=""),"",I628-G628)</f>
        <v/>
      </c>
      <c r="K628" s="9">
        <f>IF(B628="","",IFERROR(AVERAGEIFS($B$2:$B$1001,$A$2:$A$1001,"&gt;="&amp;A628-6,$A$2:$A$1001,"&lt;="&amp;A628),""))</f>
        <v/>
      </c>
    </row>
    <row r="629">
      <c r="A629" s="7" t="n"/>
      <c r="B629" s="8" t="n"/>
      <c r="E629">
        <f>IF(C629="","",C629-Cfg_TDEE-IFERROR(D629,0))</f>
        <v/>
      </c>
      <c r="F629">
        <f>IF(E629="","",IFERROR(F628,0)+(-E629))</f>
        <v/>
      </c>
      <c r="G629" s="9">
        <f>IF(F629="","",F629/Cfg_FatConstant)</f>
        <v/>
      </c>
      <c r="H629" s="8">
        <f>IF(G629="","",Cfg_StartWeight-G629)</f>
        <v/>
      </c>
      <c r="I629" s="8">
        <f>IF(B629="","",Cfg_StartWeight-B629)</f>
        <v/>
      </c>
      <c r="J629" s="10">
        <f>IF(OR(B629="",G629=""),"",I629-G629)</f>
        <v/>
      </c>
      <c r="K629" s="9">
        <f>IF(B629="","",IFERROR(AVERAGEIFS($B$2:$B$1001,$A$2:$A$1001,"&gt;="&amp;A629-6,$A$2:$A$1001,"&lt;="&amp;A629),""))</f>
        <v/>
      </c>
    </row>
    <row r="630">
      <c r="A630" s="7" t="n"/>
      <c r="B630" s="8" t="n"/>
      <c r="E630">
        <f>IF(C630="","",C630-Cfg_TDEE-IFERROR(D630,0))</f>
        <v/>
      </c>
      <c r="F630">
        <f>IF(E630="","",IFERROR(F629,0)+(-E630))</f>
        <v/>
      </c>
      <c r="G630" s="9">
        <f>IF(F630="","",F630/Cfg_FatConstant)</f>
        <v/>
      </c>
      <c r="H630" s="8">
        <f>IF(G630="","",Cfg_StartWeight-G630)</f>
        <v/>
      </c>
      <c r="I630" s="8">
        <f>IF(B630="","",Cfg_StartWeight-B630)</f>
        <v/>
      </c>
      <c r="J630" s="10">
        <f>IF(OR(B630="",G630=""),"",I630-G630)</f>
        <v/>
      </c>
      <c r="K630" s="9">
        <f>IF(B630="","",IFERROR(AVERAGEIFS($B$2:$B$1001,$A$2:$A$1001,"&gt;="&amp;A630-6,$A$2:$A$1001,"&lt;="&amp;A630),""))</f>
        <v/>
      </c>
    </row>
    <row r="631">
      <c r="A631" s="7" t="n"/>
      <c r="B631" s="8" t="n"/>
      <c r="E631">
        <f>IF(C631="","",C631-Cfg_TDEE-IFERROR(D631,0))</f>
        <v/>
      </c>
      <c r="F631">
        <f>IF(E631="","",IFERROR(F630,0)+(-E631))</f>
        <v/>
      </c>
      <c r="G631" s="9">
        <f>IF(F631="","",F631/Cfg_FatConstant)</f>
        <v/>
      </c>
      <c r="H631" s="8">
        <f>IF(G631="","",Cfg_StartWeight-G631)</f>
        <v/>
      </c>
      <c r="I631" s="8">
        <f>IF(B631="","",Cfg_StartWeight-B631)</f>
        <v/>
      </c>
      <c r="J631" s="10">
        <f>IF(OR(B631="",G631=""),"",I631-G631)</f>
        <v/>
      </c>
      <c r="K631" s="9">
        <f>IF(B631="","",IFERROR(AVERAGEIFS($B$2:$B$1001,$A$2:$A$1001,"&gt;="&amp;A631-6,$A$2:$A$1001,"&lt;="&amp;A631),""))</f>
        <v/>
      </c>
    </row>
    <row r="632">
      <c r="A632" s="7" t="n"/>
      <c r="B632" s="8" t="n"/>
      <c r="E632">
        <f>IF(C632="","",C632-Cfg_TDEE-IFERROR(D632,0))</f>
        <v/>
      </c>
      <c r="F632">
        <f>IF(E632="","",IFERROR(F631,0)+(-E632))</f>
        <v/>
      </c>
      <c r="G632" s="9">
        <f>IF(F632="","",F632/Cfg_FatConstant)</f>
        <v/>
      </c>
      <c r="H632" s="8">
        <f>IF(G632="","",Cfg_StartWeight-G632)</f>
        <v/>
      </c>
      <c r="I632" s="8">
        <f>IF(B632="","",Cfg_StartWeight-B632)</f>
        <v/>
      </c>
      <c r="J632" s="10">
        <f>IF(OR(B632="",G632=""),"",I632-G632)</f>
        <v/>
      </c>
      <c r="K632" s="9">
        <f>IF(B632="","",IFERROR(AVERAGEIFS($B$2:$B$1001,$A$2:$A$1001,"&gt;="&amp;A632-6,$A$2:$A$1001,"&lt;="&amp;A632),""))</f>
        <v/>
      </c>
    </row>
    <row r="633">
      <c r="A633" s="7" t="n"/>
      <c r="B633" s="8" t="n"/>
      <c r="E633">
        <f>IF(C633="","",C633-Cfg_TDEE-IFERROR(D633,0))</f>
        <v/>
      </c>
      <c r="F633">
        <f>IF(E633="","",IFERROR(F632,0)+(-E633))</f>
        <v/>
      </c>
      <c r="G633" s="9">
        <f>IF(F633="","",F633/Cfg_FatConstant)</f>
        <v/>
      </c>
      <c r="H633" s="8">
        <f>IF(G633="","",Cfg_StartWeight-G633)</f>
        <v/>
      </c>
      <c r="I633" s="8">
        <f>IF(B633="","",Cfg_StartWeight-B633)</f>
        <v/>
      </c>
      <c r="J633" s="10">
        <f>IF(OR(B633="",G633=""),"",I633-G633)</f>
        <v/>
      </c>
      <c r="K633" s="9">
        <f>IF(B633="","",IFERROR(AVERAGEIFS($B$2:$B$1001,$A$2:$A$1001,"&gt;="&amp;A633-6,$A$2:$A$1001,"&lt;="&amp;A633),""))</f>
        <v/>
      </c>
    </row>
    <row r="634">
      <c r="A634" s="7" t="n"/>
      <c r="B634" s="8" t="n"/>
      <c r="E634">
        <f>IF(C634="","",C634-Cfg_TDEE-IFERROR(D634,0))</f>
        <v/>
      </c>
      <c r="F634">
        <f>IF(E634="","",IFERROR(F633,0)+(-E634))</f>
        <v/>
      </c>
      <c r="G634" s="9">
        <f>IF(F634="","",F634/Cfg_FatConstant)</f>
        <v/>
      </c>
      <c r="H634" s="8">
        <f>IF(G634="","",Cfg_StartWeight-G634)</f>
        <v/>
      </c>
      <c r="I634" s="8">
        <f>IF(B634="","",Cfg_StartWeight-B634)</f>
        <v/>
      </c>
      <c r="J634" s="10">
        <f>IF(OR(B634="",G634=""),"",I634-G634)</f>
        <v/>
      </c>
      <c r="K634" s="9">
        <f>IF(B634="","",IFERROR(AVERAGEIFS($B$2:$B$1001,$A$2:$A$1001,"&gt;="&amp;A634-6,$A$2:$A$1001,"&lt;="&amp;A634),""))</f>
        <v/>
      </c>
    </row>
    <row r="635">
      <c r="A635" s="7" t="n"/>
      <c r="B635" s="8" t="n"/>
      <c r="E635">
        <f>IF(C635="","",C635-Cfg_TDEE-IFERROR(D635,0))</f>
        <v/>
      </c>
      <c r="F635">
        <f>IF(E635="","",IFERROR(F634,0)+(-E635))</f>
        <v/>
      </c>
      <c r="G635" s="9">
        <f>IF(F635="","",F635/Cfg_FatConstant)</f>
        <v/>
      </c>
      <c r="H635" s="8">
        <f>IF(G635="","",Cfg_StartWeight-G635)</f>
        <v/>
      </c>
      <c r="I635" s="8">
        <f>IF(B635="","",Cfg_StartWeight-B635)</f>
        <v/>
      </c>
      <c r="J635" s="10">
        <f>IF(OR(B635="",G635=""),"",I635-G635)</f>
        <v/>
      </c>
      <c r="K635" s="9">
        <f>IF(B635="","",IFERROR(AVERAGEIFS($B$2:$B$1001,$A$2:$A$1001,"&gt;="&amp;A635-6,$A$2:$A$1001,"&lt;="&amp;A635),""))</f>
        <v/>
      </c>
    </row>
    <row r="636">
      <c r="A636" s="7" t="n"/>
      <c r="B636" s="8" t="n"/>
      <c r="E636">
        <f>IF(C636="","",C636-Cfg_TDEE-IFERROR(D636,0))</f>
        <v/>
      </c>
      <c r="F636">
        <f>IF(E636="","",IFERROR(F635,0)+(-E636))</f>
        <v/>
      </c>
      <c r="G636" s="9">
        <f>IF(F636="","",F636/Cfg_FatConstant)</f>
        <v/>
      </c>
      <c r="H636" s="8">
        <f>IF(G636="","",Cfg_StartWeight-G636)</f>
        <v/>
      </c>
      <c r="I636" s="8">
        <f>IF(B636="","",Cfg_StartWeight-B636)</f>
        <v/>
      </c>
      <c r="J636" s="10">
        <f>IF(OR(B636="",G636=""),"",I636-G636)</f>
        <v/>
      </c>
      <c r="K636" s="9">
        <f>IF(B636="","",IFERROR(AVERAGEIFS($B$2:$B$1001,$A$2:$A$1001,"&gt;="&amp;A636-6,$A$2:$A$1001,"&lt;="&amp;A636),""))</f>
        <v/>
      </c>
    </row>
    <row r="637">
      <c r="A637" s="7" t="n"/>
      <c r="B637" s="8" t="n"/>
      <c r="E637">
        <f>IF(C637="","",C637-Cfg_TDEE-IFERROR(D637,0))</f>
        <v/>
      </c>
      <c r="F637">
        <f>IF(E637="","",IFERROR(F636,0)+(-E637))</f>
        <v/>
      </c>
      <c r="G637" s="9">
        <f>IF(F637="","",F637/Cfg_FatConstant)</f>
        <v/>
      </c>
      <c r="H637" s="8">
        <f>IF(G637="","",Cfg_StartWeight-G637)</f>
        <v/>
      </c>
      <c r="I637" s="8">
        <f>IF(B637="","",Cfg_StartWeight-B637)</f>
        <v/>
      </c>
      <c r="J637" s="10">
        <f>IF(OR(B637="",G637=""),"",I637-G637)</f>
        <v/>
      </c>
      <c r="K637" s="9">
        <f>IF(B637="","",IFERROR(AVERAGEIFS($B$2:$B$1001,$A$2:$A$1001,"&gt;="&amp;A637-6,$A$2:$A$1001,"&lt;="&amp;A637),""))</f>
        <v/>
      </c>
    </row>
    <row r="638">
      <c r="A638" s="7" t="n"/>
      <c r="B638" s="8" t="n"/>
      <c r="E638">
        <f>IF(C638="","",C638-Cfg_TDEE-IFERROR(D638,0))</f>
        <v/>
      </c>
      <c r="F638">
        <f>IF(E638="","",IFERROR(F637,0)+(-E638))</f>
        <v/>
      </c>
      <c r="G638" s="9">
        <f>IF(F638="","",F638/Cfg_FatConstant)</f>
        <v/>
      </c>
      <c r="H638" s="8">
        <f>IF(G638="","",Cfg_StartWeight-G638)</f>
        <v/>
      </c>
      <c r="I638" s="8">
        <f>IF(B638="","",Cfg_StartWeight-B638)</f>
        <v/>
      </c>
      <c r="J638" s="10">
        <f>IF(OR(B638="",G638=""),"",I638-G638)</f>
        <v/>
      </c>
      <c r="K638" s="9">
        <f>IF(B638="","",IFERROR(AVERAGEIFS($B$2:$B$1001,$A$2:$A$1001,"&gt;="&amp;A638-6,$A$2:$A$1001,"&lt;="&amp;A638),""))</f>
        <v/>
      </c>
    </row>
    <row r="639">
      <c r="A639" s="7" t="n"/>
      <c r="B639" s="8" t="n"/>
      <c r="E639">
        <f>IF(C639="","",C639-Cfg_TDEE-IFERROR(D639,0))</f>
        <v/>
      </c>
      <c r="F639">
        <f>IF(E639="","",IFERROR(F638,0)+(-E639))</f>
        <v/>
      </c>
      <c r="G639" s="9">
        <f>IF(F639="","",F639/Cfg_FatConstant)</f>
        <v/>
      </c>
      <c r="H639" s="8">
        <f>IF(G639="","",Cfg_StartWeight-G639)</f>
        <v/>
      </c>
      <c r="I639" s="8">
        <f>IF(B639="","",Cfg_StartWeight-B639)</f>
        <v/>
      </c>
      <c r="J639" s="10">
        <f>IF(OR(B639="",G639=""),"",I639-G639)</f>
        <v/>
      </c>
      <c r="K639" s="9">
        <f>IF(B639="","",IFERROR(AVERAGEIFS($B$2:$B$1001,$A$2:$A$1001,"&gt;="&amp;A639-6,$A$2:$A$1001,"&lt;="&amp;A639),""))</f>
        <v/>
      </c>
    </row>
    <row r="640">
      <c r="A640" s="7" t="n"/>
      <c r="B640" s="8" t="n"/>
      <c r="E640">
        <f>IF(C640="","",C640-Cfg_TDEE-IFERROR(D640,0))</f>
        <v/>
      </c>
      <c r="F640">
        <f>IF(E640="","",IFERROR(F639,0)+(-E640))</f>
        <v/>
      </c>
      <c r="G640" s="9">
        <f>IF(F640="","",F640/Cfg_FatConstant)</f>
        <v/>
      </c>
      <c r="H640" s="8">
        <f>IF(G640="","",Cfg_StartWeight-G640)</f>
        <v/>
      </c>
      <c r="I640" s="8">
        <f>IF(B640="","",Cfg_StartWeight-B640)</f>
        <v/>
      </c>
      <c r="J640" s="10">
        <f>IF(OR(B640="",G640=""),"",I640-G640)</f>
        <v/>
      </c>
      <c r="K640" s="9">
        <f>IF(B640="","",IFERROR(AVERAGEIFS($B$2:$B$1001,$A$2:$A$1001,"&gt;="&amp;A640-6,$A$2:$A$1001,"&lt;="&amp;A640),""))</f>
        <v/>
      </c>
    </row>
    <row r="641">
      <c r="A641" s="7" t="n"/>
      <c r="B641" s="8" t="n"/>
      <c r="E641">
        <f>IF(C641="","",C641-Cfg_TDEE-IFERROR(D641,0))</f>
        <v/>
      </c>
      <c r="F641">
        <f>IF(E641="","",IFERROR(F640,0)+(-E641))</f>
        <v/>
      </c>
      <c r="G641" s="9">
        <f>IF(F641="","",F641/Cfg_FatConstant)</f>
        <v/>
      </c>
      <c r="H641" s="8">
        <f>IF(G641="","",Cfg_StartWeight-G641)</f>
        <v/>
      </c>
      <c r="I641" s="8">
        <f>IF(B641="","",Cfg_StartWeight-B641)</f>
        <v/>
      </c>
      <c r="J641" s="10">
        <f>IF(OR(B641="",G641=""),"",I641-G641)</f>
        <v/>
      </c>
      <c r="K641" s="9">
        <f>IF(B641="","",IFERROR(AVERAGEIFS($B$2:$B$1001,$A$2:$A$1001,"&gt;="&amp;A641-6,$A$2:$A$1001,"&lt;="&amp;A641),""))</f>
        <v/>
      </c>
    </row>
    <row r="642">
      <c r="A642" s="7" t="n"/>
      <c r="B642" s="8" t="n"/>
      <c r="E642">
        <f>IF(C642="","",C642-Cfg_TDEE-IFERROR(D642,0))</f>
        <v/>
      </c>
      <c r="F642">
        <f>IF(E642="","",IFERROR(F641,0)+(-E642))</f>
        <v/>
      </c>
      <c r="G642" s="9">
        <f>IF(F642="","",F642/Cfg_FatConstant)</f>
        <v/>
      </c>
      <c r="H642" s="8">
        <f>IF(G642="","",Cfg_StartWeight-G642)</f>
        <v/>
      </c>
      <c r="I642" s="8">
        <f>IF(B642="","",Cfg_StartWeight-B642)</f>
        <v/>
      </c>
      <c r="J642" s="10">
        <f>IF(OR(B642="",G642=""),"",I642-G642)</f>
        <v/>
      </c>
      <c r="K642" s="9">
        <f>IF(B642="","",IFERROR(AVERAGEIFS($B$2:$B$1001,$A$2:$A$1001,"&gt;="&amp;A642-6,$A$2:$A$1001,"&lt;="&amp;A642),""))</f>
        <v/>
      </c>
    </row>
    <row r="643">
      <c r="A643" s="7" t="n"/>
      <c r="B643" s="8" t="n"/>
      <c r="E643">
        <f>IF(C643="","",C643-Cfg_TDEE-IFERROR(D643,0))</f>
        <v/>
      </c>
      <c r="F643">
        <f>IF(E643="","",IFERROR(F642,0)+(-E643))</f>
        <v/>
      </c>
      <c r="G643" s="9">
        <f>IF(F643="","",F643/Cfg_FatConstant)</f>
        <v/>
      </c>
      <c r="H643" s="8">
        <f>IF(G643="","",Cfg_StartWeight-G643)</f>
        <v/>
      </c>
      <c r="I643" s="8">
        <f>IF(B643="","",Cfg_StartWeight-B643)</f>
        <v/>
      </c>
      <c r="J643" s="10">
        <f>IF(OR(B643="",G643=""),"",I643-G643)</f>
        <v/>
      </c>
      <c r="K643" s="9">
        <f>IF(B643="","",IFERROR(AVERAGEIFS($B$2:$B$1001,$A$2:$A$1001,"&gt;="&amp;A643-6,$A$2:$A$1001,"&lt;="&amp;A643),""))</f>
        <v/>
      </c>
    </row>
    <row r="644">
      <c r="A644" s="7" t="n"/>
      <c r="B644" s="8" t="n"/>
      <c r="E644">
        <f>IF(C644="","",C644-Cfg_TDEE-IFERROR(D644,0))</f>
        <v/>
      </c>
      <c r="F644">
        <f>IF(E644="","",IFERROR(F643,0)+(-E644))</f>
        <v/>
      </c>
      <c r="G644" s="9">
        <f>IF(F644="","",F644/Cfg_FatConstant)</f>
        <v/>
      </c>
      <c r="H644" s="8">
        <f>IF(G644="","",Cfg_StartWeight-G644)</f>
        <v/>
      </c>
      <c r="I644" s="8">
        <f>IF(B644="","",Cfg_StartWeight-B644)</f>
        <v/>
      </c>
      <c r="J644" s="10">
        <f>IF(OR(B644="",G644=""),"",I644-G644)</f>
        <v/>
      </c>
      <c r="K644" s="9">
        <f>IF(B644="","",IFERROR(AVERAGEIFS($B$2:$B$1001,$A$2:$A$1001,"&gt;="&amp;A644-6,$A$2:$A$1001,"&lt;="&amp;A644),""))</f>
        <v/>
      </c>
    </row>
    <row r="645">
      <c r="A645" s="7" t="n"/>
      <c r="B645" s="8" t="n"/>
      <c r="E645">
        <f>IF(C645="","",C645-Cfg_TDEE-IFERROR(D645,0))</f>
        <v/>
      </c>
      <c r="F645">
        <f>IF(E645="","",IFERROR(F644,0)+(-E645))</f>
        <v/>
      </c>
      <c r="G645" s="9">
        <f>IF(F645="","",F645/Cfg_FatConstant)</f>
        <v/>
      </c>
      <c r="H645" s="8">
        <f>IF(G645="","",Cfg_StartWeight-G645)</f>
        <v/>
      </c>
      <c r="I645" s="8">
        <f>IF(B645="","",Cfg_StartWeight-B645)</f>
        <v/>
      </c>
      <c r="J645" s="10">
        <f>IF(OR(B645="",G645=""),"",I645-G645)</f>
        <v/>
      </c>
      <c r="K645" s="9">
        <f>IF(B645="","",IFERROR(AVERAGEIFS($B$2:$B$1001,$A$2:$A$1001,"&gt;="&amp;A645-6,$A$2:$A$1001,"&lt;="&amp;A645),""))</f>
        <v/>
      </c>
    </row>
    <row r="646">
      <c r="A646" s="7" t="n"/>
      <c r="B646" s="8" t="n"/>
      <c r="E646">
        <f>IF(C646="","",C646-Cfg_TDEE-IFERROR(D646,0))</f>
        <v/>
      </c>
      <c r="F646">
        <f>IF(E646="","",IFERROR(F645,0)+(-E646))</f>
        <v/>
      </c>
      <c r="G646" s="9">
        <f>IF(F646="","",F646/Cfg_FatConstant)</f>
        <v/>
      </c>
      <c r="H646" s="8">
        <f>IF(G646="","",Cfg_StartWeight-G646)</f>
        <v/>
      </c>
      <c r="I646" s="8">
        <f>IF(B646="","",Cfg_StartWeight-B646)</f>
        <v/>
      </c>
      <c r="J646" s="10">
        <f>IF(OR(B646="",G646=""),"",I646-G646)</f>
        <v/>
      </c>
      <c r="K646" s="9">
        <f>IF(B646="","",IFERROR(AVERAGEIFS($B$2:$B$1001,$A$2:$A$1001,"&gt;="&amp;A646-6,$A$2:$A$1001,"&lt;="&amp;A646),""))</f>
        <v/>
      </c>
    </row>
    <row r="647">
      <c r="A647" s="7" t="n"/>
      <c r="B647" s="8" t="n"/>
      <c r="E647">
        <f>IF(C647="","",C647-Cfg_TDEE-IFERROR(D647,0))</f>
        <v/>
      </c>
      <c r="F647">
        <f>IF(E647="","",IFERROR(F646,0)+(-E647))</f>
        <v/>
      </c>
      <c r="G647" s="9">
        <f>IF(F647="","",F647/Cfg_FatConstant)</f>
        <v/>
      </c>
      <c r="H647" s="8">
        <f>IF(G647="","",Cfg_StartWeight-G647)</f>
        <v/>
      </c>
      <c r="I647" s="8">
        <f>IF(B647="","",Cfg_StartWeight-B647)</f>
        <v/>
      </c>
      <c r="J647" s="10">
        <f>IF(OR(B647="",G647=""),"",I647-G647)</f>
        <v/>
      </c>
      <c r="K647" s="9">
        <f>IF(B647="","",IFERROR(AVERAGEIFS($B$2:$B$1001,$A$2:$A$1001,"&gt;="&amp;A647-6,$A$2:$A$1001,"&lt;="&amp;A647),""))</f>
        <v/>
      </c>
    </row>
    <row r="648">
      <c r="A648" s="7" t="n"/>
      <c r="B648" s="8" t="n"/>
      <c r="E648">
        <f>IF(C648="","",C648-Cfg_TDEE-IFERROR(D648,0))</f>
        <v/>
      </c>
      <c r="F648">
        <f>IF(E648="","",IFERROR(F647,0)+(-E648))</f>
        <v/>
      </c>
      <c r="G648" s="9">
        <f>IF(F648="","",F648/Cfg_FatConstant)</f>
        <v/>
      </c>
      <c r="H648" s="8">
        <f>IF(G648="","",Cfg_StartWeight-G648)</f>
        <v/>
      </c>
      <c r="I648" s="8">
        <f>IF(B648="","",Cfg_StartWeight-B648)</f>
        <v/>
      </c>
      <c r="J648" s="10">
        <f>IF(OR(B648="",G648=""),"",I648-G648)</f>
        <v/>
      </c>
      <c r="K648" s="9">
        <f>IF(B648="","",IFERROR(AVERAGEIFS($B$2:$B$1001,$A$2:$A$1001,"&gt;="&amp;A648-6,$A$2:$A$1001,"&lt;="&amp;A648),""))</f>
        <v/>
      </c>
    </row>
    <row r="649">
      <c r="A649" s="7" t="n"/>
      <c r="B649" s="8" t="n"/>
      <c r="E649">
        <f>IF(C649="","",C649-Cfg_TDEE-IFERROR(D649,0))</f>
        <v/>
      </c>
      <c r="F649">
        <f>IF(E649="","",IFERROR(F648,0)+(-E649))</f>
        <v/>
      </c>
      <c r="G649" s="9">
        <f>IF(F649="","",F649/Cfg_FatConstant)</f>
        <v/>
      </c>
      <c r="H649" s="8">
        <f>IF(G649="","",Cfg_StartWeight-G649)</f>
        <v/>
      </c>
      <c r="I649" s="8">
        <f>IF(B649="","",Cfg_StartWeight-B649)</f>
        <v/>
      </c>
      <c r="J649" s="10">
        <f>IF(OR(B649="",G649=""),"",I649-G649)</f>
        <v/>
      </c>
      <c r="K649" s="9">
        <f>IF(B649="","",IFERROR(AVERAGEIFS($B$2:$B$1001,$A$2:$A$1001,"&gt;="&amp;A649-6,$A$2:$A$1001,"&lt;="&amp;A649),""))</f>
        <v/>
      </c>
    </row>
    <row r="650">
      <c r="A650" s="7" t="n"/>
      <c r="B650" s="8" t="n"/>
      <c r="E650">
        <f>IF(C650="","",C650-Cfg_TDEE-IFERROR(D650,0))</f>
        <v/>
      </c>
      <c r="F650">
        <f>IF(E650="","",IFERROR(F649,0)+(-E650))</f>
        <v/>
      </c>
      <c r="G650" s="9">
        <f>IF(F650="","",F650/Cfg_FatConstant)</f>
        <v/>
      </c>
      <c r="H650" s="8">
        <f>IF(G650="","",Cfg_StartWeight-G650)</f>
        <v/>
      </c>
      <c r="I650" s="8">
        <f>IF(B650="","",Cfg_StartWeight-B650)</f>
        <v/>
      </c>
      <c r="J650" s="10">
        <f>IF(OR(B650="",G650=""),"",I650-G650)</f>
        <v/>
      </c>
      <c r="K650" s="9">
        <f>IF(B650="","",IFERROR(AVERAGEIFS($B$2:$B$1001,$A$2:$A$1001,"&gt;="&amp;A650-6,$A$2:$A$1001,"&lt;="&amp;A650),""))</f>
        <v/>
      </c>
    </row>
    <row r="651">
      <c r="A651" s="7" t="n"/>
      <c r="B651" s="8" t="n"/>
      <c r="E651">
        <f>IF(C651="","",C651-Cfg_TDEE-IFERROR(D651,0))</f>
        <v/>
      </c>
      <c r="F651">
        <f>IF(E651="","",IFERROR(F650,0)+(-E651))</f>
        <v/>
      </c>
      <c r="G651" s="9">
        <f>IF(F651="","",F651/Cfg_FatConstant)</f>
        <v/>
      </c>
      <c r="H651" s="8">
        <f>IF(G651="","",Cfg_StartWeight-G651)</f>
        <v/>
      </c>
      <c r="I651" s="8">
        <f>IF(B651="","",Cfg_StartWeight-B651)</f>
        <v/>
      </c>
      <c r="J651" s="10">
        <f>IF(OR(B651="",G651=""),"",I651-G651)</f>
        <v/>
      </c>
      <c r="K651" s="9">
        <f>IF(B651="","",IFERROR(AVERAGEIFS($B$2:$B$1001,$A$2:$A$1001,"&gt;="&amp;A651-6,$A$2:$A$1001,"&lt;="&amp;A651),""))</f>
        <v/>
      </c>
    </row>
    <row r="652">
      <c r="A652" s="7" t="n"/>
      <c r="B652" s="8" t="n"/>
      <c r="E652">
        <f>IF(C652="","",C652-Cfg_TDEE-IFERROR(D652,0))</f>
        <v/>
      </c>
      <c r="F652">
        <f>IF(E652="","",IFERROR(F651,0)+(-E652))</f>
        <v/>
      </c>
      <c r="G652" s="9">
        <f>IF(F652="","",F652/Cfg_FatConstant)</f>
        <v/>
      </c>
      <c r="H652" s="8">
        <f>IF(G652="","",Cfg_StartWeight-G652)</f>
        <v/>
      </c>
      <c r="I652" s="8">
        <f>IF(B652="","",Cfg_StartWeight-B652)</f>
        <v/>
      </c>
      <c r="J652" s="10">
        <f>IF(OR(B652="",G652=""),"",I652-G652)</f>
        <v/>
      </c>
      <c r="K652" s="9">
        <f>IF(B652="","",IFERROR(AVERAGEIFS($B$2:$B$1001,$A$2:$A$1001,"&gt;="&amp;A652-6,$A$2:$A$1001,"&lt;="&amp;A652),""))</f>
        <v/>
      </c>
    </row>
    <row r="653">
      <c r="A653" s="7" t="n"/>
      <c r="B653" s="8" t="n"/>
      <c r="E653">
        <f>IF(C653="","",C653-Cfg_TDEE-IFERROR(D653,0))</f>
        <v/>
      </c>
      <c r="F653">
        <f>IF(E653="","",IFERROR(F652,0)+(-E653))</f>
        <v/>
      </c>
      <c r="G653" s="9">
        <f>IF(F653="","",F653/Cfg_FatConstant)</f>
        <v/>
      </c>
      <c r="H653" s="8">
        <f>IF(G653="","",Cfg_StartWeight-G653)</f>
        <v/>
      </c>
      <c r="I653" s="8">
        <f>IF(B653="","",Cfg_StartWeight-B653)</f>
        <v/>
      </c>
      <c r="J653" s="10">
        <f>IF(OR(B653="",G653=""),"",I653-G653)</f>
        <v/>
      </c>
      <c r="K653" s="9">
        <f>IF(B653="","",IFERROR(AVERAGEIFS($B$2:$B$1001,$A$2:$A$1001,"&gt;="&amp;A653-6,$A$2:$A$1001,"&lt;="&amp;A653),""))</f>
        <v/>
      </c>
    </row>
    <row r="654">
      <c r="A654" s="7" t="n"/>
      <c r="B654" s="8" t="n"/>
      <c r="E654">
        <f>IF(C654="","",C654-Cfg_TDEE-IFERROR(D654,0))</f>
        <v/>
      </c>
      <c r="F654">
        <f>IF(E654="","",IFERROR(F653,0)+(-E654))</f>
        <v/>
      </c>
      <c r="G654" s="9">
        <f>IF(F654="","",F654/Cfg_FatConstant)</f>
        <v/>
      </c>
      <c r="H654" s="8">
        <f>IF(G654="","",Cfg_StartWeight-G654)</f>
        <v/>
      </c>
      <c r="I654" s="8">
        <f>IF(B654="","",Cfg_StartWeight-B654)</f>
        <v/>
      </c>
      <c r="J654" s="10">
        <f>IF(OR(B654="",G654=""),"",I654-G654)</f>
        <v/>
      </c>
      <c r="K654" s="9">
        <f>IF(B654="","",IFERROR(AVERAGEIFS($B$2:$B$1001,$A$2:$A$1001,"&gt;="&amp;A654-6,$A$2:$A$1001,"&lt;="&amp;A654),""))</f>
        <v/>
      </c>
    </row>
    <row r="655">
      <c r="A655" s="7" t="n"/>
      <c r="B655" s="8" t="n"/>
      <c r="E655">
        <f>IF(C655="","",C655-Cfg_TDEE-IFERROR(D655,0))</f>
        <v/>
      </c>
      <c r="F655">
        <f>IF(E655="","",IFERROR(F654,0)+(-E655))</f>
        <v/>
      </c>
      <c r="G655" s="9">
        <f>IF(F655="","",F655/Cfg_FatConstant)</f>
        <v/>
      </c>
      <c r="H655" s="8">
        <f>IF(G655="","",Cfg_StartWeight-G655)</f>
        <v/>
      </c>
      <c r="I655" s="8">
        <f>IF(B655="","",Cfg_StartWeight-B655)</f>
        <v/>
      </c>
      <c r="J655" s="10">
        <f>IF(OR(B655="",G655=""),"",I655-G655)</f>
        <v/>
      </c>
      <c r="K655" s="9">
        <f>IF(B655="","",IFERROR(AVERAGEIFS($B$2:$B$1001,$A$2:$A$1001,"&gt;="&amp;A655-6,$A$2:$A$1001,"&lt;="&amp;A655),""))</f>
        <v/>
      </c>
    </row>
    <row r="656">
      <c r="A656" s="7" t="n"/>
      <c r="B656" s="8" t="n"/>
      <c r="E656">
        <f>IF(C656="","",C656-Cfg_TDEE-IFERROR(D656,0))</f>
        <v/>
      </c>
      <c r="F656">
        <f>IF(E656="","",IFERROR(F655,0)+(-E656))</f>
        <v/>
      </c>
      <c r="G656" s="9">
        <f>IF(F656="","",F656/Cfg_FatConstant)</f>
        <v/>
      </c>
      <c r="H656" s="8">
        <f>IF(G656="","",Cfg_StartWeight-G656)</f>
        <v/>
      </c>
      <c r="I656" s="8">
        <f>IF(B656="","",Cfg_StartWeight-B656)</f>
        <v/>
      </c>
      <c r="J656" s="10">
        <f>IF(OR(B656="",G656=""),"",I656-G656)</f>
        <v/>
      </c>
      <c r="K656" s="9">
        <f>IF(B656="","",IFERROR(AVERAGEIFS($B$2:$B$1001,$A$2:$A$1001,"&gt;="&amp;A656-6,$A$2:$A$1001,"&lt;="&amp;A656),""))</f>
        <v/>
      </c>
    </row>
    <row r="657">
      <c r="A657" s="7" t="n"/>
      <c r="B657" s="8" t="n"/>
      <c r="E657">
        <f>IF(C657="","",C657-Cfg_TDEE-IFERROR(D657,0))</f>
        <v/>
      </c>
      <c r="F657">
        <f>IF(E657="","",IFERROR(F656,0)+(-E657))</f>
        <v/>
      </c>
      <c r="G657" s="9">
        <f>IF(F657="","",F657/Cfg_FatConstant)</f>
        <v/>
      </c>
      <c r="H657" s="8">
        <f>IF(G657="","",Cfg_StartWeight-G657)</f>
        <v/>
      </c>
      <c r="I657" s="8">
        <f>IF(B657="","",Cfg_StartWeight-B657)</f>
        <v/>
      </c>
      <c r="J657" s="10">
        <f>IF(OR(B657="",G657=""),"",I657-G657)</f>
        <v/>
      </c>
      <c r="K657" s="9">
        <f>IF(B657="","",IFERROR(AVERAGEIFS($B$2:$B$1001,$A$2:$A$1001,"&gt;="&amp;A657-6,$A$2:$A$1001,"&lt;="&amp;A657),""))</f>
        <v/>
      </c>
    </row>
    <row r="658">
      <c r="A658" s="7" t="n"/>
      <c r="B658" s="8" t="n"/>
      <c r="E658">
        <f>IF(C658="","",C658-Cfg_TDEE-IFERROR(D658,0))</f>
        <v/>
      </c>
      <c r="F658">
        <f>IF(E658="","",IFERROR(F657,0)+(-E658))</f>
        <v/>
      </c>
      <c r="G658" s="9">
        <f>IF(F658="","",F658/Cfg_FatConstant)</f>
        <v/>
      </c>
      <c r="H658" s="8">
        <f>IF(G658="","",Cfg_StartWeight-G658)</f>
        <v/>
      </c>
      <c r="I658" s="8">
        <f>IF(B658="","",Cfg_StartWeight-B658)</f>
        <v/>
      </c>
      <c r="J658" s="10">
        <f>IF(OR(B658="",G658=""),"",I658-G658)</f>
        <v/>
      </c>
      <c r="K658" s="9">
        <f>IF(B658="","",IFERROR(AVERAGEIFS($B$2:$B$1001,$A$2:$A$1001,"&gt;="&amp;A658-6,$A$2:$A$1001,"&lt;="&amp;A658),""))</f>
        <v/>
      </c>
    </row>
    <row r="659">
      <c r="A659" s="7" t="n"/>
      <c r="B659" s="8" t="n"/>
      <c r="E659">
        <f>IF(C659="","",C659-Cfg_TDEE-IFERROR(D659,0))</f>
        <v/>
      </c>
      <c r="F659">
        <f>IF(E659="","",IFERROR(F658,0)+(-E659))</f>
        <v/>
      </c>
      <c r="G659" s="9">
        <f>IF(F659="","",F659/Cfg_FatConstant)</f>
        <v/>
      </c>
      <c r="H659" s="8">
        <f>IF(G659="","",Cfg_StartWeight-G659)</f>
        <v/>
      </c>
      <c r="I659" s="8">
        <f>IF(B659="","",Cfg_StartWeight-B659)</f>
        <v/>
      </c>
      <c r="J659" s="10">
        <f>IF(OR(B659="",G659=""),"",I659-G659)</f>
        <v/>
      </c>
      <c r="K659" s="9">
        <f>IF(B659="","",IFERROR(AVERAGEIFS($B$2:$B$1001,$A$2:$A$1001,"&gt;="&amp;A659-6,$A$2:$A$1001,"&lt;="&amp;A659),""))</f>
        <v/>
      </c>
    </row>
    <row r="660">
      <c r="A660" s="7" t="n"/>
      <c r="B660" s="8" t="n"/>
      <c r="E660">
        <f>IF(C660="","",C660-Cfg_TDEE-IFERROR(D660,0))</f>
        <v/>
      </c>
      <c r="F660">
        <f>IF(E660="","",IFERROR(F659,0)+(-E660))</f>
        <v/>
      </c>
      <c r="G660" s="9">
        <f>IF(F660="","",F660/Cfg_FatConstant)</f>
        <v/>
      </c>
      <c r="H660" s="8">
        <f>IF(G660="","",Cfg_StartWeight-G660)</f>
        <v/>
      </c>
      <c r="I660" s="8">
        <f>IF(B660="","",Cfg_StartWeight-B660)</f>
        <v/>
      </c>
      <c r="J660" s="10">
        <f>IF(OR(B660="",G660=""),"",I660-G660)</f>
        <v/>
      </c>
      <c r="K660" s="9">
        <f>IF(B660="","",IFERROR(AVERAGEIFS($B$2:$B$1001,$A$2:$A$1001,"&gt;="&amp;A660-6,$A$2:$A$1001,"&lt;="&amp;A660),""))</f>
        <v/>
      </c>
    </row>
    <row r="661">
      <c r="A661" s="7" t="n"/>
      <c r="B661" s="8" t="n"/>
      <c r="E661">
        <f>IF(C661="","",C661-Cfg_TDEE-IFERROR(D661,0))</f>
        <v/>
      </c>
      <c r="F661">
        <f>IF(E661="","",IFERROR(F660,0)+(-E661))</f>
        <v/>
      </c>
      <c r="G661" s="9">
        <f>IF(F661="","",F661/Cfg_FatConstant)</f>
        <v/>
      </c>
      <c r="H661" s="8">
        <f>IF(G661="","",Cfg_StartWeight-G661)</f>
        <v/>
      </c>
      <c r="I661" s="8">
        <f>IF(B661="","",Cfg_StartWeight-B661)</f>
        <v/>
      </c>
      <c r="J661" s="10">
        <f>IF(OR(B661="",G661=""),"",I661-G661)</f>
        <v/>
      </c>
      <c r="K661" s="9">
        <f>IF(B661="","",IFERROR(AVERAGEIFS($B$2:$B$1001,$A$2:$A$1001,"&gt;="&amp;A661-6,$A$2:$A$1001,"&lt;="&amp;A661),""))</f>
        <v/>
      </c>
    </row>
    <row r="662">
      <c r="A662" s="7" t="n"/>
      <c r="B662" s="8" t="n"/>
      <c r="E662">
        <f>IF(C662="","",C662-Cfg_TDEE-IFERROR(D662,0))</f>
        <v/>
      </c>
      <c r="F662">
        <f>IF(E662="","",IFERROR(F661,0)+(-E662))</f>
        <v/>
      </c>
      <c r="G662" s="9">
        <f>IF(F662="","",F662/Cfg_FatConstant)</f>
        <v/>
      </c>
      <c r="H662" s="8">
        <f>IF(G662="","",Cfg_StartWeight-G662)</f>
        <v/>
      </c>
      <c r="I662" s="8">
        <f>IF(B662="","",Cfg_StartWeight-B662)</f>
        <v/>
      </c>
      <c r="J662" s="10">
        <f>IF(OR(B662="",G662=""),"",I662-G662)</f>
        <v/>
      </c>
      <c r="K662" s="9">
        <f>IF(B662="","",IFERROR(AVERAGEIFS($B$2:$B$1001,$A$2:$A$1001,"&gt;="&amp;A662-6,$A$2:$A$1001,"&lt;="&amp;A662),""))</f>
        <v/>
      </c>
    </row>
    <row r="663">
      <c r="A663" s="7" t="n"/>
      <c r="B663" s="8" t="n"/>
      <c r="E663">
        <f>IF(C663="","",C663-Cfg_TDEE-IFERROR(D663,0))</f>
        <v/>
      </c>
      <c r="F663">
        <f>IF(E663="","",IFERROR(F662,0)+(-E663))</f>
        <v/>
      </c>
      <c r="G663" s="9">
        <f>IF(F663="","",F663/Cfg_FatConstant)</f>
        <v/>
      </c>
      <c r="H663" s="8">
        <f>IF(G663="","",Cfg_StartWeight-G663)</f>
        <v/>
      </c>
      <c r="I663" s="8">
        <f>IF(B663="","",Cfg_StartWeight-B663)</f>
        <v/>
      </c>
      <c r="J663" s="10">
        <f>IF(OR(B663="",G663=""),"",I663-G663)</f>
        <v/>
      </c>
      <c r="K663" s="9">
        <f>IF(B663="","",IFERROR(AVERAGEIFS($B$2:$B$1001,$A$2:$A$1001,"&gt;="&amp;A663-6,$A$2:$A$1001,"&lt;="&amp;A663),""))</f>
        <v/>
      </c>
    </row>
    <row r="664">
      <c r="A664" s="7" t="n"/>
      <c r="B664" s="8" t="n"/>
      <c r="E664">
        <f>IF(C664="","",C664-Cfg_TDEE-IFERROR(D664,0))</f>
        <v/>
      </c>
      <c r="F664">
        <f>IF(E664="","",IFERROR(F663,0)+(-E664))</f>
        <v/>
      </c>
      <c r="G664" s="9">
        <f>IF(F664="","",F664/Cfg_FatConstant)</f>
        <v/>
      </c>
      <c r="H664" s="8">
        <f>IF(G664="","",Cfg_StartWeight-G664)</f>
        <v/>
      </c>
      <c r="I664" s="8">
        <f>IF(B664="","",Cfg_StartWeight-B664)</f>
        <v/>
      </c>
      <c r="J664" s="10">
        <f>IF(OR(B664="",G664=""),"",I664-G664)</f>
        <v/>
      </c>
      <c r="K664" s="9">
        <f>IF(B664="","",IFERROR(AVERAGEIFS($B$2:$B$1001,$A$2:$A$1001,"&gt;="&amp;A664-6,$A$2:$A$1001,"&lt;="&amp;A664),""))</f>
        <v/>
      </c>
    </row>
    <row r="665">
      <c r="A665" s="7" t="n"/>
      <c r="B665" s="8" t="n"/>
      <c r="E665">
        <f>IF(C665="","",C665-Cfg_TDEE-IFERROR(D665,0))</f>
        <v/>
      </c>
      <c r="F665">
        <f>IF(E665="","",IFERROR(F664,0)+(-E665))</f>
        <v/>
      </c>
      <c r="G665" s="9">
        <f>IF(F665="","",F665/Cfg_FatConstant)</f>
        <v/>
      </c>
      <c r="H665" s="8">
        <f>IF(G665="","",Cfg_StartWeight-G665)</f>
        <v/>
      </c>
      <c r="I665" s="8">
        <f>IF(B665="","",Cfg_StartWeight-B665)</f>
        <v/>
      </c>
      <c r="J665" s="10">
        <f>IF(OR(B665="",G665=""),"",I665-G665)</f>
        <v/>
      </c>
      <c r="K665" s="9">
        <f>IF(B665="","",IFERROR(AVERAGEIFS($B$2:$B$1001,$A$2:$A$1001,"&gt;="&amp;A665-6,$A$2:$A$1001,"&lt;="&amp;A665),""))</f>
        <v/>
      </c>
    </row>
    <row r="666">
      <c r="A666" s="7" t="n"/>
      <c r="B666" s="8" t="n"/>
      <c r="E666">
        <f>IF(C666="","",C666-Cfg_TDEE-IFERROR(D666,0))</f>
        <v/>
      </c>
      <c r="F666">
        <f>IF(E666="","",IFERROR(F665,0)+(-E666))</f>
        <v/>
      </c>
      <c r="G666" s="9">
        <f>IF(F666="","",F666/Cfg_FatConstant)</f>
        <v/>
      </c>
      <c r="H666" s="8">
        <f>IF(G666="","",Cfg_StartWeight-G666)</f>
        <v/>
      </c>
      <c r="I666" s="8">
        <f>IF(B666="","",Cfg_StartWeight-B666)</f>
        <v/>
      </c>
      <c r="J666" s="10">
        <f>IF(OR(B666="",G666=""),"",I666-G666)</f>
        <v/>
      </c>
      <c r="K666" s="9">
        <f>IF(B666="","",IFERROR(AVERAGEIFS($B$2:$B$1001,$A$2:$A$1001,"&gt;="&amp;A666-6,$A$2:$A$1001,"&lt;="&amp;A666),""))</f>
        <v/>
      </c>
    </row>
    <row r="667">
      <c r="A667" s="7" t="n"/>
      <c r="B667" s="8" t="n"/>
      <c r="E667">
        <f>IF(C667="","",C667-Cfg_TDEE-IFERROR(D667,0))</f>
        <v/>
      </c>
      <c r="F667">
        <f>IF(E667="","",IFERROR(F666,0)+(-E667))</f>
        <v/>
      </c>
      <c r="G667" s="9">
        <f>IF(F667="","",F667/Cfg_FatConstant)</f>
        <v/>
      </c>
      <c r="H667" s="8">
        <f>IF(G667="","",Cfg_StartWeight-G667)</f>
        <v/>
      </c>
      <c r="I667" s="8">
        <f>IF(B667="","",Cfg_StartWeight-B667)</f>
        <v/>
      </c>
      <c r="J667" s="10">
        <f>IF(OR(B667="",G667=""),"",I667-G667)</f>
        <v/>
      </c>
      <c r="K667" s="9">
        <f>IF(B667="","",IFERROR(AVERAGEIFS($B$2:$B$1001,$A$2:$A$1001,"&gt;="&amp;A667-6,$A$2:$A$1001,"&lt;="&amp;A667),""))</f>
        <v/>
      </c>
    </row>
    <row r="668">
      <c r="A668" s="7" t="n"/>
      <c r="B668" s="8" t="n"/>
      <c r="E668">
        <f>IF(C668="","",C668-Cfg_TDEE-IFERROR(D668,0))</f>
        <v/>
      </c>
      <c r="F668">
        <f>IF(E668="","",IFERROR(F667,0)+(-E668))</f>
        <v/>
      </c>
      <c r="G668" s="9">
        <f>IF(F668="","",F668/Cfg_FatConstant)</f>
        <v/>
      </c>
      <c r="H668" s="8">
        <f>IF(G668="","",Cfg_StartWeight-G668)</f>
        <v/>
      </c>
      <c r="I668" s="8">
        <f>IF(B668="","",Cfg_StartWeight-B668)</f>
        <v/>
      </c>
      <c r="J668" s="10">
        <f>IF(OR(B668="",G668=""),"",I668-G668)</f>
        <v/>
      </c>
      <c r="K668" s="9">
        <f>IF(B668="","",IFERROR(AVERAGEIFS($B$2:$B$1001,$A$2:$A$1001,"&gt;="&amp;A668-6,$A$2:$A$1001,"&lt;="&amp;A668),""))</f>
        <v/>
      </c>
    </row>
    <row r="669">
      <c r="A669" s="7" t="n"/>
      <c r="B669" s="8" t="n"/>
      <c r="E669">
        <f>IF(C669="","",C669-Cfg_TDEE-IFERROR(D669,0))</f>
        <v/>
      </c>
      <c r="F669">
        <f>IF(E669="","",IFERROR(F668,0)+(-E669))</f>
        <v/>
      </c>
      <c r="G669" s="9">
        <f>IF(F669="","",F669/Cfg_FatConstant)</f>
        <v/>
      </c>
      <c r="H669" s="8">
        <f>IF(G669="","",Cfg_StartWeight-G669)</f>
        <v/>
      </c>
      <c r="I669" s="8">
        <f>IF(B669="","",Cfg_StartWeight-B669)</f>
        <v/>
      </c>
      <c r="J669" s="10">
        <f>IF(OR(B669="",G669=""),"",I669-G669)</f>
        <v/>
      </c>
      <c r="K669" s="9">
        <f>IF(B669="","",IFERROR(AVERAGEIFS($B$2:$B$1001,$A$2:$A$1001,"&gt;="&amp;A669-6,$A$2:$A$1001,"&lt;="&amp;A669),""))</f>
        <v/>
      </c>
    </row>
    <row r="670">
      <c r="A670" s="7" t="n"/>
      <c r="B670" s="8" t="n"/>
      <c r="E670">
        <f>IF(C670="","",C670-Cfg_TDEE-IFERROR(D670,0))</f>
        <v/>
      </c>
      <c r="F670">
        <f>IF(E670="","",IFERROR(F669,0)+(-E670))</f>
        <v/>
      </c>
      <c r="G670" s="9">
        <f>IF(F670="","",F670/Cfg_FatConstant)</f>
        <v/>
      </c>
      <c r="H670" s="8">
        <f>IF(G670="","",Cfg_StartWeight-G670)</f>
        <v/>
      </c>
      <c r="I670" s="8">
        <f>IF(B670="","",Cfg_StartWeight-B670)</f>
        <v/>
      </c>
      <c r="J670" s="10">
        <f>IF(OR(B670="",G670=""),"",I670-G670)</f>
        <v/>
      </c>
      <c r="K670" s="9">
        <f>IF(B670="","",IFERROR(AVERAGEIFS($B$2:$B$1001,$A$2:$A$1001,"&gt;="&amp;A670-6,$A$2:$A$1001,"&lt;="&amp;A670),""))</f>
        <v/>
      </c>
    </row>
    <row r="671">
      <c r="A671" s="7" t="n"/>
      <c r="B671" s="8" t="n"/>
      <c r="E671">
        <f>IF(C671="","",C671-Cfg_TDEE-IFERROR(D671,0))</f>
        <v/>
      </c>
      <c r="F671">
        <f>IF(E671="","",IFERROR(F670,0)+(-E671))</f>
        <v/>
      </c>
      <c r="G671" s="9">
        <f>IF(F671="","",F671/Cfg_FatConstant)</f>
        <v/>
      </c>
      <c r="H671" s="8">
        <f>IF(G671="","",Cfg_StartWeight-G671)</f>
        <v/>
      </c>
      <c r="I671" s="8">
        <f>IF(B671="","",Cfg_StartWeight-B671)</f>
        <v/>
      </c>
      <c r="J671" s="10">
        <f>IF(OR(B671="",G671=""),"",I671-G671)</f>
        <v/>
      </c>
      <c r="K671" s="9">
        <f>IF(B671="","",IFERROR(AVERAGEIFS($B$2:$B$1001,$A$2:$A$1001,"&gt;="&amp;A671-6,$A$2:$A$1001,"&lt;="&amp;A671),""))</f>
        <v/>
      </c>
    </row>
    <row r="672">
      <c r="A672" s="7" t="n"/>
      <c r="B672" s="8" t="n"/>
      <c r="E672">
        <f>IF(C672="","",C672-Cfg_TDEE-IFERROR(D672,0))</f>
        <v/>
      </c>
      <c r="F672">
        <f>IF(E672="","",IFERROR(F671,0)+(-E672))</f>
        <v/>
      </c>
      <c r="G672" s="9">
        <f>IF(F672="","",F672/Cfg_FatConstant)</f>
        <v/>
      </c>
      <c r="H672" s="8">
        <f>IF(G672="","",Cfg_StartWeight-G672)</f>
        <v/>
      </c>
      <c r="I672" s="8">
        <f>IF(B672="","",Cfg_StartWeight-B672)</f>
        <v/>
      </c>
      <c r="J672" s="10">
        <f>IF(OR(B672="",G672=""),"",I672-G672)</f>
        <v/>
      </c>
      <c r="K672" s="9">
        <f>IF(B672="","",IFERROR(AVERAGEIFS($B$2:$B$1001,$A$2:$A$1001,"&gt;="&amp;A672-6,$A$2:$A$1001,"&lt;="&amp;A672),""))</f>
        <v/>
      </c>
    </row>
    <row r="673">
      <c r="A673" s="7" t="n"/>
      <c r="B673" s="8" t="n"/>
      <c r="E673">
        <f>IF(C673="","",C673-Cfg_TDEE-IFERROR(D673,0))</f>
        <v/>
      </c>
      <c r="F673">
        <f>IF(E673="","",IFERROR(F672,0)+(-E673))</f>
        <v/>
      </c>
      <c r="G673" s="9">
        <f>IF(F673="","",F673/Cfg_FatConstant)</f>
        <v/>
      </c>
      <c r="H673" s="8">
        <f>IF(G673="","",Cfg_StartWeight-G673)</f>
        <v/>
      </c>
      <c r="I673" s="8">
        <f>IF(B673="","",Cfg_StartWeight-B673)</f>
        <v/>
      </c>
      <c r="J673" s="10">
        <f>IF(OR(B673="",G673=""),"",I673-G673)</f>
        <v/>
      </c>
      <c r="K673" s="9">
        <f>IF(B673="","",IFERROR(AVERAGEIFS($B$2:$B$1001,$A$2:$A$1001,"&gt;="&amp;A673-6,$A$2:$A$1001,"&lt;="&amp;A673),""))</f>
        <v/>
      </c>
    </row>
    <row r="674">
      <c r="A674" s="7" t="n"/>
      <c r="B674" s="8" t="n"/>
      <c r="E674">
        <f>IF(C674="","",C674-Cfg_TDEE-IFERROR(D674,0))</f>
        <v/>
      </c>
      <c r="F674">
        <f>IF(E674="","",IFERROR(F673,0)+(-E674))</f>
        <v/>
      </c>
      <c r="G674" s="9">
        <f>IF(F674="","",F674/Cfg_FatConstant)</f>
        <v/>
      </c>
      <c r="H674" s="8">
        <f>IF(G674="","",Cfg_StartWeight-G674)</f>
        <v/>
      </c>
      <c r="I674" s="8">
        <f>IF(B674="","",Cfg_StartWeight-B674)</f>
        <v/>
      </c>
      <c r="J674" s="10">
        <f>IF(OR(B674="",G674=""),"",I674-G674)</f>
        <v/>
      </c>
      <c r="K674" s="9">
        <f>IF(B674="","",IFERROR(AVERAGEIFS($B$2:$B$1001,$A$2:$A$1001,"&gt;="&amp;A674-6,$A$2:$A$1001,"&lt;="&amp;A674),""))</f>
        <v/>
      </c>
    </row>
    <row r="675">
      <c r="A675" s="7" t="n"/>
      <c r="B675" s="8" t="n"/>
      <c r="E675">
        <f>IF(C675="","",C675-Cfg_TDEE-IFERROR(D675,0))</f>
        <v/>
      </c>
      <c r="F675">
        <f>IF(E675="","",IFERROR(F674,0)+(-E675))</f>
        <v/>
      </c>
      <c r="G675" s="9">
        <f>IF(F675="","",F675/Cfg_FatConstant)</f>
        <v/>
      </c>
      <c r="H675" s="8">
        <f>IF(G675="","",Cfg_StartWeight-G675)</f>
        <v/>
      </c>
      <c r="I675" s="8">
        <f>IF(B675="","",Cfg_StartWeight-B675)</f>
        <v/>
      </c>
      <c r="J675" s="10">
        <f>IF(OR(B675="",G675=""),"",I675-G675)</f>
        <v/>
      </c>
      <c r="K675" s="9">
        <f>IF(B675="","",IFERROR(AVERAGEIFS($B$2:$B$1001,$A$2:$A$1001,"&gt;="&amp;A675-6,$A$2:$A$1001,"&lt;="&amp;A675),""))</f>
        <v/>
      </c>
    </row>
    <row r="676">
      <c r="A676" s="7" t="n"/>
      <c r="B676" s="8" t="n"/>
      <c r="E676">
        <f>IF(C676="","",C676-Cfg_TDEE-IFERROR(D676,0))</f>
        <v/>
      </c>
      <c r="F676">
        <f>IF(E676="","",IFERROR(F675,0)+(-E676))</f>
        <v/>
      </c>
      <c r="G676" s="9">
        <f>IF(F676="","",F676/Cfg_FatConstant)</f>
        <v/>
      </c>
      <c r="H676" s="8">
        <f>IF(G676="","",Cfg_StartWeight-G676)</f>
        <v/>
      </c>
      <c r="I676" s="8">
        <f>IF(B676="","",Cfg_StartWeight-B676)</f>
        <v/>
      </c>
      <c r="J676" s="10">
        <f>IF(OR(B676="",G676=""),"",I676-G676)</f>
        <v/>
      </c>
      <c r="K676" s="9">
        <f>IF(B676="","",IFERROR(AVERAGEIFS($B$2:$B$1001,$A$2:$A$1001,"&gt;="&amp;A676-6,$A$2:$A$1001,"&lt;="&amp;A676),""))</f>
        <v/>
      </c>
    </row>
    <row r="677">
      <c r="A677" s="7" t="n"/>
      <c r="B677" s="8" t="n"/>
      <c r="E677">
        <f>IF(C677="","",C677-Cfg_TDEE-IFERROR(D677,0))</f>
        <v/>
      </c>
      <c r="F677">
        <f>IF(E677="","",IFERROR(F676,0)+(-E677))</f>
        <v/>
      </c>
      <c r="G677" s="9">
        <f>IF(F677="","",F677/Cfg_FatConstant)</f>
        <v/>
      </c>
      <c r="H677" s="8">
        <f>IF(G677="","",Cfg_StartWeight-G677)</f>
        <v/>
      </c>
      <c r="I677" s="8">
        <f>IF(B677="","",Cfg_StartWeight-B677)</f>
        <v/>
      </c>
      <c r="J677" s="10">
        <f>IF(OR(B677="",G677=""),"",I677-G677)</f>
        <v/>
      </c>
      <c r="K677" s="9">
        <f>IF(B677="","",IFERROR(AVERAGEIFS($B$2:$B$1001,$A$2:$A$1001,"&gt;="&amp;A677-6,$A$2:$A$1001,"&lt;="&amp;A677),""))</f>
        <v/>
      </c>
    </row>
    <row r="678">
      <c r="A678" s="7" t="n"/>
      <c r="B678" s="8" t="n"/>
      <c r="E678">
        <f>IF(C678="","",C678-Cfg_TDEE-IFERROR(D678,0))</f>
        <v/>
      </c>
      <c r="F678">
        <f>IF(E678="","",IFERROR(F677,0)+(-E678))</f>
        <v/>
      </c>
      <c r="G678" s="9">
        <f>IF(F678="","",F678/Cfg_FatConstant)</f>
        <v/>
      </c>
      <c r="H678" s="8">
        <f>IF(G678="","",Cfg_StartWeight-G678)</f>
        <v/>
      </c>
      <c r="I678" s="8">
        <f>IF(B678="","",Cfg_StartWeight-B678)</f>
        <v/>
      </c>
      <c r="J678" s="10">
        <f>IF(OR(B678="",G678=""),"",I678-G678)</f>
        <v/>
      </c>
      <c r="K678" s="9">
        <f>IF(B678="","",IFERROR(AVERAGEIFS($B$2:$B$1001,$A$2:$A$1001,"&gt;="&amp;A678-6,$A$2:$A$1001,"&lt;="&amp;A678),""))</f>
        <v/>
      </c>
    </row>
    <row r="679">
      <c r="A679" s="7" t="n"/>
      <c r="B679" s="8" t="n"/>
      <c r="E679">
        <f>IF(C679="","",C679-Cfg_TDEE-IFERROR(D679,0))</f>
        <v/>
      </c>
      <c r="F679">
        <f>IF(E679="","",IFERROR(F678,0)+(-E679))</f>
        <v/>
      </c>
      <c r="G679" s="9">
        <f>IF(F679="","",F679/Cfg_FatConstant)</f>
        <v/>
      </c>
      <c r="H679" s="8">
        <f>IF(G679="","",Cfg_StartWeight-G679)</f>
        <v/>
      </c>
      <c r="I679" s="8">
        <f>IF(B679="","",Cfg_StartWeight-B679)</f>
        <v/>
      </c>
      <c r="J679" s="10">
        <f>IF(OR(B679="",G679=""),"",I679-G679)</f>
        <v/>
      </c>
      <c r="K679" s="9">
        <f>IF(B679="","",IFERROR(AVERAGEIFS($B$2:$B$1001,$A$2:$A$1001,"&gt;="&amp;A679-6,$A$2:$A$1001,"&lt;="&amp;A679),""))</f>
        <v/>
      </c>
    </row>
    <row r="680">
      <c r="A680" s="7" t="n"/>
      <c r="B680" s="8" t="n"/>
      <c r="E680">
        <f>IF(C680="","",C680-Cfg_TDEE-IFERROR(D680,0))</f>
        <v/>
      </c>
      <c r="F680">
        <f>IF(E680="","",IFERROR(F679,0)+(-E680))</f>
        <v/>
      </c>
      <c r="G680" s="9">
        <f>IF(F680="","",F680/Cfg_FatConstant)</f>
        <v/>
      </c>
      <c r="H680" s="8">
        <f>IF(G680="","",Cfg_StartWeight-G680)</f>
        <v/>
      </c>
      <c r="I680" s="8">
        <f>IF(B680="","",Cfg_StartWeight-B680)</f>
        <v/>
      </c>
      <c r="J680" s="10">
        <f>IF(OR(B680="",G680=""),"",I680-G680)</f>
        <v/>
      </c>
      <c r="K680" s="9">
        <f>IF(B680="","",IFERROR(AVERAGEIFS($B$2:$B$1001,$A$2:$A$1001,"&gt;="&amp;A680-6,$A$2:$A$1001,"&lt;="&amp;A680),""))</f>
        <v/>
      </c>
    </row>
    <row r="681">
      <c r="A681" s="7" t="n"/>
      <c r="B681" s="8" t="n"/>
      <c r="E681">
        <f>IF(C681="","",C681-Cfg_TDEE-IFERROR(D681,0))</f>
        <v/>
      </c>
      <c r="F681">
        <f>IF(E681="","",IFERROR(F680,0)+(-E681))</f>
        <v/>
      </c>
      <c r="G681" s="9">
        <f>IF(F681="","",F681/Cfg_FatConstant)</f>
        <v/>
      </c>
      <c r="H681" s="8">
        <f>IF(G681="","",Cfg_StartWeight-G681)</f>
        <v/>
      </c>
      <c r="I681" s="8">
        <f>IF(B681="","",Cfg_StartWeight-B681)</f>
        <v/>
      </c>
      <c r="J681" s="10">
        <f>IF(OR(B681="",G681=""),"",I681-G681)</f>
        <v/>
      </c>
      <c r="K681" s="9">
        <f>IF(B681="","",IFERROR(AVERAGEIFS($B$2:$B$1001,$A$2:$A$1001,"&gt;="&amp;A681-6,$A$2:$A$1001,"&lt;="&amp;A681),""))</f>
        <v/>
      </c>
    </row>
    <row r="682">
      <c r="A682" s="7" t="n"/>
      <c r="B682" s="8" t="n"/>
      <c r="E682">
        <f>IF(C682="","",C682-Cfg_TDEE-IFERROR(D682,0))</f>
        <v/>
      </c>
      <c r="F682">
        <f>IF(E682="","",IFERROR(F681,0)+(-E682))</f>
        <v/>
      </c>
      <c r="G682" s="9">
        <f>IF(F682="","",F682/Cfg_FatConstant)</f>
        <v/>
      </c>
      <c r="H682" s="8">
        <f>IF(G682="","",Cfg_StartWeight-G682)</f>
        <v/>
      </c>
      <c r="I682" s="8">
        <f>IF(B682="","",Cfg_StartWeight-B682)</f>
        <v/>
      </c>
      <c r="J682" s="10">
        <f>IF(OR(B682="",G682=""),"",I682-G682)</f>
        <v/>
      </c>
      <c r="K682" s="9">
        <f>IF(B682="","",IFERROR(AVERAGEIFS($B$2:$B$1001,$A$2:$A$1001,"&gt;="&amp;A682-6,$A$2:$A$1001,"&lt;="&amp;A682),""))</f>
        <v/>
      </c>
    </row>
    <row r="683">
      <c r="A683" s="7" t="n"/>
      <c r="B683" s="8" t="n"/>
      <c r="E683">
        <f>IF(C683="","",C683-Cfg_TDEE-IFERROR(D683,0))</f>
        <v/>
      </c>
      <c r="F683">
        <f>IF(E683="","",IFERROR(F682,0)+(-E683))</f>
        <v/>
      </c>
      <c r="G683" s="9">
        <f>IF(F683="","",F683/Cfg_FatConstant)</f>
        <v/>
      </c>
      <c r="H683" s="8">
        <f>IF(G683="","",Cfg_StartWeight-G683)</f>
        <v/>
      </c>
      <c r="I683" s="8">
        <f>IF(B683="","",Cfg_StartWeight-B683)</f>
        <v/>
      </c>
      <c r="J683" s="10">
        <f>IF(OR(B683="",G683=""),"",I683-G683)</f>
        <v/>
      </c>
      <c r="K683" s="9">
        <f>IF(B683="","",IFERROR(AVERAGEIFS($B$2:$B$1001,$A$2:$A$1001,"&gt;="&amp;A683-6,$A$2:$A$1001,"&lt;="&amp;A683),""))</f>
        <v/>
      </c>
    </row>
    <row r="684">
      <c r="A684" s="7" t="n"/>
      <c r="B684" s="8" t="n"/>
      <c r="E684">
        <f>IF(C684="","",C684-Cfg_TDEE-IFERROR(D684,0))</f>
        <v/>
      </c>
      <c r="F684">
        <f>IF(E684="","",IFERROR(F683,0)+(-E684))</f>
        <v/>
      </c>
      <c r="G684" s="9">
        <f>IF(F684="","",F684/Cfg_FatConstant)</f>
        <v/>
      </c>
      <c r="H684" s="8">
        <f>IF(G684="","",Cfg_StartWeight-G684)</f>
        <v/>
      </c>
      <c r="I684" s="8">
        <f>IF(B684="","",Cfg_StartWeight-B684)</f>
        <v/>
      </c>
      <c r="J684" s="10">
        <f>IF(OR(B684="",G684=""),"",I684-G684)</f>
        <v/>
      </c>
      <c r="K684" s="9">
        <f>IF(B684="","",IFERROR(AVERAGEIFS($B$2:$B$1001,$A$2:$A$1001,"&gt;="&amp;A684-6,$A$2:$A$1001,"&lt;="&amp;A684),""))</f>
        <v/>
      </c>
    </row>
    <row r="685">
      <c r="A685" s="7" t="n"/>
      <c r="B685" s="8" t="n"/>
      <c r="E685">
        <f>IF(C685="","",C685-Cfg_TDEE-IFERROR(D685,0))</f>
        <v/>
      </c>
      <c r="F685">
        <f>IF(E685="","",IFERROR(F684,0)+(-E685))</f>
        <v/>
      </c>
      <c r="G685" s="9">
        <f>IF(F685="","",F685/Cfg_FatConstant)</f>
        <v/>
      </c>
      <c r="H685" s="8">
        <f>IF(G685="","",Cfg_StartWeight-G685)</f>
        <v/>
      </c>
      <c r="I685" s="8">
        <f>IF(B685="","",Cfg_StartWeight-B685)</f>
        <v/>
      </c>
      <c r="J685" s="10">
        <f>IF(OR(B685="",G685=""),"",I685-G685)</f>
        <v/>
      </c>
      <c r="K685" s="9">
        <f>IF(B685="","",IFERROR(AVERAGEIFS($B$2:$B$1001,$A$2:$A$1001,"&gt;="&amp;A685-6,$A$2:$A$1001,"&lt;="&amp;A685),""))</f>
        <v/>
      </c>
    </row>
    <row r="686">
      <c r="A686" s="7" t="n"/>
      <c r="B686" s="8" t="n"/>
      <c r="E686">
        <f>IF(C686="","",C686-Cfg_TDEE-IFERROR(D686,0))</f>
        <v/>
      </c>
      <c r="F686">
        <f>IF(E686="","",IFERROR(F685,0)+(-E686))</f>
        <v/>
      </c>
      <c r="G686" s="9">
        <f>IF(F686="","",F686/Cfg_FatConstant)</f>
        <v/>
      </c>
      <c r="H686" s="8">
        <f>IF(G686="","",Cfg_StartWeight-G686)</f>
        <v/>
      </c>
      <c r="I686" s="8">
        <f>IF(B686="","",Cfg_StartWeight-B686)</f>
        <v/>
      </c>
      <c r="J686" s="10">
        <f>IF(OR(B686="",G686=""),"",I686-G686)</f>
        <v/>
      </c>
      <c r="K686" s="9">
        <f>IF(B686="","",IFERROR(AVERAGEIFS($B$2:$B$1001,$A$2:$A$1001,"&gt;="&amp;A686-6,$A$2:$A$1001,"&lt;="&amp;A686),""))</f>
        <v/>
      </c>
    </row>
    <row r="687">
      <c r="A687" s="7" t="n"/>
      <c r="B687" s="8" t="n"/>
      <c r="E687">
        <f>IF(C687="","",C687-Cfg_TDEE-IFERROR(D687,0))</f>
        <v/>
      </c>
      <c r="F687">
        <f>IF(E687="","",IFERROR(F686,0)+(-E687))</f>
        <v/>
      </c>
      <c r="G687" s="9">
        <f>IF(F687="","",F687/Cfg_FatConstant)</f>
        <v/>
      </c>
      <c r="H687" s="8">
        <f>IF(G687="","",Cfg_StartWeight-G687)</f>
        <v/>
      </c>
      <c r="I687" s="8">
        <f>IF(B687="","",Cfg_StartWeight-B687)</f>
        <v/>
      </c>
      <c r="J687" s="10">
        <f>IF(OR(B687="",G687=""),"",I687-G687)</f>
        <v/>
      </c>
      <c r="K687" s="9">
        <f>IF(B687="","",IFERROR(AVERAGEIFS($B$2:$B$1001,$A$2:$A$1001,"&gt;="&amp;A687-6,$A$2:$A$1001,"&lt;="&amp;A687),""))</f>
        <v/>
      </c>
    </row>
    <row r="688">
      <c r="A688" s="7" t="n"/>
      <c r="B688" s="8" t="n"/>
      <c r="E688">
        <f>IF(C688="","",C688-Cfg_TDEE-IFERROR(D688,0))</f>
        <v/>
      </c>
      <c r="F688">
        <f>IF(E688="","",IFERROR(F687,0)+(-E688))</f>
        <v/>
      </c>
      <c r="G688" s="9">
        <f>IF(F688="","",F688/Cfg_FatConstant)</f>
        <v/>
      </c>
      <c r="H688" s="8">
        <f>IF(G688="","",Cfg_StartWeight-G688)</f>
        <v/>
      </c>
      <c r="I688" s="8">
        <f>IF(B688="","",Cfg_StartWeight-B688)</f>
        <v/>
      </c>
      <c r="J688" s="10">
        <f>IF(OR(B688="",G688=""),"",I688-G688)</f>
        <v/>
      </c>
      <c r="K688" s="9">
        <f>IF(B688="","",IFERROR(AVERAGEIFS($B$2:$B$1001,$A$2:$A$1001,"&gt;="&amp;A688-6,$A$2:$A$1001,"&lt;="&amp;A688),""))</f>
        <v/>
      </c>
    </row>
    <row r="689">
      <c r="A689" s="7" t="n"/>
      <c r="B689" s="8" t="n"/>
      <c r="E689">
        <f>IF(C689="","",C689-Cfg_TDEE-IFERROR(D689,0))</f>
        <v/>
      </c>
      <c r="F689">
        <f>IF(E689="","",IFERROR(F688,0)+(-E689))</f>
        <v/>
      </c>
      <c r="G689" s="9">
        <f>IF(F689="","",F689/Cfg_FatConstant)</f>
        <v/>
      </c>
      <c r="H689" s="8">
        <f>IF(G689="","",Cfg_StartWeight-G689)</f>
        <v/>
      </c>
      <c r="I689" s="8">
        <f>IF(B689="","",Cfg_StartWeight-B689)</f>
        <v/>
      </c>
      <c r="J689" s="10">
        <f>IF(OR(B689="",G689=""),"",I689-G689)</f>
        <v/>
      </c>
      <c r="K689" s="9">
        <f>IF(B689="","",IFERROR(AVERAGEIFS($B$2:$B$1001,$A$2:$A$1001,"&gt;="&amp;A689-6,$A$2:$A$1001,"&lt;="&amp;A689),""))</f>
        <v/>
      </c>
    </row>
    <row r="690">
      <c r="A690" s="7" t="n"/>
      <c r="B690" s="8" t="n"/>
      <c r="E690">
        <f>IF(C690="","",C690-Cfg_TDEE-IFERROR(D690,0))</f>
        <v/>
      </c>
      <c r="F690">
        <f>IF(E690="","",IFERROR(F689,0)+(-E690))</f>
        <v/>
      </c>
      <c r="G690" s="9">
        <f>IF(F690="","",F690/Cfg_FatConstant)</f>
        <v/>
      </c>
      <c r="H690" s="8">
        <f>IF(G690="","",Cfg_StartWeight-G690)</f>
        <v/>
      </c>
      <c r="I690" s="8">
        <f>IF(B690="","",Cfg_StartWeight-B690)</f>
        <v/>
      </c>
      <c r="J690" s="10">
        <f>IF(OR(B690="",G690=""),"",I690-G690)</f>
        <v/>
      </c>
      <c r="K690" s="9">
        <f>IF(B690="","",IFERROR(AVERAGEIFS($B$2:$B$1001,$A$2:$A$1001,"&gt;="&amp;A690-6,$A$2:$A$1001,"&lt;="&amp;A690),""))</f>
        <v/>
      </c>
    </row>
    <row r="691">
      <c r="A691" s="7" t="n"/>
      <c r="B691" s="8" t="n"/>
      <c r="E691">
        <f>IF(C691="","",C691-Cfg_TDEE-IFERROR(D691,0))</f>
        <v/>
      </c>
      <c r="F691">
        <f>IF(E691="","",IFERROR(F690,0)+(-E691))</f>
        <v/>
      </c>
      <c r="G691" s="9">
        <f>IF(F691="","",F691/Cfg_FatConstant)</f>
        <v/>
      </c>
      <c r="H691" s="8">
        <f>IF(G691="","",Cfg_StartWeight-G691)</f>
        <v/>
      </c>
      <c r="I691" s="8">
        <f>IF(B691="","",Cfg_StartWeight-B691)</f>
        <v/>
      </c>
      <c r="J691" s="10">
        <f>IF(OR(B691="",G691=""),"",I691-G691)</f>
        <v/>
      </c>
      <c r="K691" s="9">
        <f>IF(B691="","",IFERROR(AVERAGEIFS($B$2:$B$1001,$A$2:$A$1001,"&gt;="&amp;A691-6,$A$2:$A$1001,"&lt;="&amp;A691),""))</f>
        <v/>
      </c>
    </row>
    <row r="692">
      <c r="A692" s="7" t="n"/>
      <c r="B692" s="8" t="n"/>
      <c r="E692">
        <f>IF(C692="","",C692-Cfg_TDEE-IFERROR(D692,0))</f>
        <v/>
      </c>
      <c r="F692">
        <f>IF(E692="","",IFERROR(F691,0)+(-E692))</f>
        <v/>
      </c>
      <c r="G692" s="9">
        <f>IF(F692="","",F692/Cfg_FatConstant)</f>
        <v/>
      </c>
      <c r="H692" s="8">
        <f>IF(G692="","",Cfg_StartWeight-G692)</f>
        <v/>
      </c>
      <c r="I692" s="8">
        <f>IF(B692="","",Cfg_StartWeight-B692)</f>
        <v/>
      </c>
      <c r="J692" s="10">
        <f>IF(OR(B692="",G692=""),"",I692-G692)</f>
        <v/>
      </c>
      <c r="K692" s="9">
        <f>IF(B692="","",IFERROR(AVERAGEIFS($B$2:$B$1001,$A$2:$A$1001,"&gt;="&amp;A692-6,$A$2:$A$1001,"&lt;="&amp;A692),""))</f>
        <v/>
      </c>
    </row>
    <row r="693">
      <c r="A693" s="7" t="n"/>
      <c r="B693" s="8" t="n"/>
      <c r="E693">
        <f>IF(C693="","",C693-Cfg_TDEE-IFERROR(D693,0))</f>
        <v/>
      </c>
      <c r="F693">
        <f>IF(E693="","",IFERROR(F692,0)+(-E693))</f>
        <v/>
      </c>
      <c r="G693" s="9">
        <f>IF(F693="","",F693/Cfg_FatConstant)</f>
        <v/>
      </c>
      <c r="H693" s="8">
        <f>IF(G693="","",Cfg_StartWeight-G693)</f>
        <v/>
      </c>
      <c r="I693" s="8">
        <f>IF(B693="","",Cfg_StartWeight-B693)</f>
        <v/>
      </c>
      <c r="J693" s="10">
        <f>IF(OR(B693="",G693=""),"",I693-G693)</f>
        <v/>
      </c>
      <c r="K693" s="9">
        <f>IF(B693="","",IFERROR(AVERAGEIFS($B$2:$B$1001,$A$2:$A$1001,"&gt;="&amp;A693-6,$A$2:$A$1001,"&lt;="&amp;A693),""))</f>
        <v/>
      </c>
    </row>
    <row r="694">
      <c r="A694" s="7" t="n"/>
      <c r="B694" s="8" t="n"/>
      <c r="E694">
        <f>IF(C694="","",C694-Cfg_TDEE-IFERROR(D694,0))</f>
        <v/>
      </c>
      <c r="F694">
        <f>IF(E694="","",IFERROR(F693,0)+(-E694))</f>
        <v/>
      </c>
      <c r="G694" s="9">
        <f>IF(F694="","",F694/Cfg_FatConstant)</f>
        <v/>
      </c>
      <c r="H694" s="8">
        <f>IF(G694="","",Cfg_StartWeight-G694)</f>
        <v/>
      </c>
      <c r="I694" s="8">
        <f>IF(B694="","",Cfg_StartWeight-B694)</f>
        <v/>
      </c>
      <c r="J694" s="10">
        <f>IF(OR(B694="",G694=""),"",I694-G694)</f>
        <v/>
      </c>
      <c r="K694" s="9">
        <f>IF(B694="","",IFERROR(AVERAGEIFS($B$2:$B$1001,$A$2:$A$1001,"&gt;="&amp;A694-6,$A$2:$A$1001,"&lt;="&amp;A694),""))</f>
        <v/>
      </c>
    </row>
    <row r="695">
      <c r="A695" s="7" t="n"/>
      <c r="B695" s="8" t="n"/>
      <c r="E695">
        <f>IF(C695="","",C695-Cfg_TDEE-IFERROR(D695,0))</f>
        <v/>
      </c>
      <c r="F695">
        <f>IF(E695="","",IFERROR(F694,0)+(-E695))</f>
        <v/>
      </c>
      <c r="G695" s="9">
        <f>IF(F695="","",F695/Cfg_FatConstant)</f>
        <v/>
      </c>
      <c r="H695" s="8">
        <f>IF(G695="","",Cfg_StartWeight-G695)</f>
        <v/>
      </c>
      <c r="I695" s="8">
        <f>IF(B695="","",Cfg_StartWeight-B695)</f>
        <v/>
      </c>
      <c r="J695" s="10">
        <f>IF(OR(B695="",G695=""),"",I695-G695)</f>
        <v/>
      </c>
      <c r="K695" s="9">
        <f>IF(B695="","",IFERROR(AVERAGEIFS($B$2:$B$1001,$A$2:$A$1001,"&gt;="&amp;A695-6,$A$2:$A$1001,"&lt;="&amp;A695),""))</f>
        <v/>
      </c>
    </row>
    <row r="696">
      <c r="A696" s="7" t="n"/>
      <c r="B696" s="8" t="n"/>
      <c r="E696">
        <f>IF(C696="","",C696-Cfg_TDEE-IFERROR(D696,0))</f>
        <v/>
      </c>
      <c r="F696">
        <f>IF(E696="","",IFERROR(F695,0)+(-E696))</f>
        <v/>
      </c>
      <c r="G696" s="9">
        <f>IF(F696="","",F696/Cfg_FatConstant)</f>
        <v/>
      </c>
      <c r="H696" s="8">
        <f>IF(G696="","",Cfg_StartWeight-G696)</f>
        <v/>
      </c>
      <c r="I696" s="8">
        <f>IF(B696="","",Cfg_StartWeight-B696)</f>
        <v/>
      </c>
      <c r="J696" s="10">
        <f>IF(OR(B696="",G696=""),"",I696-G696)</f>
        <v/>
      </c>
      <c r="K696" s="9">
        <f>IF(B696="","",IFERROR(AVERAGEIFS($B$2:$B$1001,$A$2:$A$1001,"&gt;="&amp;A696-6,$A$2:$A$1001,"&lt;="&amp;A696),""))</f>
        <v/>
      </c>
    </row>
    <row r="697">
      <c r="A697" s="7" t="n"/>
      <c r="B697" s="8" t="n"/>
      <c r="E697">
        <f>IF(C697="","",C697-Cfg_TDEE-IFERROR(D697,0))</f>
        <v/>
      </c>
      <c r="F697">
        <f>IF(E697="","",IFERROR(F696,0)+(-E697))</f>
        <v/>
      </c>
      <c r="G697" s="9">
        <f>IF(F697="","",F697/Cfg_FatConstant)</f>
        <v/>
      </c>
      <c r="H697" s="8">
        <f>IF(G697="","",Cfg_StartWeight-G697)</f>
        <v/>
      </c>
      <c r="I697" s="8">
        <f>IF(B697="","",Cfg_StartWeight-B697)</f>
        <v/>
      </c>
      <c r="J697" s="10">
        <f>IF(OR(B697="",G697=""),"",I697-G697)</f>
        <v/>
      </c>
      <c r="K697" s="9">
        <f>IF(B697="","",IFERROR(AVERAGEIFS($B$2:$B$1001,$A$2:$A$1001,"&gt;="&amp;A697-6,$A$2:$A$1001,"&lt;="&amp;A697),""))</f>
        <v/>
      </c>
    </row>
    <row r="698">
      <c r="A698" s="7" t="n"/>
      <c r="B698" s="8" t="n"/>
      <c r="E698">
        <f>IF(C698="","",C698-Cfg_TDEE-IFERROR(D698,0))</f>
        <v/>
      </c>
      <c r="F698">
        <f>IF(E698="","",IFERROR(F697,0)+(-E698))</f>
        <v/>
      </c>
      <c r="G698" s="9">
        <f>IF(F698="","",F698/Cfg_FatConstant)</f>
        <v/>
      </c>
      <c r="H698" s="8">
        <f>IF(G698="","",Cfg_StartWeight-G698)</f>
        <v/>
      </c>
      <c r="I698" s="8">
        <f>IF(B698="","",Cfg_StartWeight-B698)</f>
        <v/>
      </c>
      <c r="J698" s="10">
        <f>IF(OR(B698="",G698=""),"",I698-G698)</f>
        <v/>
      </c>
      <c r="K698" s="9">
        <f>IF(B698="","",IFERROR(AVERAGEIFS($B$2:$B$1001,$A$2:$A$1001,"&gt;="&amp;A698-6,$A$2:$A$1001,"&lt;="&amp;A698),""))</f>
        <v/>
      </c>
    </row>
    <row r="699">
      <c r="A699" s="7" t="n"/>
      <c r="B699" s="8" t="n"/>
      <c r="E699">
        <f>IF(C699="","",C699-Cfg_TDEE-IFERROR(D699,0))</f>
        <v/>
      </c>
      <c r="F699">
        <f>IF(E699="","",IFERROR(F698,0)+(-E699))</f>
        <v/>
      </c>
      <c r="G699" s="9">
        <f>IF(F699="","",F699/Cfg_FatConstant)</f>
        <v/>
      </c>
      <c r="H699" s="8">
        <f>IF(G699="","",Cfg_StartWeight-G699)</f>
        <v/>
      </c>
      <c r="I699" s="8">
        <f>IF(B699="","",Cfg_StartWeight-B699)</f>
        <v/>
      </c>
      <c r="J699" s="10">
        <f>IF(OR(B699="",G699=""),"",I699-G699)</f>
        <v/>
      </c>
      <c r="K699" s="9">
        <f>IF(B699="","",IFERROR(AVERAGEIFS($B$2:$B$1001,$A$2:$A$1001,"&gt;="&amp;A699-6,$A$2:$A$1001,"&lt;="&amp;A699),""))</f>
        <v/>
      </c>
    </row>
    <row r="700">
      <c r="A700" s="7" t="n"/>
      <c r="B700" s="8" t="n"/>
      <c r="E700">
        <f>IF(C700="","",C700-Cfg_TDEE-IFERROR(D700,0))</f>
        <v/>
      </c>
      <c r="F700">
        <f>IF(E700="","",IFERROR(F699,0)+(-E700))</f>
        <v/>
      </c>
      <c r="G700" s="9">
        <f>IF(F700="","",F700/Cfg_FatConstant)</f>
        <v/>
      </c>
      <c r="H700" s="8">
        <f>IF(G700="","",Cfg_StartWeight-G700)</f>
        <v/>
      </c>
      <c r="I700" s="8">
        <f>IF(B700="","",Cfg_StartWeight-B700)</f>
        <v/>
      </c>
      <c r="J700" s="10">
        <f>IF(OR(B700="",G700=""),"",I700-G700)</f>
        <v/>
      </c>
      <c r="K700" s="9">
        <f>IF(B700="","",IFERROR(AVERAGEIFS($B$2:$B$1001,$A$2:$A$1001,"&gt;="&amp;A700-6,$A$2:$A$1001,"&lt;="&amp;A700),""))</f>
        <v/>
      </c>
    </row>
    <row r="701">
      <c r="A701" s="7" t="n"/>
      <c r="B701" s="8" t="n"/>
      <c r="E701">
        <f>IF(C701="","",C701-Cfg_TDEE-IFERROR(D701,0))</f>
        <v/>
      </c>
      <c r="F701">
        <f>IF(E701="","",IFERROR(F700,0)+(-E701))</f>
        <v/>
      </c>
      <c r="G701" s="9">
        <f>IF(F701="","",F701/Cfg_FatConstant)</f>
        <v/>
      </c>
      <c r="H701" s="8">
        <f>IF(G701="","",Cfg_StartWeight-G701)</f>
        <v/>
      </c>
      <c r="I701" s="8">
        <f>IF(B701="","",Cfg_StartWeight-B701)</f>
        <v/>
      </c>
      <c r="J701" s="10">
        <f>IF(OR(B701="",G701=""),"",I701-G701)</f>
        <v/>
      </c>
      <c r="K701" s="9">
        <f>IF(B701="","",IFERROR(AVERAGEIFS($B$2:$B$1001,$A$2:$A$1001,"&gt;="&amp;A701-6,$A$2:$A$1001,"&lt;="&amp;A701),""))</f>
        <v/>
      </c>
    </row>
    <row r="702">
      <c r="A702" s="7" t="n"/>
      <c r="B702" s="8" t="n"/>
      <c r="E702">
        <f>IF(C702="","",C702-Cfg_TDEE-IFERROR(D702,0))</f>
        <v/>
      </c>
      <c r="F702">
        <f>IF(E702="","",IFERROR(F701,0)+(-E702))</f>
        <v/>
      </c>
      <c r="G702" s="9">
        <f>IF(F702="","",F702/Cfg_FatConstant)</f>
        <v/>
      </c>
      <c r="H702" s="8">
        <f>IF(G702="","",Cfg_StartWeight-G702)</f>
        <v/>
      </c>
      <c r="I702" s="8">
        <f>IF(B702="","",Cfg_StartWeight-B702)</f>
        <v/>
      </c>
      <c r="J702" s="10">
        <f>IF(OR(B702="",G702=""),"",I702-G702)</f>
        <v/>
      </c>
      <c r="K702" s="9">
        <f>IF(B702="","",IFERROR(AVERAGEIFS($B$2:$B$1001,$A$2:$A$1001,"&gt;="&amp;A702-6,$A$2:$A$1001,"&lt;="&amp;A702),""))</f>
        <v/>
      </c>
    </row>
    <row r="703">
      <c r="A703" s="7" t="n"/>
      <c r="B703" s="8" t="n"/>
      <c r="E703">
        <f>IF(C703="","",C703-Cfg_TDEE-IFERROR(D703,0))</f>
        <v/>
      </c>
      <c r="F703">
        <f>IF(E703="","",IFERROR(F702,0)+(-E703))</f>
        <v/>
      </c>
      <c r="G703" s="9">
        <f>IF(F703="","",F703/Cfg_FatConstant)</f>
        <v/>
      </c>
      <c r="H703" s="8">
        <f>IF(G703="","",Cfg_StartWeight-G703)</f>
        <v/>
      </c>
      <c r="I703" s="8">
        <f>IF(B703="","",Cfg_StartWeight-B703)</f>
        <v/>
      </c>
      <c r="J703" s="10">
        <f>IF(OR(B703="",G703=""),"",I703-G703)</f>
        <v/>
      </c>
      <c r="K703" s="9">
        <f>IF(B703="","",IFERROR(AVERAGEIFS($B$2:$B$1001,$A$2:$A$1001,"&gt;="&amp;A703-6,$A$2:$A$1001,"&lt;="&amp;A703),""))</f>
        <v/>
      </c>
    </row>
    <row r="704">
      <c r="A704" s="7" t="n"/>
      <c r="B704" s="8" t="n"/>
      <c r="E704">
        <f>IF(C704="","",C704-Cfg_TDEE-IFERROR(D704,0))</f>
        <v/>
      </c>
      <c r="F704">
        <f>IF(E704="","",IFERROR(F703,0)+(-E704))</f>
        <v/>
      </c>
      <c r="G704" s="9">
        <f>IF(F704="","",F704/Cfg_FatConstant)</f>
        <v/>
      </c>
      <c r="H704" s="8">
        <f>IF(G704="","",Cfg_StartWeight-G704)</f>
        <v/>
      </c>
      <c r="I704" s="8">
        <f>IF(B704="","",Cfg_StartWeight-B704)</f>
        <v/>
      </c>
      <c r="J704" s="10">
        <f>IF(OR(B704="",G704=""),"",I704-G704)</f>
        <v/>
      </c>
      <c r="K704" s="9">
        <f>IF(B704="","",IFERROR(AVERAGEIFS($B$2:$B$1001,$A$2:$A$1001,"&gt;="&amp;A704-6,$A$2:$A$1001,"&lt;="&amp;A704),""))</f>
        <v/>
      </c>
    </row>
    <row r="705">
      <c r="A705" s="7" t="n"/>
      <c r="B705" s="8" t="n"/>
      <c r="E705">
        <f>IF(C705="","",C705-Cfg_TDEE-IFERROR(D705,0))</f>
        <v/>
      </c>
      <c r="F705">
        <f>IF(E705="","",IFERROR(F704,0)+(-E705))</f>
        <v/>
      </c>
      <c r="G705" s="9">
        <f>IF(F705="","",F705/Cfg_FatConstant)</f>
        <v/>
      </c>
      <c r="H705" s="8">
        <f>IF(G705="","",Cfg_StartWeight-G705)</f>
        <v/>
      </c>
      <c r="I705" s="8">
        <f>IF(B705="","",Cfg_StartWeight-B705)</f>
        <v/>
      </c>
      <c r="J705" s="10">
        <f>IF(OR(B705="",G705=""),"",I705-G705)</f>
        <v/>
      </c>
      <c r="K705" s="9">
        <f>IF(B705="","",IFERROR(AVERAGEIFS($B$2:$B$1001,$A$2:$A$1001,"&gt;="&amp;A705-6,$A$2:$A$1001,"&lt;="&amp;A705),""))</f>
        <v/>
      </c>
    </row>
    <row r="706">
      <c r="A706" s="7" t="n"/>
      <c r="B706" s="8" t="n"/>
      <c r="E706">
        <f>IF(C706="","",C706-Cfg_TDEE-IFERROR(D706,0))</f>
        <v/>
      </c>
      <c r="F706">
        <f>IF(E706="","",IFERROR(F705,0)+(-E706))</f>
        <v/>
      </c>
      <c r="G706" s="9">
        <f>IF(F706="","",F706/Cfg_FatConstant)</f>
        <v/>
      </c>
      <c r="H706" s="8">
        <f>IF(G706="","",Cfg_StartWeight-G706)</f>
        <v/>
      </c>
      <c r="I706" s="8">
        <f>IF(B706="","",Cfg_StartWeight-B706)</f>
        <v/>
      </c>
      <c r="J706" s="10">
        <f>IF(OR(B706="",G706=""),"",I706-G706)</f>
        <v/>
      </c>
      <c r="K706" s="9">
        <f>IF(B706="","",IFERROR(AVERAGEIFS($B$2:$B$1001,$A$2:$A$1001,"&gt;="&amp;A706-6,$A$2:$A$1001,"&lt;="&amp;A706),""))</f>
        <v/>
      </c>
    </row>
    <row r="707">
      <c r="A707" s="7" t="n"/>
      <c r="B707" s="8" t="n"/>
      <c r="E707">
        <f>IF(C707="","",C707-Cfg_TDEE-IFERROR(D707,0))</f>
        <v/>
      </c>
      <c r="F707">
        <f>IF(E707="","",IFERROR(F706,0)+(-E707))</f>
        <v/>
      </c>
      <c r="G707" s="9">
        <f>IF(F707="","",F707/Cfg_FatConstant)</f>
        <v/>
      </c>
      <c r="H707" s="8">
        <f>IF(G707="","",Cfg_StartWeight-G707)</f>
        <v/>
      </c>
      <c r="I707" s="8">
        <f>IF(B707="","",Cfg_StartWeight-B707)</f>
        <v/>
      </c>
      <c r="J707" s="10">
        <f>IF(OR(B707="",G707=""),"",I707-G707)</f>
        <v/>
      </c>
      <c r="K707" s="9">
        <f>IF(B707="","",IFERROR(AVERAGEIFS($B$2:$B$1001,$A$2:$A$1001,"&gt;="&amp;A707-6,$A$2:$A$1001,"&lt;="&amp;A707),""))</f>
        <v/>
      </c>
    </row>
    <row r="708">
      <c r="A708" s="7" t="n"/>
      <c r="B708" s="8" t="n"/>
      <c r="E708">
        <f>IF(C708="","",C708-Cfg_TDEE-IFERROR(D708,0))</f>
        <v/>
      </c>
      <c r="F708">
        <f>IF(E708="","",IFERROR(F707,0)+(-E708))</f>
        <v/>
      </c>
      <c r="G708" s="9">
        <f>IF(F708="","",F708/Cfg_FatConstant)</f>
        <v/>
      </c>
      <c r="H708" s="8">
        <f>IF(G708="","",Cfg_StartWeight-G708)</f>
        <v/>
      </c>
      <c r="I708" s="8">
        <f>IF(B708="","",Cfg_StartWeight-B708)</f>
        <v/>
      </c>
      <c r="J708" s="10">
        <f>IF(OR(B708="",G708=""),"",I708-G708)</f>
        <v/>
      </c>
      <c r="K708" s="9">
        <f>IF(B708="","",IFERROR(AVERAGEIFS($B$2:$B$1001,$A$2:$A$1001,"&gt;="&amp;A708-6,$A$2:$A$1001,"&lt;="&amp;A708),""))</f>
        <v/>
      </c>
    </row>
    <row r="709">
      <c r="A709" s="7" t="n"/>
      <c r="B709" s="8" t="n"/>
      <c r="E709">
        <f>IF(C709="","",C709-Cfg_TDEE-IFERROR(D709,0))</f>
        <v/>
      </c>
      <c r="F709">
        <f>IF(E709="","",IFERROR(F708,0)+(-E709))</f>
        <v/>
      </c>
      <c r="G709" s="9">
        <f>IF(F709="","",F709/Cfg_FatConstant)</f>
        <v/>
      </c>
      <c r="H709" s="8">
        <f>IF(G709="","",Cfg_StartWeight-G709)</f>
        <v/>
      </c>
      <c r="I709" s="8">
        <f>IF(B709="","",Cfg_StartWeight-B709)</f>
        <v/>
      </c>
      <c r="J709" s="10">
        <f>IF(OR(B709="",G709=""),"",I709-G709)</f>
        <v/>
      </c>
      <c r="K709" s="9">
        <f>IF(B709="","",IFERROR(AVERAGEIFS($B$2:$B$1001,$A$2:$A$1001,"&gt;="&amp;A709-6,$A$2:$A$1001,"&lt;="&amp;A709),""))</f>
        <v/>
      </c>
    </row>
    <row r="710">
      <c r="A710" s="7" t="n"/>
      <c r="B710" s="8" t="n"/>
      <c r="E710">
        <f>IF(C710="","",C710-Cfg_TDEE-IFERROR(D710,0))</f>
        <v/>
      </c>
      <c r="F710">
        <f>IF(E710="","",IFERROR(F709,0)+(-E710))</f>
        <v/>
      </c>
      <c r="G710" s="9">
        <f>IF(F710="","",F710/Cfg_FatConstant)</f>
        <v/>
      </c>
      <c r="H710" s="8">
        <f>IF(G710="","",Cfg_StartWeight-G710)</f>
        <v/>
      </c>
      <c r="I710" s="8">
        <f>IF(B710="","",Cfg_StartWeight-B710)</f>
        <v/>
      </c>
      <c r="J710" s="10">
        <f>IF(OR(B710="",G710=""),"",I710-G710)</f>
        <v/>
      </c>
      <c r="K710" s="9">
        <f>IF(B710="","",IFERROR(AVERAGEIFS($B$2:$B$1001,$A$2:$A$1001,"&gt;="&amp;A710-6,$A$2:$A$1001,"&lt;="&amp;A710),""))</f>
        <v/>
      </c>
    </row>
    <row r="711">
      <c r="A711" s="7" t="n"/>
      <c r="B711" s="8" t="n"/>
      <c r="E711">
        <f>IF(C711="","",C711-Cfg_TDEE-IFERROR(D711,0))</f>
        <v/>
      </c>
      <c r="F711">
        <f>IF(E711="","",IFERROR(F710,0)+(-E711))</f>
        <v/>
      </c>
      <c r="G711" s="9">
        <f>IF(F711="","",F711/Cfg_FatConstant)</f>
        <v/>
      </c>
      <c r="H711" s="8">
        <f>IF(G711="","",Cfg_StartWeight-G711)</f>
        <v/>
      </c>
      <c r="I711" s="8">
        <f>IF(B711="","",Cfg_StartWeight-B711)</f>
        <v/>
      </c>
      <c r="J711" s="10">
        <f>IF(OR(B711="",G711=""),"",I711-G711)</f>
        <v/>
      </c>
      <c r="K711" s="9">
        <f>IF(B711="","",IFERROR(AVERAGEIFS($B$2:$B$1001,$A$2:$A$1001,"&gt;="&amp;A711-6,$A$2:$A$1001,"&lt;="&amp;A711),""))</f>
        <v/>
      </c>
    </row>
    <row r="712">
      <c r="A712" s="7" t="n"/>
      <c r="B712" s="8" t="n"/>
      <c r="E712">
        <f>IF(C712="","",C712-Cfg_TDEE-IFERROR(D712,0))</f>
        <v/>
      </c>
      <c r="F712">
        <f>IF(E712="","",IFERROR(F711,0)+(-E712))</f>
        <v/>
      </c>
      <c r="G712" s="9">
        <f>IF(F712="","",F712/Cfg_FatConstant)</f>
        <v/>
      </c>
      <c r="H712" s="8">
        <f>IF(G712="","",Cfg_StartWeight-G712)</f>
        <v/>
      </c>
      <c r="I712" s="8">
        <f>IF(B712="","",Cfg_StartWeight-B712)</f>
        <v/>
      </c>
      <c r="J712" s="10">
        <f>IF(OR(B712="",G712=""),"",I712-G712)</f>
        <v/>
      </c>
      <c r="K712" s="9">
        <f>IF(B712="","",IFERROR(AVERAGEIFS($B$2:$B$1001,$A$2:$A$1001,"&gt;="&amp;A712-6,$A$2:$A$1001,"&lt;="&amp;A712),""))</f>
        <v/>
      </c>
    </row>
    <row r="713">
      <c r="A713" s="7" t="n"/>
      <c r="B713" s="8" t="n"/>
      <c r="E713">
        <f>IF(C713="","",C713-Cfg_TDEE-IFERROR(D713,0))</f>
        <v/>
      </c>
      <c r="F713">
        <f>IF(E713="","",IFERROR(F712,0)+(-E713))</f>
        <v/>
      </c>
      <c r="G713" s="9">
        <f>IF(F713="","",F713/Cfg_FatConstant)</f>
        <v/>
      </c>
      <c r="H713" s="8">
        <f>IF(G713="","",Cfg_StartWeight-G713)</f>
        <v/>
      </c>
      <c r="I713" s="8">
        <f>IF(B713="","",Cfg_StartWeight-B713)</f>
        <v/>
      </c>
      <c r="J713" s="10">
        <f>IF(OR(B713="",G713=""),"",I713-G713)</f>
        <v/>
      </c>
      <c r="K713" s="9">
        <f>IF(B713="","",IFERROR(AVERAGEIFS($B$2:$B$1001,$A$2:$A$1001,"&gt;="&amp;A713-6,$A$2:$A$1001,"&lt;="&amp;A713),""))</f>
        <v/>
      </c>
    </row>
    <row r="714">
      <c r="A714" s="7" t="n"/>
      <c r="B714" s="8" t="n"/>
      <c r="E714">
        <f>IF(C714="","",C714-Cfg_TDEE-IFERROR(D714,0))</f>
        <v/>
      </c>
      <c r="F714">
        <f>IF(E714="","",IFERROR(F713,0)+(-E714))</f>
        <v/>
      </c>
      <c r="G714" s="9">
        <f>IF(F714="","",F714/Cfg_FatConstant)</f>
        <v/>
      </c>
      <c r="H714" s="8">
        <f>IF(G714="","",Cfg_StartWeight-G714)</f>
        <v/>
      </c>
      <c r="I714" s="8">
        <f>IF(B714="","",Cfg_StartWeight-B714)</f>
        <v/>
      </c>
      <c r="J714" s="10">
        <f>IF(OR(B714="",G714=""),"",I714-G714)</f>
        <v/>
      </c>
      <c r="K714" s="9">
        <f>IF(B714="","",IFERROR(AVERAGEIFS($B$2:$B$1001,$A$2:$A$1001,"&gt;="&amp;A714-6,$A$2:$A$1001,"&lt;="&amp;A714),""))</f>
        <v/>
      </c>
    </row>
    <row r="715">
      <c r="A715" s="7" t="n"/>
      <c r="B715" s="8" t="n"/>
      <c r="E715">
        <f>IF(C715="","",C715-Cfg_TDEE-IFERROR(D715,0))</f>
        <v/>
      </c>
      <c r="F715">
        <f>IF(E715="","",IFERROR(F714,0)+(-E715))</f>
        <v/>
      </c>
      <c r="G715" s="9">
        <f>IF(F715="","",F715/Cfg_FatConstant)</f>
        <v/>
      </c>
      <c r="H715" s="8">
        <f>IF(G715="","",Cfg_StartWeight-G715)</f>
        <v/>
      </c>
      <c r="I715" s="8">
        <f>IF(B715="","",Cfg_StartWeight-B715)</f>
        <v/>
      </c>
      <c r="J715" s="10">
        <f>IF(OR(B715="",G715=""),"",I715-G715)</f>
        <v/>
      </c>
      <c r="K715" s="9">
        <f>IF(B715="","",IFERROR(AVERAGEIFS($B$2:$B$1001,$A$2:$A$1001,"&gt;="&amp;A715-6,$A$2:$A$1001,"&lt;="&amp;A715),""))</f>
        <v/>
      </c>
    </row>
    <row r="716">
      <c r="A716" s="7" t="n"/>
      <c r="B716" s="8" t="n"/>
      <c r="E716">
        <f>IF(C716="","",C716-Cfg_TDEE-IFERROR(D716,0))</f>
        <v/>
      </c>
      <c r="F716">
        <f>IF(E716="","",IFERROR(F715,0)+(-E716))</f>
        <v/>
      </c>
      <c r="G716" s="9">
        <f>IF(F716="","",F716/Cfg_FatConstant)</f>
        <v/>
      </c>
      <c r="H716" s="8">
        <f>IF(G716="","",Cfg_StartWeight-G716)</f>
        <v/>
      </c>
      <c r="I716" s="8">
        <f>IF(B716="","",Cfg_StartWeight-B716)</f>
        <v/>
      </c>
      <c r="J716" s="10">
        <f>IF(OR(B716="",G716=""),"",I716-G716)</f>
        <v/>
      </c>
      <c r="K716" s="9">
        <f>IF(B716="","",IFERROR(AVERAGEIFS($B$2:$B$1001,$A$2:$A$1001,"&gt;="&amp;A716-6,$A$2:$A$1001,"&lt;="&amp;A716),""))</f>
        <v/>
      </c>
    </row>
    <row r="717">
      <c r="A717" s="7" t="n"/>
      <c r="B717" s="8" t="n"/>
      <c r="E717">
        <f>IF(C717="","",C717-Cfg_TDEE-IFERROR(D717,0))</f>
        <v/>
      </c>
      <c r="F717">
        <f>IF(E717="","",IFERROR(F716,0)+(-E717))</f>
        <v/>
      </c>
      <c r="G717" s="9">
        <f>IF(F717="","",F717/Cfg_FatConstant)</f>
        <v/>
      </c>
      <c r="H717" s="8">
        <f>IF(G717="","",Cfg_StartWeight-G717)</f>
        <v/>
      </c>
      <c r="I717" s="8">
        <f>IF(B717="","",Cfg_StartWeight-B717)</f>
        <v/>
      </c>
      <c r="J717" s="10">
        <f>IF(OR(B717="",G717=""),"",I717-G717)</f>
        <v/>
      </c>
      <c r="K717" s="9">
        <f>IF(B717="","",IFERROR(AVERAGEIFS($B$2:$B$1001,$A$2:$A$1001,"&gt;="&amp;A717-6,$A$2:$A$1001,"&lt;="&amp;A717),""))</f>
        <v/>
      </c>
    </row>
    <row r="718">
      <c r="A718" s="7" t="n"/>
      <c r="B718" s="8" t="n"/>
      <c r="E718">
        <f>IF(C718="","",C718-Cfg_TDEE-IFERROR(D718,0))</f>
        <v/>
      </c>
      <c r="F718">
        <f>IF(E718="","",IFERROR(F717,0)+(-E718))</f>
        <v/>
      </c>
      <c r="G718" s="9">
        <f>IF(F718="","",F718/Cfg_FatConstant)</f>
        <v/>
      </c>
      <c r="H718" s="8">
        <f>IF(G718="","",Cfg_StartWeight-G718)</f>
        <v/>
      </c>
      <c r="I718" s="8">
        <f>IF(B718="","",Cfg_StartWeight-B718)</f>
        <v/>
      </c>
      <c r="J718" s="10">
        <f>IF(OR(B718="",G718=""),"",I718-G718)</f>
        <v/>
      </c>
      <c r="K718" s="9">
        <f>IF(B718="","",IFERROR(AVERAGEIFS($B$2:$B$1001,$A$2:$A$1001,"&gt;="&amp;A718-6,$A$2:$A$1001,"&lt;="&amp;A718),""))</f>
        <v/>
      </c>
    </row>
    <row r="719">
      <c r="A719" s="7" t="n"/>
      <c r="B719" s="8" t="n"/>
      <c r="E719">
        <f>IF(C719="","",C719-Cfg_TDEE-IFERROR(D719,0))</f>
        <v/>
      </c>
      <c r="F719">
        <f>IF(E719="","",IFERROR(F718,0)+(-E719))</f>
        <v/>
      </c>
      <c r="G719" s="9">
        <f>IF(F719="","",F719/Cfg_FatConstant)</f>
        <v/>
      </c>
      <c r="H719" s="8">
        <f>IF(G719="","",Cfg_StartWeight-G719)</f>
        <v/>
      </c>
      <c r="I719" s="8">
        <f>IF(B719="","",Cfg_StartWeight-B719)</f>
        <v/>
      </c>
      <c r="J719" s="10">
        <f>IF(OR(B719="",G719=""),"",I719-G719)</f>
        <v/>
      </c>
      <c r="K719" s="9">
        <f>IF(B719="","",IFERROR(AVERAGEIFS($B$2:$B$1001,$A$2:$A$1001,"&gt;="&amp;A719-6,$A$2:$A$1001,"&lt;="&amp;A719),""))</f>
        <v/>
      </c>
    </row>
    <row r="720">
      <c r="A720" s="7" t="n"/>
      <c r="B720" s="8" t="n"/>
      <c r="E720">
        <f>IF(C720="","",C720-Cfg_TDEE-IFERROR(D720,0))</f>
        <v/>
      </c>
      <c r="F720">
        <f>IF(E720="","",IFERROR(F719,0)+(-E720))</f>
        <v/>
      </c>
      <c r="G720" s="9">
        <f>IF(F720="","",F720/Cfg_FatConstant)</f>
        <v/>
      </c>
      <c r="H720" s="8">
        <f>IF(G720="","",Cfg_StartWeight-G720)</f>
        <v/>
      </c>
      <c r="I720" s="8">
        <f>IF(B720="","",Cfg_StartWeight-B720)</f>
        <v/>
      </c>
      <c r="J720" s="10">
        <f>IF(OR(B720="",G720=""),"",I720-G720)</f>
        <v/>
      </c>
      <c r="K720" s="9">
        <f>IF(B720="","",IFERROR(AVERAGEIFS($B$2:$B$1001,$A$2:$A$1001,"&gt;="&amp;A720-6,$A$2:$A$1001,"&lt;="&amp;A720),""))</f>
        <v/>
      </c>
    </row>
    <row r="721">
      <c r="A721" s="7" t="n"/>
      <c r="B721" s="8" t="n"/>
      <c r="E721">
        <f>IF(C721="","",C721-Cfg_TDEE-IFERROR(D721,0))</f>
        <v/>
      </c>
      <c r="F721">
        <f>IF(E721="","",IFERROR(F720,0)+(-E721))</f>
        <v/>
      </c>
      <c r="G721" s="9">
        <f>IF(F721="","",F721/Cfg_FatConstant)</f>
        <v/>
      </c>
      <c r="H721" s="8">
        <f>IF(G721="","",Cfg_StartWeight-G721)</f>
        <v/>
      </c>
      <c r="I721" s="8">
        <f>IF(B721="","",Cfg_StartWeight-B721)</f>
        <v/>
      </c>
      <c r="J721" s="10">
        <f>IF(OR(B721="",G721=""),"",I721-G721)</f>
        <v/>
      </c>
      <c r="K721" s="9">
        <f>IF(B721="","",IFERROR(AVERAGEIFS($B$2:$B$1001,$A$2:$A$1001,"&gt;="&amp;A721-6,$A$2:$A$1001,"&lt;="&amp;A721),""))</f>
        <v/>
      </c>
    </row>
    <row r="722">
      <c r="A722" s="7" t="n"/>
      <c r="B722" s="8" t="n"/>
      <c r="E722">
        <f>IF(C722="","",C722-Cfg_TDEE-IFERROR(D722,0))</f>
        <v/>
      </c>
      <c r="F722">
        <f>IF(E722="","",IFERROR(F721,0)+(-E722))</f>
        <v/>
      </c>
      <c r="G722" s="9">
        <f>IF(F722="","",F722/Cfg_FatConstant)</f>
        <v/>
      </c>
      <c r="H722" s="8">
        <f>IF(G722="","",Cfg_StartWeight-G722)</f>
        <v/>
      </c>
      <c r="I722" s="8">
        <f>IF(B722="","",Cfg_StartWeight-B722)</f>
        <v/>
      </c>
      <c r="J722" s="10">
        <f>IF(OR(B722="",G722=""),"",I722-G722)</f>
        <v/>
      </c>
      <c r="K722" s="9">
        <f>IF(B722="","",IFERROR(AVERAGEIFS($B$2:$B$1001,$A$2:$A$1001,"&gt;="&amp;A722-6,$A$2:$A$1001,"&lt;="&amp;A722),""))</f>
        <v/>
      </c>
    </row>
    <row r="723">
      <c r="A723" s="7" t="n"/>
      <c r="B723" s="8" t="n"/>
      <c r="E723">
        <f>IF(C723="","",C723-Cfg_TDEE-IFERROR(D723,0))</f>
        <v/>
      </c>
      <c r="F723">
        <f>IF(E723="","",IFERROR(F722,0)+(-E723))</f>
        <v/>
      </c>
      <c r="G723" s="9">
        <f>IF(F723="","",F723/Cfg_FatConstant)</f>
        <v/>
      </c>
      <c r="H723" s="8">
        <f>IF(G723="","",Cfg_StartWeight-G723)</f>
        <v/>
      </c>
      <c r="I723" s="8">
        <f>IF(B723="","",Cfg_StartWeight-B723)</f>
        <v/>
      </c>
      <c r="J723" s="10">
        <f>IF(OR(B723="",G723=""),"",I723-G723)</f>
        <v/>
      </c>
      <c r="K723" s="9">
        <f>IF(B723="","",IFERROR(AVERAGEIFS($B$2:$B$1001,$A$2:$A$1001,"&gt;="&amp;A723-6,$A$2:$A$1001,"&lt;="&amp;A723),""))</f>
        <v/>
      </c>
    </row>
    <row r="724">
      <c r="A724" s="7" t="n"/>
      <c r="B724" s="8" t="n"/>
      <c r="E724">
        <f>IF(C724="","",C724-Cfg_TDEE-IFERROR(D724,0))</f>
        <v/>
      </c>
      <c r="F724">
        <f>IF(E724="","",IFERROR(F723,0)+(-E724))</f>
        <v/>
      </c>
      <c r="G724" s="9">
        <f>IF(F724="","",F724/Cfg_FatConstant)</f>
        <v/>
      </c>
      <c r="H724" s="8">
        <f>IF(G724="","",Cfg_StartWeight-G724)</f>
        <v/>
      </c>
      <c r="I724" s="8">
        <f>IF(B724="","",Cfg_StartWeight-B724)</f>
        <v/>
      </c>
      <c r="J724" s="10">
        <f>IF(OR(B724="",G724=""),"",I724-G724)</f>
        <v/>
      </c>
      <c r="K724" s="9">
        <f>IF(B724="","",IFERROR(AVERAGEIFS($B$2:$B$1001,$A$2:$A$1001,"&gt;="&amp;A724-6,$A$2:$A$1001,"&lt;="&amp;A724),""))</f>
        <v/>
      </c>
    </row>
    <row r="725">
      <c r="A725" s="7" t="n"/>
      <c r="B725" s="8" t="n"/>
      <c r="E725">
        <f>IF(C725="","",C725-Cfg_TDEE-IFERROR(D725,0))</f>
        <v/>
      </c>
      <c r="F725">
        <f>IF(E725="","",IFERROR(F724,0)+(-E725))</f>
        <v/>
      </c>
      <c r="G725" s="9">
        <f>IF(F725="","",F725/Cfg_FatConstant)</f>
        <v/>
      </c>
      <c r="H725" s="8">
        <f>IF(G725="","",Cfg_StartWeight-G725)</f>
        <v/>
      </c>
      <c r="I725" s="8">
        <f>IF(B725="","",Cfg_StartWeight-B725)</f>
        <v/>
      </c>
      <c r="J725" s="10">
        <f>IF(OR(B725="",G725=""),"",I725-G725)</f>
        <v/>
      </c>
      <c r="K725" s="9">
        <f>IF(B725="","",IFERROR(AVERAGEIFS($B$2:$B$1001,$A$2:$A$1001,"&gt;="&amp;A725-6,$A$2:$A$1001,"&lt;="&amp;A725),""))</f>
        <v/>
      </c>
    </row>
    <row r="726">
      <c r="A726" s="7" t="n"/>
      <c r="B726" s="8" t="n"/>
      <c r="E726">
        <f>IF(C726="","",C726-Cfg_TDEE-IFERROR(D726,0))</f>
        <v/>
      </c>
      <c r="F726">
        <f>IF(E726="","",IFERROR(F725,0)+(-E726))</f>
        <v/>
      </c>
      <c r="G726" s="9">
        <f>IF(F726="","",F726/Cfg_FatConstant)</f>
        <v/>
      </c>
      <c r="H726" s="8">
        <f>IF(G726="","",Cfg_StartWeight-G726)</f>
        <v/>
      </c>
      <c r="I726" s="8">
        <f>IF(B726="","",Cfg_StartWeight-B726)</f>
        <v/>
      </c>
      <c r="J726" s="10">
        <f>IF(OR(B726="",G726=""),"",I726-G726)</f>
        <v/>
      </c>
      <c r="K726" s="9">
        <f>IF(B726="","",IFERROR(AVERAGEIFS($B$2:$B$1001,$A$2:$A$1001,"&gt;="&amp;A726-6,$A$2:$A$1001,"&lt;="&amp;A726),""))</f>
        <v/>
      </c>
    </row>
    <row r="727">
      <c r="A727" s="7" t="n"/>
      <c r="B727" s="8" t="n"/>
      <c r="E727">
        <f>IF(C727="","",C727-Cfg_TDEE-IFERROR(D727,0))</f>
        <v/>
      </c>
      <c r="F727">
        <f>IF(E727="","",IFERROR(F726,0)+(-E727))</f>
        <v/>
      </c>
      <c r="G727" s="9">
        <f>IF(F727="","",F727/Cfg_FatConstant)</f>
        <v/>
      </c>
      <c r="H727" s="8">
        <f>IF(G727="","",Cfg_StartWeight-G727)</f>
        <v/>
      </c>
      <c r="I727" s="8">
        <f>IF(B727="","",Cfg_StartWeight-B727)</f>
        <v/>
      </c>
      <c r="J727" s="10">
        <f>IF(OR(B727="",G727=""),"",I727-G727)</f>
        <v/>
      </c>
      <c r="K727" s="9">
        <f>IF(B727="","",IFERROR(AVERAGEIFS($B$2:$B$1001,$A$2:$A$1001,"&gt;="&amp;A727-6,$A$2:$A$1001,"&lt;="&amp;A727),""))</f>
        <v/>
      </c>
    </row>
    <row r="728">
      <c r="A728" s="7" t="n"/>
      <c r="B728" s="8" t="n"/>
      <c r="E728">
        <f>IF(C728="","",C728-Cfg_TDEE-IFERROR(D728,0))</f>
        <v/>
      </c>
      <c r="F728">
        <f>IF(E728="","",IFERROR(F727,0)+(-E728))</f>
        <v/>
      </c>
      <c r="G728" s="9">
        <f>IF(F728="","",F728/Cfg_FatConstant)</f>
        <v/>
      </c>
      <c r="H728" s="8">
        <f>IF(G728="","",Cfg_StartWeight-G728)</f>
        <v/>
      </c>
      <c r="I728" s="8">
        <f>IF(B728="","",Cfg_StartWeight-B728)</f>
        <v/>
      </c>
      <c r="J728" s="10">
        <f>IF(OR(B728="",G728=""),"",I728-G728)</f>
        <v/>
      </c>
      <c r="K728" s="9">
        <f>IF(B728="","",IFERROR(AVERAGEIFS($B$2:$B$1001,$A$2:$A$1001,"&gt;="&amp;A728-6,$A$2:$A$1001,"&lt;="&amp;A728),""))</f>
        <v/>
      </c>
    </row>
    <row r="729">
      <c r="A729" s="7" t="n"/>
      <c r="B729" s="8" t="n"/>
      <c r="E729">
        <f>IF(C729="","",C729-Cfg_TDEE-IFERROR(D729,0))</f>
        <v/>
      </c>
      <c r="F729">
        <f>IF(E729="","",IFERROR(F728,0)+(-E729))</f>
        <v/>
      </c>
      <c r="G729" s="9">
        <f>IF(F729="","",F729/Cfg_FatConstant)</f>
        <v/>
      </c>
      <c r="H729" s="8">
        <f>IF(G729="","",Cfg_StartWeight-G729)</f>
        <v/>
      </c>
      <c r="I729" s="8">
        <f>IF(B729="","",Cfg_StartWeight-B729)</f>
        <v/>
      </c>
      <c r="J729" s="10">
        <f>IF(OR(B729="",G729=""),"",I729-G729)</f>
        <v/>
      </c>
      <c r="K729" s="9">
        <f>IF(B729="","",IFERROR(AVERAGEIFS($B$2:$B$1001,$A$2:$A$1001,"&gt;="&amp;A729-6,$A$2:$A$1001,"&lt;="&amp;A729),""))</f>
        <v/>
      </c>
    </row>
    <row r="730">
      <c r="A730" s="7" t="n"/>
      <c r="B730" s="8" t="n"/>
      <c r="E730">
        <f>IF(C730="","",C730-Cfg_TDEE-IFERROR(D730,0))</f>
        <v/>
      </c>
      <c r="F730">
        <f>IF(E730="","",IFERROR(F729,0)+(-E730))</f>
        <v/>
      </c>
      <c r="G730" s="9">
        <f>IF(F730="","",F730/Cfg_FatConstant)</f>
        <v/>
      </c>
      <c r="H730" s="8">
        <f>IF(G730="","",Cfg_StartWeight-G730)</f>
        <v/>
      </c>
      <c r="I730" s="8">
        <f>IF(B730="","",Cfg_StartWeight-B730)</f>
        <v/>
      </c>
      <c r="J730" s="10">
        <f>IF(OR(B730="",G730=""),"",I730-G730)</f>
        <v/>
      </c>
      <c r="K730" s="9">
        <f>IF(B730="","",IFERROR(AVERAGEIFS($B$2:$B$1001,$A$2:$A$1001,"&gt;="&amp;A730-6,$A$2:$A$1001,"&lt;="&amp;A730),""))</f>
        <v/>
      </c>
    </row>
    <row r="731">
      <c r="A731" s="7" t="n"/>
      <c r="B731" s="8" t="n"/>
      <c r="E731">
        <f>IF(C731="","",C731-Cfg_TDEE-IFERROR(D731,0))</f>
        <v/>
      </c>
      <c r="F731">
        <f>IF(E731="","",IFERROR(F730,0)+(-E731))</f>
        <v/>
      </c>
      <c r="G731" s="9">
        <f>IF(F731="","",F731/Cfg_FatConstant)</f>
        <v/>
      </c>
      <c r="H731" s="8">
        <f>IF(G731="","",Cfg_StartWeight-G731)</f>
        <v/>
      </c>
      <c r="I731" s="8">
        <f>IF(B731="","",Cfg_StartWeight-B731)</f>
        <v/>
      </c>
      <c r="J731" s="10">
        <f>IF(OR(B731="",G731=""),"",I731-G731)</f>
        <v/>
      </c>
      <c r="K731" s="9">
        <f>IF(B731="","",IFERROR(AVERAGEIFS($B$2:$B$1001,$A$2:$A$1001,"&gt;="&amp;A731-6,$A$2:$A$1001,"&lt;="&amp;A731),""))</f>
        <v/>
      </c>
    </row>
    <row r="732">
      <c r="A732" s="7" t="n"/>
      <c r="B732" s="8" t="n"/>
      <c r="E732">
        <f>IF(C732="","",C732-Cfg_TDEE-IFERROR(D732,0))</f>
        <v/>
      </c>
      <c r="F732">
        <f>IF(E732="","",IFERROR(F731,0)+(-E732))</f>
        <v/>
      </c>
      <c r="G732" s="9">
        <f>IF(F732="","",F732/Cfg_FatConstant)</f>
        <v/>
      </c>
      <c r="H732" s="8">
        <f>IF(G732="","",Cfg_StartWeight-G732)</f>
        <v/>
      </c>
      <c r="I732" s="8">
        <f>IF(B732="","",Cfg_StartWeight-B732)</f>
        <v/>
      </c>
      <c r="J732" s="10">
        <f>IF(OR(B732="",G732=""),"",I732-G732)</f>
        <v/>
      </c>
      <c r="K732" s="9">
        <f>IF(B732="","",IFERROR(AVERAGEIFS($B$2:$B$1001,$A$2:$A$1001,"&gt;="&amp;A732-6,$A$2:$A$1001,"&lt;="&amp;A732),""))</f>
        <v/>
      </c>
    </row>
    <row r="733">
      <c r="A733" s="7" t="n"/>
      <c r="B733" s="8" t="n"/>
      <c r="E733">
        <f>IF(C733="","",C733-Cfg_TDEE-IFERROR(D733,0))</f>
        <v/>
      </c>
      <c r="F733">
        <f>IF(E733="","",IFERROR(F732,0)+(-E733))</f>
        <v/>
      </c>
      <c r="G733" s="9">
        <f>IF(F733="","",F733/Cfg_FatConstant)</f>
        <v/>
      </c>
      <c r="H733" s="8">
        <f>IF(G733="","",Cfg_StartWeight-G733)</f>
        <v/>
      </c>
      <c r="I733" s="8">
        <f>IF(B733="","",Cfg_StartWeight-B733)</f>
        <v/>
      </c>
      <c r="J733" s="10">
        <f>IF(OR(B733="",G733=""),"",I733-G733)</f>
        <v/>
      </c>
      <c r="K733" s="9">
        <f>IF(B733="","",IFERROR(AVERAGEIFS($B$2:$B$1001,$A$2:$A$1001,"&gt;="&amp;A733-6,$A$2:$A$1001,"&lt;="&amp;A733),""))</f>
        <v/>
      </c>
    </row>
    <row r="734">
      <c r="A734" s="7" t="n"/>
      <c r="B734" s="8" t="n"/>
      <c r="E734">
        <f>IF(C734="","",C734-Cfg_TDEE-IFERROR(D734,0))</f>
        <v/>
      </c>
      <c r="F734">
        <f>IF(E734="","",IFERROR(F733,0)+(-E734))</f>
        <v/>
      </c>
      <c r="G734" s="9">
        <f>IF(F734="","",F734/Cfg_FatConstant)</f>
        <v/>
      </c>
      <c r="H734" s="8">
        <f>IF(G734="","",Cfg_StartWeight-G734)</f>
        <v/>
      </c>
      <c r="I734" s="8">
        <f>IF(B734="","",Cfg_StartWeight-B734)</f>
        <v/>
      </c>
      <c r="J734" s="10">
        <f>IF(OR(B734="",G734=""),"",I734-G734)</f>
        <v/>
      </c>
      <c r="K734" s="9">
        <f>IF(B734="","",IFERROR(AVERAGEIFS($B$2:$B$1001,$A$2:$A$1001,"&gt;="&amp;A734-6,$A$2:$A$1001,"&lt;="&amp;A734),""))</f>
        <v/>
      </c>
    </row>
    <row r="735">
      <c r="A735" s="7" t="n"/>
      <c r="B735" s="8" t="n"/>
      <c r="E735">
        <f>IF(C735="","",C735-Cfg_TDEE-IFERROR(D735,0))</f>
        <v/>
      </c>
      <c r="F735">
        <f>IF(E735="","",IFERROR(F734,0)+(-E735))</f>
        <v/>
      </c>
      <c r="G735" s="9">
        <f>IF(F735="","",F735/Cfg_FatConstant)</f>
        <v/>
      </c>
      <c r="H735" s="8">
        <f>IF(G735="","",Cfg_StartWeight-G735)</f>
        <v/>
      </c>
      <c r="I735" s="8">
        <f>IF(B735="","",Cfg_StartWeight-B735)</f>
        <v/>
      </c>
      <c r="J735" s="10">
        <f>IF(OR(B735="",G735=""),"",I735-G735)</f>
        <v/>
      </c>
      <c r="K735" s="9">
        <f>IF(B735="","",IFERROR(AVERAGEIFS($B$2:$B$1001,$A$2:$A$1001,"&gt;="&amp;A735-6,$A$2:$A$1001,"&lt;="&amp;A735),""))</f>
        <v/>
      </c>
    </row>
    <row r="736">
      <c r="A736" s="7" t="n"/>
      <c r="B736" s="8" t="n"/>
      <c r="E736">
        <f>IF(C736="","",C736-Cfg_TDEE-IFERROR(D736,0))</f>
        <v/>
      </c>
      <c r="F736">
        <f>IF(E736="","",IFERROR(F735,0)+(-E736))</f>
        <v/>
      </c>
      <c r="G736" s="9">
        <f>IF(F736="","",F736/Cfg_FatConstant)</f>
        <v/>
      </c>
      <c r="H736" s="8">
        <f>IF(G736="","",Cfg_StartWeight-G736)</f>
        <v/>
      </c>
      <c r="I736" s="8">
        <f>IF(B736="","",Cfg_StartWeight-B736)</f>
        <v/>
      </c>
      <c r="J736" s="10">
        <f>IF(OR(B736="",G736=""),"",I736-G736)</f>
        <v/>
      </c>
      <c r="K736" s="9">
        <f>IF(B736="","",IFERROR(AVERAGEIFS($B$2:$B$1001,$A$2:$A$1001,"&gt;="&amp;A736-6,$A$2:$A$1001,"&lt;="&amp;A736),""))</f>
        <v/>
      </c>
    </row>
    <row r="737">
      <c r="A737" s="7" t="n"/>
      <c r="B737" s="8" t="n"/>
      <c r="E737">
        <f>IF(C737="","",C737-Cfg_TDEE-IFERROR(D737,0))</f>
        <v/>
      </c>
      <c r="F737">
        <f>IF(E737="","",IFERROR(F736,0)+(-E737))</f>
        <v/>
      </c>
      <c r="G737" s="9">
        <f>IF(F737="","",F737/Cfg_FatConstant)</f>
        <v/>
      </c>
      <c r="H737" s="8">
        <f>IF(G737="","",Cfg_StartWeight-G737)</f>
        <v/>
      </c>
      <c r="I737" s="8">
        <f>IF(B737="","",Cfg_StartWeight-B737)</f>
        <v/>
      </c>
      <c r="J737" s="10">
        <f>IF(OR(B737="",G737=""),"",I737-G737)</f>
        <v/>
      </c>
      <c r="K737" s="9">
        <f>IF(B737="","",IFERROR(AVERAGEIFS($B$2:$B$1001,$A$2:$A$1001,"&gt;="&amp;A737-6,$A$2:$A$1001,"&lt;="&amp;A737),""))</f>
        <v/>
      </c>
    </row>
    <row r="738">
      <c r="A738" s="7" t="n"/>
      <c r="B738" s="8" t="n"/>
      <c r="E738">
        <f>IF(C738="","",C738-Cfg_TDEE-IFERROR(D738,0))</f>
        <v/>
      </c>
      <c r="F738">
        <f>IF(E738="","",IFERROR(F737,0)+(-E738))</f>
        <v/>
      </c>
      <c r="G738" s="9">
        <f>IF(F738="","",F738/Cfg_FatConstant)</f>
        <v/>
      </c>
      <c r="H738" s="8">
        <f>IF(G738="","",Cfg_StartWeight-G738)</f>
        <v/>
      </c>
      <c r="I738" s="8">
        <f>IF(B738="","",Cfg_StartWeight-B738)</f>
        <v/>
      </c>
      <c r="J738" s="10">
        <f>IF(OR(B738="",G738=""),"",I738-G738)</f>
        <v/>
      </c>
      <c r="K738" s="9">
        <f>IF(B738="","",IFERROR(AVERAGEIFS($B$2:$B$1001,$A$2:$A$1001,"&gt;="&amp;A738-6,$A$2:$A$1001,"&lt;="&amp;A738),""))</f>
        <v/>
      </c>
    </row>
    <row r="739">
      <c r="A739" s="7" t="n"/>
      <c r="B739" s="8" t="n"/>
      <c r="E739">
        <f>IF(C739="","",C739-Cfg_TDEE-IFERROR(D739,0))</f>
        <v/>
      </c>
      <c r="F739">
        <f>IF(E739="","",IFERROR(F738,0)+(-E739))</f>
        <v/>
      </c>
      <c r="G739" s="9">
        <f>IF(F739="","",F739/Cfg_FatConstant)</f>
        <v/>
      </c>
      <c r="H739" s="8">
        <f>IF(G739="","",Cfg_StartWeight-G739)</f>
        <v/>
      </c>
      <c r="I739" s="8">
        <f>IF(B739="","",Cfg_StartWeight-B739)</f>
        <v/>
      </c>
      <c r="J739" s="10">
        <f>IF(OR(B739="",G739=""),"",I739-G739)</f>
        <v/>
      </c>
      <c r="K739" s="9">
        <f>IF(B739="","",IFERROR(AVERAGEIFS($B$2:$B$1001,$A$2:$A$1001,"&gt;="&amp;A739-6,$A$2:$A$1001,"&lt;="&amp;A739),""))</f>
        <v/>
      </c>
    </row>
    <row r="740">
      <c r="A740" s="7" t="n"/>
      <c r="B740" s="8" t="n"/>
      <c r="E740">
        <f>IF(C740="","",C740-Cfg_TDEE-IFERROR(D740,0))</f>
        <v/>
      </c>
      <c r="F740">
        <f>IF(E740="","",IFERROR(F739,0)+(-E740))</f>
        <v/>
      </c>
      <c r="G740" s="9">
        <f>IF(F740="","",F740/Cfg_FatConstant)</f>
        <v/>
      </c>
      <c r="H740" s="8">
        <f>IF(G740="","",Cfg_StartWeight-G740)</f>
        <v/>
      </c>
      <c r="I740" s="8">
        <f>IF(B740="","",Cfg_StartWeight-B740)</f>
        <v/>
      </c>
      <c r="J740" s="10">
        <f>IF(OR(B740="",G740=""),"",I740-G740)</f>
        <v/>
      </c>
      <c r="K740" s="9">
        <f>IF(B740="","",IFERROR(AVERAGEIFS($B$2:$B$1001,$A$2:$A$1001,"&gt;="&amp;A740-6,$A$2:$A$1001,"&lt;="&amp;A740),""))</f>
        <v/>
      </c>
    </row>
    <row r="741">
      <c r="A741" s="7" t="n"/>
      <c r="B741" s="8" t="n"/>
      <c r="E741">
        <f>IF(C741="","",C741-Cfg_TDEE-IFERROR(D741,0))</f>
        <v/>
      </c>
      <c r="F741">
        <f>IF(E741="","",IFERROR(F740,0)+(-E741))</f>
        <v/>
      </c>
      <c r="G741" s="9">
        <f>IF(F741="","",F741/Cfg_FatConstant)</f>
        <v/>
      </c>
      <c r="H741" s="8">
        <f>IF(G741="","",Cfg_StartWeight-G741)</f>
        <v/>
      </c>
      <c r="I741" s="8">
        <f>IF(B741="","",Cfg_StartWeight-B741)</f>
        <v/>
      </c>
      <c r="J741" s="10">
        <f>IF(OR(B741="",G741=""),"",I741-G741)</f>
        <v/>
      </c>
      <c r="K741" s="9">
        <f>IF(B741="","",IFERROR(AVERAGEIFS($B$2:$B$1001,$A$2:$A$1001,"&gt;="&amp;A741-6,$A$2:$A$1001,"&lt;="&amp;A741),""))</f>
        <v/>
      </c>
    </row>
    <row r="742">
      <c r="A742" s="7" t="n"/>
      <c r="B742" s="8" t="n"/>
      <c r="E742">
        <f>IF(C742="","",C742-Cfg_TDEE-IFERROR(D742,0))</f>
        <v/>
      </c>
      <c r="F742">
        <f>IF(E742="","",IFERROR(F741,0)+(-E742))</f>
        <v/>
      </c>
      <c r="G742" s="9">
        <f>IF(F742="","",F742/Cfg_FatConstant)</f>
        <v/>
      </c>
      <c r="H742" s="8">
        <f>IF(G742="","",Cfg_StartWeight-G742)</f>
        <v/>
      </c>
      <c r="I742" s="8">
        <f>IF(B742="","",Cfg_StartWeight-B742)</f>
        <v/>
      </c>
      <c r="J742" s="10">
        <f>IF(OR(B742="",G742=""),"",I742-G742)</f>
        <v/>
      </c>
      <c r="K742" s="9">
        <f>IF(B742="","",IFERROR(AVERAGEIFS($B$2:$B$1001,$A$2:$A$1001,"&gt;="&amp;A742-6,$A$2:$A$1001,"&lt;="&amp;A742),""))</f>
        <v/>
      </c>
    </row>
    <row r="743">
      <c r="A743" s="7" t="n"/>
      <c r="B743" s="8" t="n"/>
      <c r="E743">
        <f>IF(C743="","",C743-Cfg_TDEE-IFERROR(D743,0))</f>
        <v/>
      </c>
      <c r="F743">
        <f>IF(E743="","",IFERROR(F742,0)+(-E743))</f>
        <v/>
      </c>
      <c r="G743" s="9">
        <f>IF(F743="","",F743/Cfg_FatConstant)</f>
        <v/>
      </c>
      <c r="H743" s="8">
        <f>IF(G743="","",Cfg_StartWeight-G743)</f>
        <v/>
      </c>
      <c r="I743" s="8">
        <f>IF(B743="","",Cfg_StartWeight-B743)</f>
        <v/>
      </c>
      <c r="J743" s="10">
        <f>IF(OR(B743="",G743=""),"",I743-G743)</f>
        <v/>
      </c>
      <c r="K743" s="9">
        <f>IF(B743="","",IFERROR(AVERAGEIFS($B$2:$B$1001,$A$2:$A$1001,"&gt;="&amp;A743-6,$A$2:$A$1001,"&lt;="&amp;A743),""))</f>
        <v/>
      </c>
    </row>
    <row r="744">
      <c r="A744" s="7" t="n"/>
      <c r="B744" s="8" t="n"/>
      <c r="E744">
        <f>IF(C744="","",C744-Cfg_TDEE-IFERROR(D744,0))</f>
        <v/>
      </c>
      <c r="F744">
        <f>IF(E744="","",IFERROR(F743,0)+(-E744))</f>
        <v/>
      </c>
      <c r="G744" s="9">
        <f>IF(F744="","",F744/Cfg_FatConstant)</f>
        <v/>
      </c>
      <c r="H744" s="8">
        <f>IF(G744="","",Cfg_StartWeight-G744)</f>
        <v/>
      </c>
      <c r="I744" s="8">
        <f>IF(B744="","",Cfg_StartWeight-B744)</f>
        <v/>
      </c>
      <c r="J744" s="10">
        <f>IF(OR(B744="",G744=""),"",I744-G744)</f>
        <v/>
      </c>
      <c r="K744" s="9">
        <f>IF(B744="","",IFERROR(AVERAGEIFS($B$2:$B$1001,$A$2:$A$1001,"&gt;="&amp;A744-6,$A$2:$A$1001,"&lt;="&amp;A744),""))</f>
        <v/>
      </c>
    </row>
    <row r="745">
      <c r="A745" s="7" t="n"/>
      <c r="B745" s="8" t="n"/>
      <c r="E745">
        <f>IF(C745="","",C745-Cfg_TDEE-IFERROR(D745,0))</f>
        <v/>
      </c>
      <c r="F745">
        <f>IF(E745="","",IFERROR(F744,0)+(-E745))</f>
        <v/>
      </c>
      <c r="G745" s="9">
        <f>IF(F745="","",F745/Cfg_FatConstant)</f>
        <v/>
      </c>
      <c r="H745" s="8">
        <f>IF(G745="","",Cfg_StartWeight-G745)</f>
        <v/>
      </c>
      <c r="I745" s="8">
        <f>IF(B745="","",Cfg_StartWeight-B745)</f>
        <v/>
      </c>
      <c r="J745" s="10">
        <f>IF(OR(B745="",G745=""),"",I745-G745)</f>
        <v/>
      </c>
      <c r="K745" s="9">
        <f>IF(B745="","",IFERROR(AVERAGEIFS($B$2:$B$1001,$A$2:$A$1001,"&gt;="&amp;A745-6,$A$2:$A$1001,"&lt;="&amp;A745),""))</f>
        <v/>
      </c>
    </row>
    <row r="746">
      <c r="A746" s="7" t="n"/>
      <c r="B746" s="8" t="n"/>
      <c r="E746">
        <f>IF(C746="","",C746-Cfg_TDEE-IFERROR(D746,0))</f>
        <v/>
      </c>
      <c r="F746">
        <f>IF(E746="","",IFERROR(F745,0)+(-E746))</f>
        <v/>
      </c>
      <c r="G746" s="9">
        <f>IF(F746="","",F746/Cfg_FatConstant)</f>
        <v/>
      </c>
      <c r="H746" s="8">
        <f>IF(G746="","",Cfg_StartWeight-G746)</f>
        <v/>
      </c>
      <c r="I746" s="8">
        <f>IF(B746="","",Cfg_StartWeight-B746)</f>
        <v/>
      </c>
      <c r="J746" s="10">
        <f>IF(OR(B746="",G746=""),"",I746-G746)</f>
        <v/>
      </c>
      <c r="K746" s="9">
        <f>IF(B746="","",IFERROR(AVERAGEIFS($B$2:$B$1001,$A$2:$A$1001,"&gt;="&amp;A746-6,$A$2:$A$1001,"&lt;="&amp;A746),""))</f>
        <v/>
      </c>
    </row>
    <row r="747">
      <c r="A747" s="7" t="n"/>
      <c r="B747" s="8" t="n"/>
      <c r="E747">
        <f>IF(C747="","",C747-Cfg_TDEE-IFERROR(D747,0))</f>
        <v/>
      </c>
      <c r="F747">
        <f>IF(E747="","",IFERROR(F746,0)+(-E747))</f>
        <v/>
      </c>
      <c r="G747" s="9">
        <f>IF(F747="","",F747/Cfg_FatConstant)</f>
        <v/>
      </c>
      <c r="H747" s="8">
        <f>IF(G747="","",Cfg_StartWeight-G747)</f>
        <v/>
      </c>
      <c r="I747" s="8">
        <f>IF(B747="","",Cfg_StartWeight-B747)</f>
        <v/>
      </c>
      <c r="J747" s="10">
        <f>IF(OR(B747="",G747=""),"",I747-G747)</f>
        <v/>
      </c>
      <c r="K747" s="9">
        <f>IF(B747="","",IFERROR(AVERAGEIFS($B$2:$B$1001,$A$2:$A$1001,"&gt;="&amp;A747-6,$A$2:$A$1001,"&lt;="&amp;A747),""))</f>
        <v/>
      </c>
    </row>
    <row r="748">
      <c r="A748" s="7" t="n"/>
      <c r="B748" s="8" t="n"/>
      <c r="E748">
        <f>IF(C748="","",C748-Cfg_TDEE-IFERROR(D748,0))</f>
        <v/>
      </c>
      <c r="F748">
        <f>IF(E748="","",IFERROR(F747,0)+(-E748))</f>
        <v/>
      </c>
      <c r="G748" s="9">
        <f>IF(F748="","",F748/Cfg_FatConstant)</f>
        <v/>
      </c>
      <c r="H748" s="8">
        <f>IF(G748="","",Cfg_StartWeight-G748)</f>
        <v/>
      </c>
      <c r="I748" s="8">
        <f>IF(B748="","",Cfg_StartWeight-B748)</f>
        <v/>
      </c>
      <c r="J748" s="10">
        <f>IF(OR(B748="",G748=""),"",I748-G748)</f>
        <v/>
      </c>
      <c r="K748" s="9">
        <f>IF(B748="","",IFERROR(AVERAGEIFS($B$2:$B$1001,$A$2:$A$1001,"&gt;="&amp;A748-6,$A$2:$A$1001,"&lt;="&amp;A748),""))</f>
        <v/>
      </c>
    </row>
    <row r="749">
      <c r="A749" s="7" t="n"/>
      <c r="B749" s="8" t="n"/>
      <c r="E749">
        <f>IF(C749="","",C749-Cfg_TDEE-IFERROR(D749,0))</f>
        <v/>
      </c>
      <c r="F749">
        <f>IF(E749="","",IFERROR(F748,0)+(-E749))</f>
        <v/>
      </c>
      <c r="G749" s="9">
        <f>IF(F749="","",F749/Cfg_FatConstant)</f>
        <v/>
      </c>
      <c r="H749" s="8">
        <f>IF(G749="","",Cfg_StartWeight-G749)</f>
        <v/>
      </c>
      <c r="I749" s="8">
        <f>IF(B749="","",Cfg_StartWeight-B749)</f>
        <v/>
      </c>
      <c r="J749" s="10">
        <f>IF(OR(B749="",G749=""),"",I749-G749)</f>
        <v/>
      </c>
      <c r="K749" s="9">
        <f>IF(B749="","",IFERROR(AVERAGEIFS($B$2:$B$1001,$A$2:$A$1001,"&gt;="&amp;A749-6,$A$2:$A$1001,"&lt;="&amp;A749),""))</f>
        <v/>
      </c>
    </row>
    <row r="750">
      <c r="A750" s="7" t="n"/>
      <c r="B750" s="8" t="n"/>
      <c r="E750">
        <f>IF(C750="","",C750-Cfg_TDEE-IFERROR(D750,0))</f>
        <v/>
      </c>
      <c r="F750">
        <f>IF(E750="","",IFERROR(F749,0)+(-E750))</f>
        <v/>
      </c>
      <c r="G750" s="9">
        <f>IF(F750="","",F750/Cfg_FatConstant)</f>
        <v/>
      </c>
      <c r="H750" s="8">
        <f>IF(G750="","",Cfg_StartWeight-G750)</f>
        <v/>
      </c>
      <c r="I750" s="8">
        <f>IF(B750="","",Cfg_StartWeight-B750)</f>
        <v/>
      </c>
      <c r="J750" s="10">
        <f>IF(OR(B750="",G750=""),"",I750-G750)</f>
        <v/>
      </c>
      <c r="K750" s="9">
        <f>IF(B750="","",IFERROR(AVERAGEIFS($B$2:$B$1001,$A$2:$A$1001,"&gt;="&amp;A750-6,$A$2:$A$1001,"&lt;="&amp;A750),""))</f>
        <v/>
      </c>
    </row>
    <row r="751">
      <c r="A751" s="7" t="n"/>
      <c r="B751" s="8" t="n"/>
      <c r="E751">
        <f>IF(C751="","",C751-Cfg_TDEE-IFERROR(D751,0))</f>
        <v/>
      </c>
      <c r="F751">
        <f>IF(E751="","",IFERROR(F750,0)+(-E751))</f>
        <v/>
      </c>
      <c r="G751" s="9">
        <f>IF(F751="","",F751/Cfg_FatConstant)</f>
        <v/>
      </c>
      <c r="H751" s="8">
        <f>IF(G751="","",Cfg_StartWeight-G751)</f>
        <v/>
      </c>
      <c r="I751" s="8">
        <f>IF(B751="","",Cfg_StartWeight-B751)</f>
        <v/>
      </c>
      <c r="J751" s="10">
        <f>IF(OR(B751="",G751=""),"",I751-G751)</f>
        <v/>
      </c>
      <c r="K751" s="9">
        <f>IF(B751="","",IFERROR(AVERAGEIFS($B$2:$B$1001,$A$2:$A$1001,"&gt;="&amp;A751-6,$A$2:$A$1001,"&lt;="&amp;A751),""))</f>
        <v/>
      </c>
    </row>
    <row r="752">
      <c r="A752" s="7" t="n"/>
      <c r="B752" s="8" t="n"/>
      <c r="E752">
        <f>IF(C752="","",C752-Cfg_TDEE-IFERROR(D752,0))</f>
        <v/>
      </c>
      <c r="F752">
        <f>IF(E752="","",IFERROR(F751,0)+(-E752))</f>
        <v/>
      </c>
      <c r="G752" s="9">
        <f>IF(F752="","",F752/Cfg_FatConstant)</f>
        <v/>
      </c>
      <c r="H752" s="8">
        <f>IF(G752="","",Cfg_StartWeight-G752)</f>
        <v/>
      </c>
      <c r="I752" s="8">
        <f>IF(B752="","",Cfg_StartWeight-B752)</f>
        <v/>
      </c>
      <c r="J752" s="10">
        <f>IF(OR(B752="",G752=""),"",I752-G752)</f>
        <v/>
      </c>
      <c r="K752" s="9">
        <f>IF(B752="","",IFERROR(AVERAGEIFS($B$2:$B$1001,$A$2:$A$1001,"&gt;="&amp;A752-6,$A$2:$A$1001,"&lt;="&amp;A752),""))</f>
        <v/>
      </c>
    </row>
    <row r="753">
      <c r="A753" s="7" t="n"/>
      <c r="B753" s="8" t="n"/>
      <c r="E753">
        <f>IF(C753="","",C753-Cfg_TDEE-IFERROR(D753,0))</f>
        <v/>
      </c>
      <c r="F753">
        <f>IF(E753="","",IFERROR(F752,0)+(-E753))</f>
        <v/>
      </c>
      <c r="G753" s="9">
        <f>IF(F753="","",F753/Cfg_FatConstant)</f>
        <v/>
      </c>
      <c r="H753" s="8">
        <f>IF(G753="","",Cfg_StartWeight-G753)</f>
        <v/>
      </c>
      <c r="I753" s="8">
        <f>IF(B753="","",Cfg_StartWeight-B753)</f>
        <v/>
      </c>
      <c r="J753" s="10">
        <f>IF(OR(B753="",G753=""),"",I753-G753)</f>
        <v/>
      </c>
      <c r="K753" s="9">
        <f>IF(B753="","",IFERROR(AVERAGEIFS($B$2:$B$1001,$A$2:$A$1001,"&gt;="&amp;A753-6,$A$2:$A$1001,"&lt;="&amp;A753),""))</f>
        <v/>
      </c>
    </row>
    <row r="754">
      <c r="A754" s="7" t="n"/>
      <c r="B754" s="8" t="n"/>
      <c r="E754">
        <f>IF(C754="","",C754-Cfg_TDEE-IFERROR(D754,0))</f>
        <v/>
      </c>
      <c r="F754">
        <f>IF(E754="","",IFERROR(F753,0)+(-E754))</f>
        <v/>
      </c>
      <c r="G754" s="9">
        <f>IF(F754="","",F754/Cfg_FatConstant)</f>
        <v/>
      </c>
      <c r="H754" s="8">
        <f>IF(G754="","",Cfg_StartWeight-G754)</f>
        <v/>
      </c>
      <c r="I754" s="8">
        <f>IF(B754="","",Cfg_StartWeight-B754)</f>
        <v/>
      </c>
      <c r="J754" s="10">
        <f>IF(OR(B754="",G754=""),"",I754-G754)</f>
        <v/>
      </c>
      <c r="K754" s="9">
        <f>IF(B754="","",IFERROR(AVERAGEIFS($B$2:$B$1001,$A$2:$A$1001,"&gt;="&amp;A754-6,$A$2:$A$1001,"&lt;="&amp;A754),""))</f>
        <v/>
      </c>
    </row>
    <row r="755">
      <c r="A755" s="7" t="n"/>
      <c r="B755" s="8" t="n"/>
      <c r="E755">
        <f>IF(C755="","",C755-Cfg_TDEE-IFERROR(D755,0))</f>
        <v/>
      </c>
      <c r="F755">
        <f>IF(E755="","",IFERROR(F754,0)+(-E755))</f>
        <v/>
      </c>
      <c r="G755" s="9">
        <f>IF(F755="","",F755/Cfg_FatConstant)</f>
        <v/>
      </c>
      <c r="H755" s="8">
        <f>IF(G755="","",Cfg_StartWeight-G755)</f>
        <v/>
      </c>
      <c r="I755" s="8">
        <f>IF(B755="","",Cfg_StartWeight-B755)</f>
        <v/>
      </c>
      <c r="J755" s="10">
        <f>IF(OR(B755="",G755=""),"",I755-G755)</f>
        <v/>
      </c>
      <c r="K755" s="9">
        <f>IF(B755="","",IFERROR(AVERAGEIFS($B$2:$B$1001,$A$2:$A$1001,"&gt;="&amp;A755-6,$A$2:$A$1001,"&lt;="&amp;A755),""))</f>
        <v/>
      </c>
    </row>
    <row r="756">
      <c r="A756" s="7" t="n"/>
      <c r="B756" s="8" t="n"/>
      <c r="E756">
        <f>IF(C756="","",C756-Cfg_TDEE-IFERROR(D756,0))</f>
        <v/>
      </c>
      <c r="F756">
        <f>IF(E756="","",IFERROR(F755,0)+(-E756))</f>
        <v/>
      </c>
      <c r="G756" s="9">
        <f>IF(F756="","",F756/Cfg_FatConstant)</f>
        <v/>
      </c>
      <c r="H756" s="8">
        <f>IF(G756="","",Cfg_StartWeight-G756)</f>
        <v/>
      </c>
      <c r="I756" s="8">
        <f>IF(B756="","",Cfg_StartWeight-B756)</f>
        <v/>
      </c>
      <c r="J756" s="10">
        <f>IF(OR(B756="",G756=""),"",I756-G756)</f>
        <v/>
      </c>
      <c r="K756" s="9">
        <f>IF(B756="","",IFERROR(AVERAGEIFS($B$2:$B$1001,$A$2:$A$1001,"&gt;="&amp;A756-6,$A$2:$A$1001,"&lt;="&amp;A756),""))</f>
        <v/>
      </c>
    </row>
    <row r="757">
      <c r="A757" s="7" t="n"/>
      <c r="B757" s="8" t="n"/>
      <c r="E757">
        <f>IF(C757="","",C757-Cfg_TDEE-IFERROR(D757,0))</f>
        <v/>
      </c>
      <c r="F757">
        <f>IF(E757="","",IFERROR(F756,0)+(-E757))</f>
        <v/>
      </c>
      <c r="G757" s="9">
        <f>IF(F757="","",F757/Cfg_FatConstant)</f>
        <v/>
      </c>
      <c r="H757" s="8">
        <f>IF(G757="","",Cfg_StartWeight-G757)</f>
        <v/>
      </c>
      <c r="I757" s="8">
        <f>IF(B757="","",Cfg_StartWeight-B757)</f>
        <v/>
      </c>
      <c r="J757" s="10">
        <f>IF(OR(B757="",G757=""),"",I757-G757)</f>
        <v/>
      </c>
      <c r="K757" s="9">
        <f>IF(B757="","",IFERROR(AVERAGEIFS($B$2:$B$1001,$A$2:$A$1001,"&gt;="&amp;A757-6,$A$2:$A$1001,"&lt;="&amp;A757),""))</f>
        <v/>
      </c>
    </row>
    <row r="758">
      <c r="A758" s="7" t="n"/>
      <c r="B758" s="8" t="n"/>
      <c r="E758">
        <f>IF(C758="","",C758-Cfg_TDEE-IFERROR(D758,0))</f>
        <v/>
      </c>
      <c r="F758">
        <f>IF(E758="","",IFERROR(F757,0)+(-E758))</f>
        <v/>
      </c>
      <c r="G758" s="9">
        <f>IF(F758="","",F758/Cfg_FatConstant)</f>
        <v/>
      </c>
      <c r="H758" s="8">
        <f>IF(G758="","",Cfg_StartWeight-G758)</f>
        <v/>
      </c>
      <c r="I758" s="8">
        <f>IF(B758="","",Cfg_StartWeight-B758)</f>
        <v/>
      </c>
      <c r="J758" s="10">
        <f>IF(OR(B758="",G758=""),"",I758-G758)</f>
        <v/>
      </c>
      <c r="K758" s="9">
        <f>IF(B758="","",IFERROR(AVERAGEIFS($B$2:$B$1001,$A$2:$A$1001,"&gt;="&amp;A758-6,$A$2:$A$1001,"&lt;="&amp;A758),""))</f>
        <v/>
      </c>
    </row>
    <row r="759">
      <c r="A759" s="7" t="n"/>
      <c r="B759" s="8" t="n"/>
      <c r="E759">
        <f>IF(C759="","",C759-Cfg_TDEE-IFERROR(D759,0))</f>
        <v/>
      </c>
      <c r="F759">
        <f>IF(E759="","",IFERROR(F758,0)+(-E759))</f>
        <v/>
      </c>
      <c r="G759" s="9">
        <f>IF(F759="","",F759/Cfg_FatConstant)</f>
        <v/>
      </c>
      <c r="H759" s="8">
        <f>IF(G759="","",Cfg_StartWeight-G759)</f>
        <v/>
      </c>
      <c r="I759" s="8">
        <f>IF(B759="","",Cfg_StartWeight-B759)</f>
        <v/>
      </c>
      <c r="J759" s="10">
        <f>IF(OR(B759="",G759=""),"",I759-G759)</f>
        <v/>
      </c>
      <c r="K759" s="9">
        <f>IF(B759="","",IFERROR(AVERAGEIFS($B$2:$B$1001,$A$2:$A$1001,"&gt;="&amp;A759-6,$A$2:$A$1001,"&lt;="&amp;A759),""))</f>
        <v/>
      </c>
    </row>
    <row r="760">
      <c r="A760" s="7" t="n"/>
      <c r="B760" s="8" t="n"/>
      <c r="E760">
        <f>IF(C760="","",C760-Cfg_TDEE-IFERROR(D760,0))</f>
        <v/>
      </c>
      <c r="F760">
        <f>IF(E760="","",IFERROR(F759,0)+(-E760))</f>
        <v/>
      </c>
      <c r="G760" s="9">
        <f>IF(F760="","",F760/Cfg_FatConstant)</f>
        <v/>
      </c>
      <c r="H760" s="8">
        <f>IF(G760="","",Cfg_StartWeight-G760)</f>
        <v/>
      </c>
      <c r="I760" s="8">
        <f>IF(B760="","",Cfg_StartWeight-B760)</f>
        <v/>
      </c>
      <c r="J760" s="10">
        <f>IF(OR(B760="",G760=""),"",I760-G760)</f>
        <v/>
      </c>
      <c r="K760" s="9">
        <f>IF(B760="","",IFERROR(AVERAGEIFS($B$2:$B$1001,$A$2:$A$1001,"&gt;="&amp;A760-6,$A$2:$A$1001,"&lt;="&amp;A760),""))</f>
        <v/>
      </c>
    </row>
    <row r="761">
      <c r="A761" s="7" t="n"/>
      <c r="B761" s="8" t="n"/>
      <c r="E761">
        <f>IF(C761="","",C761-Cfg_TDEE-IFERROR(D761,0))</f>
        <v/>
      </c>
      <c r="F761">
        <f>IF(E761="","",IFERROR(F760,0)+(-E761))</f>
        <v/>
      </c>
      <c r="G761" s="9">
        <f>IF(F761="","",F761/Cfg_FatConstant)</f>
        <v/>
      </c>
      <c r="H761" s="8">
        <f>IF(G761="","",Cfg_StartWeight-G761)</f>
        <v/>
      </c>
      <c r="I761" s="8">
        <f>IF(B761="","",Cfg_StartWeight-B761)</f>
        <v/>
      </c>
      <c r="J761" s="10">
        <f>IF(OR(B761="",G761=""),"",I761-G761)</f>
        <v/>
      </c>
      <c r="K761" s="9">
        <f>IF(B761="","",IFERROR(AVERAGEIFS($B$2:$B$1001,$A$2:$A$1001,"&gt;="&amp;A761-6,$A$2:$A$1001,"&lt;="&amp;A761),""))</f>
        <v/>
      </c>
    </row>
    <row r="762">
      <c r="A762" s="7" t="n"/>
      <c r="B762" s="8" t="n"/>
      <c r="E762">
        <f>IF(C762="","",C762-Cfg_TDEE-IFERROR(D762,0))</f>
        <v/>
      </c>
      <c r="F762">
        <f>IF(E762="","",IFERROR(F761,0)+(-E762))</f>
        <v/>
      </c>
      <c r="G762" s="9">
        <f>IF(F762="","",F762/Cfg_FatConstant)</f>
        <v/>
      </c>
      <c r="H762" s="8">
        <f>IF(G762="","",Cfg_StartWeight-G762)</f>
        <v/>
      </c>
      <c r="I762" s="8">
        <f>IF(B762="","",Cfg_StartWeight-B762)</f>
        <v/>
      </c>
      <c r="J762" s="10">
        <f>IF(OR(B762="",G762=""),"",I762-G762)</f>
        <v/>
      </c>
      <c r="K762" s="9">
        <f>IF(B762="","",IFERROR(AVERAGEIFS($B$2:$B$1001,$A$2:$A$1001,"&gt;="&amp;A762-6,$A$2:$A$1001,"&lt;="&amp;A762),""))</f>
        <v/>
      </c>
    </row>
    <row r="763">
      <c r="A763" s="7" t="n"/>
      <c r="B763" s="8" t="n"/>
      <c r="E763">
        <f>IF(C763="","",C763-Cfg_TDEE-IFERROR(D763,0))</f>
        <v/>
      </c>
      <c r="F763">
        <f>IF(E763="","",IFERROR(F762,0)+(-E763))</f>
        <v/>
      </c>
      <c r="G763" s="9">
        <f>IF(F763="","",F763/Cfg_FatConstant)</f>
        <v/>
      </c>
      <c r="H763" s="8">
        <f>IF(G763="","",Cfg_StartWeight-G763)</f>
        <v/>
      </c>
      <c r="I763" s="8">
        <f>IF(B763="","",Cfg_StartWeight-B763)</f>
        <v/>
      </c>
      <c r="J763" s="10">
        <f>IF(OR(B763="",G763=""),"",I763-G763)</f>
        <v/>
      </c>
      <c r="K763" s="9">
        <f>IF(B763="","",IFERROR(AVERAGEIFS($B$2:$B$1001,$A$2:$A$1001,"&gt;="&amp;A763-6,$A$2:$A$1001,"&lt;="&amp;A763),""))</f>
        <v/>
      </c>
    </row>
    <row r="764">
      <c r="A764" s="7" t="n"/>
      <c r="B764" s="8" t="n"/>
      <c r="E764">
        <f>IF(C764="","",C764-Cfg_TDEE-IFERROR(D764,0))</f>
        <v/>
      </c>
      <c r="F764">
        <f>IF(E764="","",IFERROR(F763,0)+(-E764))</f>
        <v/>
      </c>
      <c r="G764" s="9">
        <f>IF(F764="","",F764/Cfg_FatConstant)</f>
        <v/>
      </c>
      <c r="H764" s="8">
        <f>IF(G764="","",Cfg_StartWeight-G764)</f>
        <v/>
      </c>
      <c r="I764" s="8">
        <f>IF(B764="","",Cfg_StartWeight-B764)</f>
        <v/>
      </c>
      <c r="J764" s="10">
        <f>IF(OR(B764="",G764=""),"",I764-G764)</f>
        <v/>
      </c>
      <c r="K764" s="9">
        <f>IF(B764="","",IFERROR(AVERAGEIFS($B$2:$B$1001,$A$2:$A$1001,"&gt;="&amp;A764-6,$A$2:$A$1001,"&lt;="&amp;A764),""))</f>
        <v/>
      </c>
    </row>
    <row r="765">
      <c r="A765" s="7" t="n"/>
      <c r="B765" s="8" t="n"/>
      <c r="E765">
        <f>IF(C765="","",C765-Cfg_TDEE-IFERROR(D765,0))</f>
        <v/>
      </c>
      <c r="F765">
        <f>IF(E765="","",IFERROR(F764,0)+(-E765))</f>
        <v/>
      </c>
      <c r="G765" s="9">
        <f>IF(F765="","",F765/Cfg_FatConstant)</f>
        <v/>
      </c>
      <c r="H765" s="8">
        <f>IF(G765="","",Cfg_StartWeight-G765)</f>
        <v/>
      </c>
      <c r="I765" s="8">
        <f>IF(B765="","",Cfg_StartWeight-B765)</f>
        <v/>
      </c>
      <c r="J765" s="10">
        <f>IF(OR(B765="",G765=""),"",I765-G765)</f>
        <v/>
      </c>
      <c r="K765" s="9">
        <f>IF(B765="","",IFERROR(AVERAGEIFS($B$2:$B$1001,$A$2:$A$1001,"&gt;="&amp;A765-6,$A$2:$A$1001,"&lt;="&amp;A765),""))</f>
        <v/>
      </c>
    </row>
    <row r="766">
      <c r="A766" s="7" t="n"/>
      <c r="B766" s="8" t="n"/>
      <c r="E766">
        <f>IF(C766="","",C766-Cfg_TDEE-IFERROR(D766,0))</f>
        <v/>
      </c>
      <c r="F766">
        <f>IF(E766="","",IFERROR(F765,0)+(-E766))</f>
        <v/>
      </c>
      <c r="G766" s="9">
        <f>IF(F766="","",F766/Cfg_FatConstant)</f>
        <v/>
      </c>
      <c r="H766" s="8">
        <f>IF(G766="","",Cfg_StartWeight-G766)</f>
        <v/>
      </c>
      <c r="I766" s="8">
        <f>IF(B766="","",Cfg_StartWeight-B766)</f>
        <v/>
      </c>
      <c r="J766" s="10">
        <f>IF(OR(B766="",G766=""),"",I766-G766)</f>
        <v/>
      </c>
      <c r="K766" s="9">
        <f>IF(B766="","",IFERROR(AVERAGEIFS($B$2:$B$1001,$A$2:$A$1001,"&gt;="&amp;A766-6,$A$2:$A$1001,"&lt;="&amp;A766),""))</f>
        <v/>
      </c>
    </row>
    <row r="767">
      <c r="A767" s="7" t="n"/>
      <c r="B767" s="8" t="n"/>
      <c r="E767">
        <f>IF(C767="","",C767-Cfg_TDEE-IFERROR(D767,0))</f>
        <v/>
      </c>
      <c r="F767">
        <f>IF(E767="","",IFERROR(F766,0)+(-E767))</f>
        <v/>
      </c>
      <c r="G767" s="9">
        <f>IF(F767="","",F767/Cfg_FatConstant)</f>
        <v/>
      </c>
      <c r="H767" s="8">
        <f>IF(G767="","",Cfg_StartWeight-G767)</f>
        <v/>
      </c>
      <c r="I767" s="8">
        <f>IF(B767="","",Cfg_StartWeight-B767)</f>
        <v/>
      </c>
      <c r="J767" s="10">
        <f>IF(OR(B767="",G767=""),"",I767-G767)</f>
        <v/>
      </c>
      <c r="K767" s="9">
        <f>IF(B767="","",IFERROR(AVERAGEIFS($B$2:$B$1001,$A$2:$A$1001,"&gt;="&amp;A767-6,$A$2:$A$1001,"&lt;="&amp;A767),""))</f>
        <v/>
      </c>
    </row>
    <row r="768">
      <c r="A768" s="7" t="n"/>
      <c r="B768" s="8" t="n"/>
      <c r="E768">
        <f>IF(C768="","",C768-Cfg_TDEE-IFERROR(D768,0))</f>
        <v/>
      </c>
      <c r="F768">
        <f>IF(E768="","",IFERROR(F767,0)+(-E768))</f>
        <v/>
      </c>
      <c r="G768" s="9">
        <f>IF(F768="","",F768/Cfg_FatConstant)</f>
        <v/>
      </c>
      <c r="H768" s="8">
        <f>IF(G768="","",Cfg_StartWeight-G768)</f>
        <v/>
      </c>
      <c r="I768" s="8">
        <f>IF(B768="","",Cfg_StartWeight-B768)</f>
        <v/>
      </c>
      <c r="J768" s="10">
        <f>IF(OR(B768="",G768=""),"",I768-G768)</f>
        <v/>
      </c>
      <c r="K768" s="9">
        <f>IF(B768="","",IFERROR(AVERAGEIFS($B$2:$B$1001,$A$2:$A$1001,"&gt;="&amp;A768-6,$A$2:$A$1001,"&lt;="&amp;A768),""))</f>
        <v/>
      </c>
    </row>
    <row r="769">
      <c r="A769" s="7" t="n"/>
      <c r="B769" s="8" t="n"/>
      <c r="E769">
        <f>IF(C769="","",C769-Cfg_TDEE-IFERROR(D769,0))</f>
        <v/>
      </c>
      <c r="F769">
        <f>IF(E769="","",IFERROR(F768,0)+(-E769))</f>
        <v/>
      </c>
      <c r="G769" s="9">
        <f>IF(F769="","",F769/Cfg_FatConstant)</f>
        <v/>
      </c>
      <c r="H769" s="8">
        <f>IF(G769="","",Cfg_StartWeight-G769)</f>
        <v/>
      </c>
      <c r="I769" s="8">
        <f>IF(B769="","",Cfg_StartWeight-B769)</f>
        <v/>
      </c>
      <c r="J769" s="10">
        <f>IF(OR(B769="",G769=""),"",I769-G769)</f>
        <v/>
      </c>
      <c r="K769" s="9">
        <f>IF(B769="","",IFERROR(AVERAGEIFS($B$2:$B$1001,$A$2:$A$1001,"&gt;="&amp;A769-6,$A$2:$A$1001,"&lt;="&amp;A769),""))</f>
        <v/>
      </c>
    </row>
    <row r="770">
      <c r="A770" s="7" t="n"/>
      <c r="B770" s="8" t="n"/>
      <c r="E770">
        <f>IF(C770="","",C770-Cfg_TDEE-IFERROR(D770,0))</f>
        <v/>
      </c>
      <c r="F770">
        <f>IF(E770="","",IFERROR(F769,0)+(-E770))</f>
        <v/>
      </c>
      <c r="G770" s="9">
        <f>IF(F770="","",F770/Cfg_FatConstant)</f>
        <v/>
      </c>
      <c r="H770" s="8">
        <f>IF(G770="","",Cfg_StartWeight-G770)</f>
        <v/>
      </c>
      <c r="I770" s="8">
        <f>IF(B770="","",Cfg_StartWeight-B770)</f>
        <v/>
      </c>
      <c r="J770" s="10">
        <f>IF(OR(B770="",G770=""),"",I770-G770)</f>
        <v/>
      </c>
      <c r="K770" s="9">
        <f>IF(B770="","",IFERROR(AVERAGEIFS($B$2:$B$1001,$A$2:$A$1001,"&gt;="&amp;A770-6,$A$2:$A$1001,"&lt;="&amp;A770),""))</f>
        <v/>
      </c>
    </row>
    <row r="771">
      <c r="A771" s="7" t="n"/>
      <c r="B771" s="8" t="n"/>
      <c r="E771">
        <f>IF(C771="","",C771-Cfg_TDEE-IFERROR(D771,0))</f>
        <v/>
      </c>
      <c r="F771">
        <f>IF(E771="","",IFERROR(F770,0)+(-E771))</f>
        <v/>
      </c>
      <c r="G771" s="9">
        <f>IF(F771="","",F771/Cfg_FatConstant)</f>
        <v/>
      </c>
      <c r="H771" s="8">
        <f>IF(G771="","",Cfg_StartWeight-G771)</f>
        <v/>
      </c>
      <c r="I771" s="8">
        <f>IF(B771="","",Cfg_StartWeight-B771)</f>
        <v/>
      </c>
      <c r="J771" s="10">
        <f>IF(OR(B771="",G771=""),"",I771-G771)</f>
        <v/>
      </c>
      <c r="K771" s="9">
        <f>IF(B771="","",IFERROR(AVERAGEIFS($B$2:$B$1001,$A$2:$A$1001,"&gt;="&amp;A771-6,$A$2:$A$1001,"&lt;="&amp;A771),""))</f>
        <v/>
      </c>
    </row>
    <row r="772">
      <c r="A772" s="7" t="n"/>
      <c r="B772" s="8" t="n"/>
      <c r="E772">
        <f>IF(C772="","",C772-Cfg_TDEE-IFERROR(D772,0))</f>
        <v/>
      </c>
      <c r="F772">
        <f>IF(E772="","",IFERROR(F771,0)+(-E772))</f>
        <v/>
      </c>
      <c r="G772" s="9">
        <f>IF(F772="","",F772/Cfg_FatConstant)</f>
        <v/>
      </c>
      <c r="H772" s="8">
        <f>IF(G772="","",Cfg_StartWeight-G772)</f>
        <v/>
      </c>
      <c r="I772" s="8">
        <f>IF(B772="","",Cfg_StartWeight-B772)</f>
        <v/>
      </c>
      <c r="J772" s="10">
        <f>IF(OR(B772="",G772=""),"",I772-G772)</f>
        <v/>
      </c>
      <c r="K772" s="9">
        <f>IF(B772="","",IFERROR(AVERAGEIFS($B$2:$B$1001,$A$2:$A$1001,"&gt;="&amp;A772-6,$A$2:$A$1001,"&lt;="&amp;A772),""))</f>
        <v/>
      </c>
    </row>
    <row r="773">
      <c r="A773" s="7" t="n"/>
      <c r="B773" s="8" t="n"/>
      <c r="E773">
        <f>IF(C773="","",C773-Cfg_TDEE-IFERROR(D773,0))</f>
        <v/>
      </c>
      <c r="F773">
        <f>IF(E773="","",IFERROR(F772,0)+(-E773))</f>
        <v/>
      </c>
      <c r="G773" s="9">
        <f>IF(F773="","",F773/Cfg_FatConstant)</f>
        <v/>
      </c>
      <c r="H773" s="8">
        <f>IF(G773="","",Cfg_StartWeight-G773)</f>
        <v/>
      </c>
      <c r="I773" s="8">
        <f>IF(B773="","",Cfg_StartWeight-B773)</f>
        <v/>
      </c>
      <c r="J773" s="10">
        <f>IF(OR(B773="",G773=""),"",I773-G773)</f>
        <v/>
      </c>
      <c r="K773" s="9">
        <f>IF(B773="","",IFERROR(AVERAGEIFS($B$2:$B$1001,$A$2:$A$1001,"&gt;="&amp;A773-6,$A$2:$A$1001,"&lt;="&amp;A773),""))</f>
        <v/>
      </c>
    </row>
    <row r="774">
      <c r="A774" s="7" t="n"/>
      <c r="B774" s="8" t="n"/>
      <c r="E774">
        <f>IF(C774="","",C774-Cfg_TDEE-IFERROR(D774,0))</f>
        <v/>
      </c>
      <c r="F774">
        <f>IF(E774="","",IFERROR(F773,0)+(-E774))</f>
        <v/>
      </c>
      <c r="G774" s="9">
        <f>IF(F774="","",F774/Cfg_FatConstant)</f>
        <v/>
      </c>
      <c r="H774" s="8">
        <f>IF(G774="","",Cfg_StartWeight-G774)</f>
        <v/>
      </c>
      <c r="I774" s="8">
        <f>IF(B774="","",Cfg_StartWeight-B774)</f>
        <v/>
      </c>
      <c r="J774" s="10">
        <f>IF(OR(B774="",G774=""),"",I774-G774)</f>
        <v/>
      </c>
      <c r="K774" s="9">
        <f>IF(B774="","",IFERROR(AVERAGEIFS($B$2:$B$1001,$A$2:$A$1001,"&gt;="&amp;A774-6,$A$2:$A$1001,"&lt;="&amp;A774),""))</f>
        <v/>
      </c>
    </row>
    <row r="775">
      <c r="A775" s="7" t="n"/>
      <c r="B775" s="8" t="n"/>
      <c r="E775">
        <f>IF(C775="","",C775-Cfg_TDEE-IFERROR(D775,0))</f>
        <v/>
      </c>
      <c r="F775">
        <f>IF(E775="","",IFERROR(F774,0)+(-E775))</f>
        <v/>
      </c>
      <c r="G775" s="9">
        <f>IF(F775="","",F775/Cfg_FatConstant)</f>
        <v/>
      </c>
      <c r="H775" s="8">
        <f>IF(G775="","",Cfg_StartWeight-G775)</f>
        <v/>
      </c>
      <c r="I775" s="8">
        <f>IF(B775="","",Cfg_StartWeight-B775)</f>
        <v/>
      </c>
      <c r="J775" s="10">
        <f>IF(OR(B775="",G775=""),"",I775-G775)</f>
        <v/>
      </c>
      <c r="K775" s="9">
        <f>IF(B775="","",IFERROR(AVERAGEIFS($B$2:$B$1001,$A$2:$A$1001,"&gt;="&amp;A775-6,$A$2:$A$1001,"&lt;="&amp;A775),""))</f>
        <v/>
      </c>
    </row>
    <row r="776">
      <c r="A776" s="7" t="n"/>
      <c r="B776" s="8" t="n"/>
      <c r="E776">
        <f>IF(C776="","",C776-Cfg_TDEE-IFERROR(D776,0))</f>
        <v/>
      </c>
      <c r="F776">
        <f>IF(E776="","",IFERROR(F775,0)+(-E776))</f>
        <v/>
      </c>
      <c r="G776" s="9">
        <f>IF(F776="","",F776/Cfg_FatConstant)</f>
        <v/>
      </c>
      <c r="H776" s="8">
        <f>IF(G776="","",Cfg_StartWeight-G776)</f>
        <v/>
      </c>
      <c r="I776" s="8">
        <f>IF(B776="","",Cfg_StartWeight-B776)</f>
        <v/>
      </c>
      <c r="J776" s="10">
        <f>IF(OR(B776="",G776=""),"",I776-G776)</f>
        <v/>
      </c>
      <c r="K776" s="9">
        <f>IF(B776="","",IFERROR(AVERAGEIFS($B$2:$B$1001,$A$2:$A$1001,"&gt;="&amp;A776-6,$A$2:$A$1001,"&lt;="&amp;A776),""))</f>
        <v/>
      </c>
    </row>
    <row r="777">
      <c r="A777" s="7" t="n"/>
      <c r="B777" s="8" t="n"/>
      <c r="E777">
        <f>IF(C777="","",C777-Cfg_TDEE-IFERROR(D777,0))</f>
        <v/>
      </c>
      <c r="F777">
        <f>IF(E777="","",IFERROR(F776,0)+(-E777))</f>
        <v/>
      </c>
      <c r="G777" s="9">
        <f>IF(F777="","",F777/Cfg_FatConstant)</f>
        <v/>
      </c>
      <c r="H777" s="8">
        <f>IF(G777="","",Cfg_StartWeight-G777)</f>
        <v/>
      </c>
      <c r="I777" s="8">
        <f>IF(B777="","",Cfg_StartWeight-B777)</f>
        <v/>
      </c>
      <c r="J777" s="10">
        <f>IF(OR(B777="",G777=""),"",I777-G777)</f>
        <v/>
      </c>
      <c r="K777" s="9">
        <f>IF(B777="","",IFERROR(AVERAGEIFS($B$2:$B$1001,$A$2:$A$1001,"&gt;="&amp;A777-6,$A$2:$A$1001,"&lt;="&amp;A777),""))</f>
        <v/>
      </c>
    </row>
    <row r="778">
      <c r="A778" s="7" t="n"/>
      <c r="B778" s="8" t="n"/>
      <c r="E778">
        <f>IF(C778="","",C778-Cfg_TDEE-IFERROR(D778,0))</f>
        <v/>
      </c>
      <c r="F778">
        <f>IF(E778="","",IFERROR(F777,0)+(-E778))</f>
        <v/>
      </c>
      <c r="G778" s="9">
        <f>IF(F778="","",F778/Cfg_FatConstant)</f>
        <v/>
      </c>
      <c r="H778" s="8">
        <f>IF(G778="","",Cfg_StartWeight-G778)</f>
        <v/>
      </c>
      <c r="I778" s="8">
        <f>IF(B778="","",Cfg_StartWeight-B778)</f>
        <v/>
      </c>
      <c r="J778" s="10">
        <f>IF(OR(B778="",G778=""),"",I778-G778)</f>
        <v/>
      </c>
      <c r="K778" s="9">
        <f>IF(B778="","",IFERROR(AVERAGEIFS($B$2:$B$1001,$A$2:$A$1001,"&gt;="&amp;A778-6,$A$2:$A$1001,"&lt;="&amp;A778),""))</f>
        <v/>
      </c>
    </row>
    <row r="779">
      <c r="A779" s="7" t="n"/>
      <c r="B779" s="8" t="n"/>
      <c r="E779">
        <f>IF(C779="","",C779-Cfg_TDEE-IFERROR(D779,0))</f>
        <v/>
      </c>
      <c r="F779">
        <f>IF(E779="","",IFERROR(F778,0)+(-E779))</f>
        <v/>
      </c>
      <c r="G779" s="9">
        <f>IF(F779="","",F779/Cfg_FatConstant)</f>
        <v/>
      </c>
      <c r="H779" s="8">
        <f>IF(G779="","",Cfg_StartWeight-G779)</f>
        <v/>
      </c>
      <c r="I779" s="8">
        <f>IF(B779="","",Cfg_StartWeight-B779)</f>
        <v/>
      </c>
      <c r="J779" s="10">
        <f>IF(OR(B779="",G779=""),"",I779-G779)</f>
        <v/>
      </c>
      <c r="K779" s="9">
        <f>IF(B779="","",IFERROR(AVERAGEIFS($B$2:$B$1001,$A$2:$A$1001,"&gt;="&amp;A779-6,$A$2:$A$1001,"&lt;="&amp;A779),""))</f>
        <v/>
      </c>
    </row>
    <row r="780">
      <c r="A780" s="7" t="n"/>
      <c r="B780" s="8" t="n"/>
      <c r="E780">
        <f>IF(C780="","",C780-Cfg_TDEE-IFERROR(D780,0))</f>
        <v/>
      </c>
      <c r="F780">
        <f>IF(E780="","",IFERROR(F779,0)+(-E780))</f>
        <v/>
      </c>
      <c r="G780" s="9">
        <f>IF(F780="","",F780/Cfg_FatConstant)</f>
        <v/>
      </c>
      <c r="H780" s="8">
        <f>IF(G780="","",Cfg_StartWeight-G780)</f>
        <v/>
      </c>
      <c r="I780" s="8">
        <f>IF(B780="","",Cfg_StartWeight-B780)</f>
        <v/>
      </c>
      <c r="J780" s="10">
        <f>IF(OR(B780="",G780=""),"",I780-G780)</f>
        <v/>
      </c>
      <c r="K780" s="9">
        <f>IF(B780="","",IFERROR(AVERAGEIFS($B$2:$B$1001,$A$2:$A$1001,"&gt;="&amp;A780-6,$A$2:$A$1001,"&lt;="&amp;A780),""))</f>
        <v/>
      </c>
    </row>
    <row r="781">
      <c r="A781" s="7" t="n"/>
      <c r="B781" s="8" t="n"/>
      <c r="E781">
        <f>IF(C781="","",C781-Cfg_TDEE-IFERROR(D781,0))</f>
        <v/>
      </c>
      <c r="F781">
        <f>IF(E781="","",IFERROR(F780,0)+(-E781))</f>
        <v/>
      </c>
      <c r="G781" s="9">
        <f>IF(F781="","",F781/Cfg_FatConstant)</f>
        <v/>
      </c>
      <c r="H781" s="8">
        <f>IF(G781="","",Cfg_StartWeight-G781)</f>
        <v/>
      </c>
      <c r="I781" s="8">
        <f>IF(B781="","",Cfg_StartWeight-B781)</f>
        <v/>
      </c>
      <c r="J781" s="10">
        <f>IF(OR(B781="",G781=""),"",I781-G781)</f>
        <v/>
      </c>
      <c r="K781" s="9">
        <f>IF(B781="","",IFERROR(AVERAGEIFS($B$2:$B$1001,$A$2:$A$1001,"&gt;="&amp;A781-6,$A$2:$A$1001,"&lt;="&amp;A781),""))</f>
        <v/>
      </c>
    </row>
    <row r="782">
      <c r="A782" s="7" t="n"/>
      <c r="B782" s="8" t="n"/>
      <c r="E782">
        <f>IF(C782="","",C782-Cfg_TDEE-IFERROR(D782,0))</f>
        <v/>
      </c>
      <c r="F782">
        <f>IF(E782="","",IFERROR(F781,0)+(-E782))</f>
        <v/>
      </c>
      <c r="G782" s="9">
        <f>IF(F782="","",F782/Cfg_FatConstant)</f>
        <v/>
      </c>
      <c r="H782" s="8">
        <f>IF(G782="","",Cfg_StartWeight-G782)</f>
        <v/>
      </c>
      <c r="I782" s="8">
        <f>IF(B782="","",Cfg_StartWeight-B782)</f>
        <v/>
      </c>
      <c r="J782" s="10">
        <f>IF(OR(B782="",G782=""),"",I782-G782)</f>
        <v/>
      </c>
      <c r="K782" s="9">
        <f>IF(B782="","",IFERROR(AVERAGEIFS($B$2:$B$1001,$A$2:$A$1001,"&gt;="&amp;A782-6,$A$2:$A$1001,"&lt;="&amp;A782),""))</f>
        <v/>
      </c>
    </row>
    <row r="783">
      <c r="A783" s="7" t="n"/>
      <c r="B783" s="8" t="n"/>
      <c r="E783">
        <f>IF(C783="","",C783-Cfg_TDEE-IFERROR(D783,0))</f>
        <v/>
      </c>
      <c r="F783">
        <f>IF(E783="","",IFERROR(F782,0)+(-E783))</f>
        <v/>
      </c>
      <c r="G783" s="9">
        <f>IF(F783="","",F783/Cfg_FatConstant)</f>
        <v/>
      </c>
      <c r="H783" s="8">
        <f>IF(G783="","",Cfg_StartWeight-G783)</f>
        <v/>
      </c>
      <c r="I783" s="8">
        <f>IF(B783="","",Cfg_StartWeight-B783)</f>
        <v/>
      </c>
      <c r="J783" s="10">
        <f>IF(OR(B783="",G783=""),"",I783-G783)</f>
        <v/>
      </c>
      <c r="K783" s="9">
        <f>IF(B783="","",IFERROR(AVERAGEIFS($B$2:$B$1001,$A$2:$A$1001,"&gt;="&amp;A783-6,$A$2:$A$1001,"&lt;="&amp;A783),""))</f>
        <v/>
      </c>
    </row>
    <row r="784">
      <c r="A784" s="7" t="n"/>
      <c r="B784" s="8" t="n"/>
      <c r="E784">
        <f>IF(C784="","",C784-Cfg_TDEE-IFERROR(D784,0))</f>
        <v/>
      </c>
      <c r="F784">
        <f>IF(E784="","",IFERROR(F783,0)+(-E784))</f>
        <v/>
      </c>
      <c r="G784" s="9">
        <f>IF(F784="","",F784/Cfg_FatConstant)</f>
        <v/>
      </c>
      <c r="H784" s="8">
        <f>IF(G784="","",Cfg_StartWeight-G784)</f>
        <v/>
      </c>
      <c r="I784" s="8">
        <f>IF(B784="","",Cfg_StartWeight-B784)</f>
        <v/>
      </c>
      <c r="J784" s="10">
        <f>IF(OR(B784="",G784=""),"",I784-G784)</f>
        <v/>
      </c>
      <c r="K784" s="9">
        <f>IF(B784="","",IFERROR(AVERAGEIFS($B$2:$B$1001,$A$2:$A$1001,"&gt;="&amp;A784-6,$A$2:$A$1001,"&lt;="&amp;A784),""))</f>
        <v/>
      </c>
    </row>
    <row r="785">
      <c r="A785" s="7" t="n"/>
      <c r="B785" s="8" t="n"/>
      <c r="E785">
        <f>IF(C785="","",C785-Cfg_TDEE-IFERROR(D785,0))</f>
        <v/>
      </c>
      <c r="F785">
        <f>IF(E785="","",IFERROR(F784,0)+(-E785))</f>
        <v/>
      </c>
      <c r="G785" s="9">
        <f>IF(F785="","",F785/Cfg_FatConstant)</f>
        <v/>
      </c>
      <c r="H785" s="8">
        <f>IF(G785="","",Cfg_StartWeight-G785)</f>
        <v/>
      </c>
      <c r="I785" s="8">
        <f>IF(B785="","",Cfg_StartWeight-B785)</f>
        <v/>
      </c>
      <c r="J785" s="10">
        <f>IF(OR(B785="",G785=""),"",I785-G785)</f>
        <v/>
      </c>
      <c r="K785" s="9">
        <f>IF(B785="","",IFERROR(AVERAGEIFS($B$2:$B$1001,$A$2:$A$1001,"&gt;="&amp;A785-6,$A$2:$A$1001,"&lt;="&amp;A785),""))</f>
        <v/>
      </c>
    </row>
    <row r="786">
      <c r="A786" s="7" t="n"/>
      <c r="B786" s="8" t="n"/>
      <c r="E786">
        <f>IF(C786="","",C786-Cfg_TDEE-IFERROR(D786,0))</f>
        <v/>
      </c>
      <c r="F786">
        <f>IF(E786="","",IFERROR(F785,0)+(-E786))</f>
        <v/>
      </c>
      <c r="G786" s="9">
        <f>IF(F786="","",F786/Cfg_FatConstant)</f>
        <v/>
      </c>
      <c r="H786" s="8">
        <f>IF(G786="","",Cfg_StartWeight-G786)</f>
        <v/>
      </c>
      <c r="I786" s="8">
        <f>IF(B786="","",Cfg_StartWeight-B786)</f>
        <v/>
      </c>
      <c r="J786" s="10">
        <f>IF(OR(B786="",G786=""),"",I786-G786)</f>
        <v/>
      </c>
      <c r="K786" s="9">
        <f>IF(B786="","",IFERROR(AVERAGEIFS($B$2:$B$1001,$A$2:$A$1001,"&gt;="&amp;A786-6,$A$2:$A$1001,"&lt;="&amp;A786),""))</f>
        <v/>
      </c>
    </row>
    <row r="787">
      <c r="A787" s="7" t="n"/>
      <c r="B787" s="8" t="n"/>
      <c r="E787">
        <f>IF(C787="","",C787-Cfg_TDEE-IFERROR(D787,0))</f>
        <v/>
      </c>
      <c r="F787">
        <f>IF(E787="","",IFERROR(F786,0)+(-E787))</f>
        <v/>
      </c>
      <c r="G787" s="9">
        <f>IF(F787="","",F787/Cfg_FatConstant)</f>
        <v/>
      </c>
      <c r="H787" s="8">
        <f>IF(G787="","",Cfg_StartWeight-G787)</f>
        <v/>
      </c>
      <c r="I787" s="8">
        <f>IF(B787="","",Cfg_StartWeight-B787)</f>
        <v/>
      </c>
      <c r="J787" s="10">
        <f>IF(OR(B787="",G787=""),"",I787-G787)</f>
        <v/>
      </c>
      <c r="K787" s="9">
        <f>IF(B787="","",IFERROR(AVERAGEIFS($B$2:$B$1001,$A$2:$A$1001,"&gt;="&amp;A787-6,$A$2:$A$1001,"&lt;="&amp;A787),""))</f>
        <v/>
      </c>
    </row>
    <row r="788">
      <c r="A788" s="7" t="n"/>
      <c r="B788" s="8" t="n"/>
      <c r="E788">
        <f>IF(C788="","",C788-Cfg_TDEE-IFERROR(D788,0))</f>
        <v/>
      </c>
      <c r="F788">
        <f>IF(E788="","",IFERROR(F787,0)+(-E788))</f>
        <v/>
      </c>
      <c r="G788" s="9">
        <f>IF(F788="","",F788/Cfg_FatConstant)</f>
        <v/>
      </c>
      <c r="H788" s="8">
        <f>IF(G788="","",Cfg_StartWeight-G788)</f>
        <v/>
      </c>
      <c r="I788" s="8">
        <f>IF(B788="","",Cfg_StartWeight-B788)</f>
        <v/>
      </c>
      <c r="J788" s="10">
        <f>IF(OR(B788="",G788=""),"",I788-G788)</f>
        <v/>
      </c>
      <c r="K788" s="9">
        <f>IF(B788="","",IFERROR(AVERAGEIFS($B$2:$B$1001,$A$2:$A$1001,"&gt;="&amp;A788-6,$A$2:$A$1001,"&lt;="&amp;A788),""))</f>
        <v/>
      </c>
    </row>
    <row r="789">
      <c r="A789" s="7" t="n"/>
      <c r="B789" s="8" t="n"/>
      <c r="E789">
        <f>IF(C789="","",C789-Cfg_TDEE-IFERROR(D789,0))</f>
        <v/>
      </c>
      <c r="F789">
        <f>IF(E789="","",IFERROR(F788,0)+(-E789))</f>
        <v/>
      </c>
      <c r="G789" s="9">
        <f>IF(F789="","",F789/Cfg_FatConstant)</f>
        <v/>
      </c>
      <c r="H789" s="8">
        <f>IF(G789="","",Cfg_StartWeight-G789)</f>
        <v/>
      </c>
      <c r="I789" s="8">
        <f>IF(B789="","",Cfg_StartWeight-B789)</f>
        <v/>
      </c>
      <c r="J789" s="10">
        <f>IF(OR(B789="",G789=""),"",I789-G789)</f>
        <v/>
      </c>
      <c r="K789" s="9">
        <f>IF(B789="","",IFERROR(AVERAGEIFS($B$2:$B$1001,$A$2:$A$1001,"&gt;="&amp;A789-6,$A$2:$A$1001,"&lt;="&amp;A789),""))</f>
        <v/>
      </c>
    </row>
    <row r="790">
      <c r="A790" s="7" t="n"/>
      <c r="B790" s="8" t="n"/>
      <c r="E790">
        <f>IF(C790="","",C790-Cfg_TDEE-IFERROR(D790,0))</f>
        <v/>
      </c>
      <c r="F790">
        <f>IF(E790="","",IFERROR(F789,0)+(-E790))</f>
        <v/>
      </c>
      <c r="G790" s="9">
        <f>IF(F790="","",F790/Cfg_FatConstant)</f>
        <v/>
      </c>
      <c r="H790" s="8">
        <f>IF(G790="","",Cfg_StartWeight-G790)</f>
        <v/>
      </c>
      <c r="I790" s="8">
        <f>IF(B790="","",Cfg_StartWeight-B790)</f>
        <v/>
      </c>
      <c r="J790" s="10">
        <f>IF(OR(B790="",G790=""),"",I790-G790)</f>
        <v/>
      </c>
      <c r="K790" s="9">
        <f>IF(B790="","",IFERROR(AVERAGEIFS($B$2:$B$1001,$A$2:$A$1001,"&gt;="&amp;A790-6,$A$2:$A$1001,"&lt;="&amp;A790),""))</f>
        <v/>
      </c>
    </row>
    <row r="791">
      <c r="A791" s="7" t="n"/>
      <c r="B791" s="8" t="n"/>
      <c r="E791">
        <f>IF(C791="","",C791-Cfg_TDEE-IFERROR(D791,0))</f>
        <v/>
      </c>
      <c r="F791">
        <f>IF(E791="","",IFERROR(F790,0)+(-E791))</f>
        <v/>
      </c>
      <c r="G791" s="9">
        <f>IF(F791="","",F791/Cfg_FatConstant)</f>
        <v/>
      </c>
      <c r="H791" s="8">
        <f>IF(G791="","",Cfg_StartWeight-G791)</f>
        <v/>
      </c>
      <c r="I791" s="8">
        <f>IF(B791="","",Cfg_StartWeight-B791)</f>
        <v/>
      </c>
      <c r="J791" s="10">
        <f>IF(OR(B791="",G791=""),"",I791-G791)</f>
        <v/>
      </c>
      <c r="K791" s="9">
        <f>IF(B791="","",IFERROR(AVERAGEIFS($B$2:$B$1001,$A$2:$A$1001,"&gt;="&amp;A791-6,$A$2:$A$1001,"&lt;="&amp;A791),""))</f>
        <v/>
      </c>
    </row>
    <row r="792">
      <c r="A792" s="7" t="n"/>
      <c r="B792" s="8" t="n"/>
      <c r="E792">
        <f>IF(C792="","",C792-Cfg_TDEE-IFERROR(D792,0))</f>
        <v/>
      </c>
      <c r="F792">
        <f>IF(E792="","",IFERROR(F791,0)+(-E792))</f>
        <v/>
      </c>
      <c r="G792" s="9">
        <f>IF(F792="","",F792/Cfg_FatConstant)</f>
        <v/>
      </c>
      <c r="H792" s="8">
        <f>IF(G792="","",Cfg_StartWeight-G792)</f>
        <v/>
      </c>
      <c r="I792" s="8">
        <f>IF(B792="","",Cfg_StartWeight-B792)</f>
        <v/>
      </c>
      <c r="J792" s="10">
        <f>IF(OR(B792="",G792=""),"",I792-G792)</f>
        <v/>
      </c>
      <c r="K792" s="9">
        <f>IF(B792="","",IFERROR(AVERAGEIFS($B$2:$B$1001,$A$2:$A$1001,"&gt;="&amp;A792-6,$A$2:$A$1001,"&lt;="&amp;A792),""))</f>
        <v/>
      </c>
    </row>
    <row r="793">
      <c r="A793" s="7" t="n"/>
      <c r="B793" s="8" t="n"/>
      <c r="E793">
        <f>IF(C793="","",C793-Cfg_TDEE-IFERROR(D793,0))</f>
        <v/>
      </c>
      <c r="F793">
        <f>IF(E793="","",IFERROR(F792,0)+(-E793))</f>
        <v/>
      </c>
      <c r="G793" s="9">
        <f>IF(F793="","",F793/Cfg_FatConstant)</f>
        <v/>
      </c>
      <c r="H793" s="8">
        <f>IF(G793="","",Cfg_StartWeight-G793)</f>
        <v/>
      </c>
      <c r="I793" s="8">
        <f>IF(B793="","",Cfg_StartWeight-B793)</f>
        <v/>
      </c>
      <c r="J793" s="10">
        <f>IF(OR(B793="",G793=""),"",I793-G793)</f>
        <v/>
      </c>
      <c r="K793" s="9">
        <f>IF(B793="","",IFERROR(AVERAGEIFS($B$2:$B$1001,$A$2:$A$1001,"&gt;="&amp;A793-6,$A$2:$A$1001,"&lt;="&amp;A793),""))</f>
        <v/>
      </c>
    </row>
    <row r="794">
      <c r="A794" s="7" t="n"/>
      <c r="B794" s="8" t="n"/>
      <c r="E794">
        <f>IF(C794="","",C794-Cfg_TDEE-IFERROR(D794,0))</f>
        <v/>
      </c>
      <c r="F794">
        <f>IF(E794="","",IFERROR(F793,0)+(-E794))</f>
        <v/>
      </c>
      <c r="G794" s="9">
        <f>IF(F794="","",F794/Cfg_FatConstant)</f>
        <v/>
      </c>
      <c r="H794" s="8">
        <f>IF(G794="","",Cfg_StartWeight-G794)</f>
        <v/>
      </c>
      <c r="I794" s="8">
        <f>IF(B794="","",Cfg_StartWeight-B794)</f>
        <v/>
      </c>
      <c r="J794" s="10">
        <f>IF(OR(B794="",G794=""),"",I794-G794)</f>
        <v/>
      </c>
      <c r="K794" s="9">
        <f>IF(B794="","",IFERROR(AVERAGEIFS($B$2:$B$1001,$A$2:$A$1001,"&gt;="&amp;A794-6,$A$2:$A$1001,"&lt;="&amp;A794),""))</f>
        <v/>
      </c>
    </row>
    <row r="795">
      <c r="A795" s="7" t="n"/>
      <c r="B795" s="8" t="n"/>
      <c r="E795">
        <f>IF(C795="","",C795-Cfg_TDEE-IFERROR(D795,0))</f>
        <v/>
      </c>
      <c r="F795">
        <f>IF(E795="","",IFERROR(F794,0)+(-E795))</f>
        <v/>
      </c>
      <c r="G795" s="9">
        <f>IF(F795="","",F795/Cfg_FatConstant)</f>
        <v/>
      </c>
      <c r="H795" s="8">
        <f>IF(G795="","",Cfg_StartWeight-G795)</f>
        <v/>
      </c>
      <c r="I795" s="8">
        <f>IF(B795="","",Cfg_StartWeight-B795)</f>
        <v/>
      </c>
      <c r="J795" s="10">
        <f>IF(OR(B795="",G795=""),"",I795-G795)</f>
        <v/>
      </c>
      <c r="K795" s="9">
        <f>IF(B795="","",IFERROR(AVERAGEIFS($B$2:$B$1001,$A$2:$A$1001,"&gt;="&amp;A795-6,$A$2:$A$1001,"&lt;="&amp;A795),""))</f>
        <v/>
      </c>
    </row>
    <row r="796">
      <c r="A796" s="7" t="n"/>
      <c r="B796" s="8" t="n"/>
      <c r="E796">
        <f>IF(C796="","",C796-Cfg_TDEE-IFERROR(D796,0))</f>
        <v/>
      </c>
      <c r="F796">
        <f>IF(E796="","",IFERROR(F795,0)+(-E796))</f>
        <v/>
      </c>
      <c r="G796" s="9">
        <f>IF(F796="","",F796/Cfg_FatConstant)</f>
        <v/>
      </c>
      <c r="H796" s="8">
        <f>IF(G796="","",Cfg_StartWeight-G796)</f>
        <v/>
      </c>
      <c r="I796" s="8">
        <f>IF(B796="","",Cfg_StartWeight-B796)</f>
        <v/>
      </c>
      <c r="J796" s="10">
        <f>IF(OR(B796="",G796=""),"",I796-G796)</f>
        <v/>
      </c>
      <c r="K796" s="9">
        <f>IF(B796="","",IFERROR(AVERAGEIFS($B$2:$B$1001,$A$2:$A$1001,"&gt;="&amp;A796-6,$A$2:$A$1001,"&lt;="&amp;A796),""))</f>
        <v/>
      </c>
    </row>
    <row r="797">
      <c r="A797" s="7" t="n"/>
      <c r="B797" s="8" t="n"/>
      <c r="E797">
        <f>IF(C797="","",C797-Cfg_TDEE-IFERROR(D797,0))</f>
        <v/>
      </c>
      <c r="F797">
        <f>IF(E797="","",IFERROR(F796,0)+(-E797))</f>
        <v/>
      </c>
      <c r="G797" s="9">
        <f>IF(F797="","",F797/Cfg_FatConstant)</f>
        <v/>
      </c>
      <c r="H797" s="8">
        <f>IF(G797="","",Cfg_StartWeight-G797)</f>
        <v/>
      </c>
      <c r="I797" s="8">
        <f>IF(B797="","",Cfg_StartWeight-B797)</f>
        <v/>
      </c>
      <c r="J797" s="10">
        <f>IF(OR(B797="",G797=""),"",I797-G797)</f>
        <v/>
      </c>
      <c r="K797" s="9">
        <f>IF(B797="","",IFERROR(AVERAGEIFS($B$2:$B$1001,$A$2:$A$1001,"&gt;="&amp;A797-6,$A$2:$A$1001,"&lt;="&amp;A797),""))</f>
        <v/>
      </c>
    </row>
    <row r="798">
      <c r="A798" s="7" t="n"/>
      <c r="B798" s="8" t="n"/>
      <c r="E798">
        <f>IF(C798="","",C798-Cfg_TDEE-IFERROR(D798,0))</f>
        <v/>
      </c>
      <c r="F798">
        <f>IF(E798="","",IFERROR(F797,0)+(-E798))</f>
        <v/>
      </c>
      <c r="G798" s="9">
        <f>IF(F798="","",F798/Cfg_FatConstant)</f>
        <v/>
      </c>
      <c r="H798" s="8">
        <f>IF(G798="","",Cfg_StartWeight-G798)</f>
        <v/>
      </c>
      <c r="I798" s="8">
        <f>IF(B798="","",Cfg_StartWeight-B798)</f>
        <v/>
      </c>
      <c r="J798" s="10">
        <f>IF(OR(B798="",G798=""),"",I798-G798)</f>
        <v/>
      </c>
      <c r="K798" s="9">
        <f>IF(B798="","",IFERROR(AVERAGEIFS($B$2:$B$1001,$A$2:$A$1001,"&gt;="&amp;A798-6,$A$2:$A$1001,"&lt;="&amp;A798),""))</f>
        <v/>
      </c>
    </row>
    <row r="799">
      <c r="A799" s="7" t="n"/>
      <c r="B799" s="8" t="n"/>
      <c r="E799">
        <f>IF(C799="","",C799-Cfg_TDEE-IFERROR(D799,0))</f>
        <v/>
      </c>
      <c r="F799">
        <f>IF(E799="","",IFERROR(F798,0)+(-E799))</f>
        <v/>
      </c>
      <c r="G799" s="9">
        <f>IF(F799="","",F799/Cfg_FatConstant)</f>
        <v/>
      </c>
      <c r="H799" s="8">
        <f>IF(G799="","",Cfg_StartWeight-G799)</f>
        <v/>
      </c>
      <c r="I799" s="8">
        <f>IF(B799="","",Cfg_StartWeight-B799)</f>
        <v/>
      </c>
      <c r="J799" s="10">
        <f>IF(OR(B799="",G799=""),"",I799-G799)</f>
        <v/>
      </c>
      <c r="K799" s="9">
        <f>IF(B799="","",IFERROR(AVERAGEIFS($B$2:$B$1001,$A$2:$A$1001,"&gt;="&amp;A799-6,$A$2:$A$1001,"&lt;="&amp;A799),""))</f>
        <v/>
      </c>
    </row>
    <row r="800">
      <c r="A800" s="7" t="n"/>
      <c r="B800" s="8" t="n"/>
      <c r="E800">
        <f>IF(C800="","",C800-Cfg_TDEE-IFERROR(D800,0))</f>
        <v/>
      </c>
      <c r="F800">
        <f>IF(E800="","",IFERROR(F799,0)+(-E800))</f>
        <v/>
      </c>
      <c r="G800" s="9">
        <f>IF(F800="","",F800/Cfg_FatConstant)</f>
        <v/>
      </c>
      <c r="H800" s="8">
        <f>IF(G800="","",Cfg_StartWeight-G800)</f>
        <v/>
      </c>
      <c r="I800" s="8">
        <f>IF(B800="","",Cfg_StartWeight-B800)</f>
        <v/>
      </c>
      <c r="J800" s="10">
        <f>IF(OR(B800="",G800=""),"",I800-G800)</f>
        <v/>
      </c>
      <c r="K800" s="9">
        <f>IF(B800="","",IFERROR(AVERAGEIFS($B$2:$B$1001,$A$2:$A$1001,"&gt;="&amp;A800-6,$A$2:$A$1001,"&lt;="&amp;A800),""))</f>
        <v/>
      </c>
    </row>
    <row r="801">
      <c r="A801" s="7" t="n"/>
      <c r="B801" s="8" t="n"/>
      <c r="E801">
        <f>IF(C801="","",C801-Cfg_TDEE-IFERROR(D801,0))</f>
        <v/>
      </c>
      <c r="F801">
        <f>IF(E801="","",IFERROR(F800,0)+(-E801))</f>
        <v/>
      </c>
      <c r="G801" s="9">
        <f>IF(F801="","",F801/Cfg_FatConstant)</f>
        <v/>
      </c>
      <c r="H801" s="8">
        <f>IF(G801="","",Cfg_StartWeight-G801)</f>
        <v/>
      </c>
      <c r="I801" s="8">
        <f>IF(B801="","",Cfg_StartWeight-B801)</f>
        <v/>
      </c>
      <c r="J801" s="10">
        <f>IF(OR(B801="",G801=""),"",I801-G801)</f>
        <v/>
      </c>
      <c r="K801" s="9">
        <f>IF(B801="","",IFERROR(AVERAGEIFS($B$2:$B$1001,$A$2:$A$1001,"&gt;="&amp;A801-6,$A$2:$A$1001,"&lt;="&amp;A801),""))</f>
        <v/>
      </c>
    </row>
    <row r="802">
      <c r="A802" s="7" t="n"/>
      <c r="B802" s="8" t="n"/>
      <c r="E802">
        <f>IF(C802="","",C802-Cfg_TDEE-IFERROR(D802,0))</f>
        <v/>
      </c>
      <c r="F802">
        <f>IF(E802="","",IFERROR(F801,0)+(-E802))</f>
        <v/>
      </c>
      <c r="G802" s="9">
        <f>IF(F802="","",F802/Cfg_FatConstant)</f>
        <v/>
      </c>
      <c r="H802" s="8">
        <f>IF(G802="","",Cfg_StartWeight-G802)</f>
        <v/>
      </c>
      <c r="I802" s="8">
        <f>IF(B802="","",Cfg_StartWeight-B802)</f>
        <v/>
      </c>
      <c r="J802" s="10">
        <f>IF(OR(B802="",G802=""),"",I802-G802)</f>
        <v/>
      </c>
      <c r="K802" s="9">
        <f>IF(B802="","",IFERROR(AVERAGEIFS($B$2:$B$1001,$A$2:$A$1001,"&gt;="&amp;A802-6,$A$2:$A$1001,"&lt;="&amp;A802),""))</f>
        <v/>
      </c>
    </row>
    <row r="803">
      <c r="A803" s="7" t="n"/>
      <c r="B803" s="8" t="n"/>
      <c r="E803">
        <f>IF(C803="","",C803-Cfg_TDEE-IFERROR(D803,0))</f>
        <v/>
      </c>
      <c r="F803">
        <f>IF(E803="","",IFERROR(F802,0)+(-E803))</f>
        <v/>
      </c>
      <c r="G803" s="9">
        <f>IF(F803="","",F803/Cfg_FatConstant)</f>
        <v/>
      </c>
      <c r="H803" s="8">
        <f>IF(G803="","",Cfg_StartWeight-G803)</f>
        <v/>
      </c>
      <c r="I803" s="8">
        <f>IF(B803="","",Cfg_StartWeight-B803)</f>
        <v/>
      </c>
      <c r="J803" s="10">
        <f>IF(OR(B803="",G803=""),"",I803-G803)</f>
        <v/>
      </c>
      <c r="K803" s="9">
        <f>IF(B803="","",IFERROR(AVERAGEIFS($B$2:$B$1001,$A$2:$A$1001,"&gt;="&amp;A803-6,$A$2:$A$1001,"&lt;="&amp;A803),""))</f>
        <v/>
      </c>
    </row>
    <row r="804">
      <c r="A804" s="7" t="n"/>
      <c r="B804" s="8" t="n"/>
      <c r="E804">
        <f>IF(C804="","",C804-Cfg_TDEE-IFERROR(D804,0))</f>
        <v/>
      </c>
      <c r="F804">
        <f>IF(E804="","",IFERROR(F803,0)+(-E804))</f>
        <v/>
      </c>
      <c r="G804" s="9">
        <f>IF(F804="","",F804/Cfg_FatConstant)</f>
        <v/>
      </c>
      <c r="H804" s="8">
        <f>IF(G804="","",Cfg_StartWeight-G804)</f>
        <v/>
      </c>
      <c r="I804" s="8">
        <f>IF(B804="","",Cfg_StartWeight-B804)</f>
        <v/>
      </c>
      <c r="J804" s="10">
        <f>IF(OR(B804="",G804=""),"",I804-G804)</f>
        <v/>
      </c>
      <c r="K804" s="9">
        <f>IF(B804="","",IFERROR(AVERAGEIFS($B$2:$B$1001,$A$2:$A$1001,"&gt;="&amp;A804-6,$A$2:$A$1001,"&lt;="&amp;A804),""))</f>
        <v/>
      </c>
    </row>
    <row r="805">
      <c r="A805" s="7" t="n"/>
      <c r="B805" s="8" t="n"/>
      <c r="E805">
        <f>IF(C805="","",C805-Cfg_TDEE-IFERROR(D805,0))</f>
        <v/>
      </c>
      <c r="F805">
        <f>IF(E805="","",IFERROR(F804,0)+(-E805))</f>
        <v/>
      </c>
      <c r="G805" s="9">
        <f>IF(F805="","",F805/Cfg_FatConstant)</f>
        <v/>
      </c>
      <c r="H805" s="8">
        <f>IF(G805="","",Cfg_StartWeight-G805)</f>
        <v/>
      </c>
      <c r="I805" s="8">
        <f>IF(B805="","",Cfg_StartWeight-B805)</f>
        <v/>
      </c>
      <c r="J805" s="10">
        <f>IF(OR(B805="",G805=""),"",I805-G805)</f>
        <v/>
      </c>
      <c r="K805" s="9">
        <f>IF(B805="","",IFERROR(AVERAGEIFS($B$2:$B$1001,$A$2:$A$1001,"&gt;="&amp;A805-6,$A$2:$A$1001,"&lt;="&amp;A805),""))</f>
        <v/>
      </c>
    </row>
    <row r="806">
      <c r="A806" s="7" t="n"/>
      <c r="B806" s="8" t="n"/>
      <c r="E806">
        <f>IF(C806="","",C806-Cfg_TDEE-IFERROR(D806,0))</f>
        <v/>
      </c>
      <c r="F806">
        <f>IF(E806="","",IFERROR(F805,0)+(-E806))</f>
        <v/>
      </c>
      <c r="G806" s="9">
        <f>IF(F806="","",F806/Cfg_FatConstant)</f>
        <v/>
      </c>
      <c r="H806" s="8">
        <f>IF(G806="","",Cfg_StartWeight-G806)</f>
        <v/>
      </c>
      <c r="I806" s="8">
        <f>IF(B806="","",Cfg_StartWeight-B806)</f>
        <v/>
      </c>
      <c r="J806" s="10">
        <f>IF(OR(B806="",G806=""),"",I806-G806)</f>
        <v/>
      </c>
      <c r="K806" s="9">
        <f>IF(B806="","",IFERROR(AVERAGEIFS($B$2:$B$1001,$A$2:$A$1001,"&gt;="&amp;A806-6,$A$2:$A$1001,"&lt;="&amp;A806),""))</f>
        <v/>
      </c>
    </row>
    <row r="807">
      <c r="A807" s="7" t="n"/>
      <c r="B807" s="8" t="n"/>
      <c r="E807">
        <f>IF(C807="","",C807-Cfg_TDEE-IFERROR(D807,0))</f>
        <v/>
      </c>
      <c r="F807">
        <f>IF(E807="","",IFERROR(F806,0)+(-E807))</f>
        <v/>
      </c>
      <c r="G807" s="9">
        <f>IF(F807="","",F807/Cfg_FatConstant)</f>
        <v/>
      </c>
      <c r="H807" s="8">
        <f>IF(G807="","",Cfg_StartWeight-G807)</f>
        <v/>
      </c>
      <c r="I807" s="8">
        <f>IF(B807="","",Cfg_StartWeight-B807)</f>
        <v/>
      </c>
      <c r="J807" s="10">
        <f>IF(OR(B807="",G807=""),"",I807-G807)</f>
        <v/>
      </c>
      <c r="K807" s="9">
        <f>IF(B807="","",IFERROR(AVERAGEIFS($B$2:$B$1001,$A$2:$A$1001,"&gt;="&amp;A807-6,$A$2:$A$1001,"&lt;="&amp;A807),""))</f>
        <v/>
      </c>
    </row>
    <row r="808">
      <c r="A808" s="7" t="n"/>
      <c r="B808" s="8" t="n"/>
      <c r="E808">
        <f>IF(C808="","",C808-Cfg_TDEE-IFERROR(D808,0))</f>
        <v/>
      </c>
      <c r="F808">
        <f>IF(E808="","",IFERROR(F807,0)+(-E808))</f>
        <v/>
      </c>
      <c r="G808" s="9">
        <f>IF(F808="","",F808/Cfg_FatConstant)</f>
        <v/>
      </c>
      <c r="H808" s="8">
        <f>IF(G808="","",Cfg_StartWeight-G808)</f>
        <v/>
      </c>
      <c r="I808" s="8">
        <f>IF(B808="","",Cfg_StartWeight-B808)</f>
        <v/>
      </c>
      <c r="J808" s="10">
        <f>IF(OR(B808="",G808=""),"",I808-G808)</f>
        <v/>
      </c>
      <c r="K808" s="9">
        <f>IF(B808="","",IFERROR(AVERAGEIFS($B$2:$B$1001,$A$2:$A$1001,"&gt;="&amp;A808-6,$A$2:$A$1001,"&lt;="&amp;A808),""))</f>
        <v/>
      </c>
    </row>
    <row r="809">
      <c r="A809" s="7" t="n"/>
      <c r="B809" s="8" t="n"/>
      <c r="E809">
        <f>IF(C809="","",C809-Cfg_TDEE-IFERROR(D809,0))</f>
        <v/>
      </c>
      <c r="F809">
        <f>IF(E809="","",IFERROR(F808,0)+(-E809))</f>
        <v/>
      </c>
      <c r="G809" s="9">
        <f>IF(F809="","",F809/Cfg_FatConstant)</f>
        <v/>
      </c>
      <c r="H809" s="8">
        <f>IF(G809="","",Cfg_StartWeight-G809)</f>
        <v/>
      </c>
      <c r="I809" s="8">
        <f>IF(B809="","",Cfg_StartWeight-B809)</f>
        <v/>
      </c>
      <c r="J809" s="10">
        <f>IF(OR(B809="",G809=""),"",I809-G809)</f>
        <v/>
      </c>
      <c r="K809" s="9">
        <f>IF(B809="","",IFERROR(AVERAGEIFS($B$2:$B$1001,$A$2:$A$1001,"&gt;="&amp;A809-6,$A$2:$A$1001,"&lt;="&amp;A809),""))</f>
        <v/>
      </c>
    </row>
    <row r="810">
      <c r="A810" s="7" t="n"/>
      <c r="B810" s="8" t="n"/>
      <c r="E810">
        <f>IF(C810="","",C810-Cfg_TDEE-IFERROR(D810,0))</f>
        <v/>
      </c>
      <c r="F810">
        <f>IF(E810="","",IFERROR(F809,0)+(-E810))</f>
        <v/>
      </c>
      <c r="G810" s="9">
        <f>IF(F810="","",F810/Cfg_FatConstant)</f>
        <v/>
      </c>
      <c r="H810" s="8">
        <f>IF(G810="","",Cfg_StartWeight-G810)</f>
        <v/>
      </c>
      <c r="I810" s="8">
        <f>IF(B810="","",Cfg_StartWeight-B810)</f>
        <v/>
      </c>
      <c r="J810" s="10">
        <f>IF(OR(B810="",G810=""),"",I810-G810)</f>
        <v/>
      </c>
      <c r="K810" s="9">
        <f>IF(B810="","",IFERROR(AVERAGEIFS($B$2:$B$1001,$A$2:$A$1001,"&gt;="&amp;A810-6,$A$2:$A$1001,"&lt;="&amp;A810),""))</f>
        <v/>
      </c>
    </row>
    <row r="811">
      <c r="A811" s="7" t="n"/>
      <c r="B811" s="8" t="n"/>
      <c r="E811">
        <f>IF(C811="","",C811-Cfg_TDEE-IFERROR(D811,0))</f>
        <v/>
      </c>
      <c r="F811">
        <f>IF(E811="","",IFERROR(F810,0)+(-E811))</f>
        <v/>
      </c>
      <c r="G811" s="9">
        <f>IF(F811="","",F811/Cfg_FatConstant)</f>
        <v/>
      </c>
      <c r="H811" s="8">
        <f>IF(G811="","",Cfg_StartWeight-G811)</f>
        <v/>
      </c>
      <c r="I811" s="8">
        <f>IF(B811="","",Cfg_StartWeight-B811)</f>
        <v/>
      </c>
      <c r="J811" s="10">
        <f>IF(OR(B811="",G811=""),"",I811-G811)</f>
        <v/>
      </c>
      <c r="K811" s="9">
        <f>IF(B811="","",IFERROR(AVERAGEIFS($B$2:$B$1001,$A$2:$A$1001,"&gt;="&amp;A811-6,$A$2:$A$1001,"&lt;="&amp;A811),""))</f>
        <v/>
      </c>
    </row>
    <row r="812">
      <c r="A812" s="7" t="n"/>
      <c r="B812" s="8" t="n"/>
      <c r="E812">
        <f>IF(C812="","",C812-Cfg_TDEE-IFERROR(D812,0))</f>
        <v/>
      </c>
      <c r="F812">
        <f>IF(E812="","",IFERROR(F811,0)+(-E812))</f>
        <v/>
      </c>
      <c r="G812" s="9">
        <f>IF(F812="","",F812/Cfg_FatConstant)</f>
        <v/>
      </c>
      <c r="H812" s="8">
        <f>IF(G812="","",Cfg_StartWeight-G812)</f>
        <v/>
      </c>
      <c r="I812" s="8">
        <f>IF(B812="","",Cfg_StartWeight-B812)</f>
        <v/>
      </c>
      <c r="J812" s="10">
        <f>IF(OR(B812="",G812=""),"",I812-G812)</f>
        <v/>
      </c>
      <c r="K812" s="9">
        <f>IF(B812="","",IFERROR(AVERAGEIFS($B$2:$B$1001,$A$2:$A$1001,"&gt;="&amp;A812-6,$A$2:$A$1001,"&lt;="&amp;A812),""))</f>
        <v/>
      </c>
    </row>
    <row r="813">
      <c r="A813" s="7" t="n"/>
      <c r="B813" s="8" t="n"/>
      <c r="E813">
        <f>IF(C813="","",C813-Cfg_TDEE-IFERROR(D813,0))</f>
        <v/>
      </c>
      <c r="F813">
        <f>IF(E813="","",IFERROR(F812,0)+(-E813))</f>
        <v/>
      </c>
      <c r="G813" s="9">
        <f>IF(F813="","",F813/Cfg_FatConstant)</f>
        <v/>
      </c>
      <c r="H813" s="8">
        <f>IF(G813="","",Cfg_StartWeight-G813)</f>
        <v/>
      </c>
      <c r="I813" s="8">
        <f>IF(B813="","",Cfg_StartWeight-B813)</f>
        <v/>
      </c>
      <c r="J813" s="10">
        <f>IF(OR(B813="",G813=""),"",I813-G813)</f>
        <v/>
      </c>
      <c r="K813" s="9">
        <f>IF(B813="","",IFERROR(AVERAGEIFS($B$2:$B$1001,$A$2:$A$1001,"&gt;="&amp;A813-6,$A$2:$A$1001,"&lt;="&amp;A813),""))</f>
        <v/>
      </c>
    </row>
    <row r="814">
      <c r="A814" s="7" t="n"/>
      <c r="B814" s="8" t="n"/>
      <c r="E814">
        <f>IF(C814="","",C814-Cfg_TDEE-IFERROR(D814,0))</f>
        <v/>
      </c>
      <c r="F814">
        <f>IF(E814="","",IFERROR(F813,0)+(-E814))</f>
        <v/>
      </c>
      <c r="G814" s="9">
        <f>IF(F814="","",F814/Cfg_FatConstant)</f>
        <v/>
      </c>
      <c r="H814" s="8">
        <f>IF(G814="","",Cfg_StartWeight-G814)</f>
        <v/>
      </c>
      <c r="I814" s="8">
        <f>IF(B814="","",Cfg_StartWeight-B814)</f>
        <v/>
      </c>
      <c r="J814" s="10">
        <f>IF(OR(B814="",G814=""),"",I814-G814)</f>
        <v/>
      </c>
      <c r="K814" s="9">
        <f>IF(B814="","",IFERROR(AVERAGEIFS($B$2:$B$1001,$A$2:$A$1001,"&gt;="&amp;A814-6,$A$2:$A$1001,"&lt;="&amp;A814),""))</f>
        <v/>
      </c>
    </row>
    <row r="815">
      <c r="A815" s="7" t="n"/>
      <c r="B815" s="8" t="n"/>
      <c r="E815">
        <f>IF(C815="","",C815-Cfg_TDEE-IFERROR(D815,0))</f>
        <v/>
      </c>
      <c r="F815">
        <f>IF(E815="","",IFERROR(F814,0)+(-E815))</f>
        <v/>
      </c>
      <c r="G815" s="9">
        <f>IF(F815="","",F815/Cfg_FatConstant)</f>
        <v/>
      </c>
      <c r="H815" s="8">
        <f>IF(G815="","",Cfg_StartWeight-G815)</f>
        <v/>
      </c>
      <c r="I815" s="8">
        <f>IF(B815="","",Cfg_StartWeight-B815)</f>
        <v/>
      </c>
      <c r="J815" s="10">
        <f>IF(OR(B815="",G815=""),"",I815-G815)</f>
        <v/>
      </c>
      <c r="K815" s="9">
        <f>IF(B815="","",IFERROR(AVERAGEIFS($B$2:$B$1001,$A$2:$A$1001,"&gt;="&amp;A815-6,$A$2:$A$1001,"&lt;="&amp;A815),""))</f>
        <v/>
      </c>
    </row>
    <row r="816">
      <c r="A816" s="7" t="n"/>
      <c r="B816" s="8" t="n"/>
      <c r="E816">
        <f>IF(C816="","",C816-Cfg_TDEE-IFERROR(D816,0))</f>
        <v/>
      </c>
      <c r="F816">
        <f>IF(E816="","",IFERROR(F815,0)+(-E816))</f>
        <v/>
      </c>
      <c r="G816" s="9">
        <f>IF(F816="","",F816/Cfg_FatConstant)</f>
        <v/>
      </c>
      <c r="H816" s="8">
        <f>IF(G816="","",Cfg_StartWeight-G816)</f>
        <v/>
      </c>
      <c r="I816" s="8">
        <f>IF(B816="","",Cfg_StartWeight-B816)</f>
        <v/>
      </c>
      <c r="J816" s="10">
        <f>IF(OR(B816="",G816=""),"",I816-G816)</f>
        <v/>
      </c>
      <c r="K816" s="9">
        <f>IF(B816="","",IFERROR(AVERAGEIFS($B$2:$B$1001,$A$2:$A$1001,"&gt;="&amp;A816-6,$A$2:$A$1001,"&lt;="&amp;A816),""))</f>
        <v/>
      </c>
    </row>
    <row r="817">
      <c r="A817" s="7" t="n"/>
      <c r="B817" s="8" t="n"/>
      <c r="E817">
        <f>IF(C817="","",C817-Cfg_TDEE-IFERROR(D817,0))</f>
        <v/>
      </c>
      <c r="F817">
        <f>IF(E817="","",IFERROR(F816,0)+(-E817))</f>
        <v/>
      </c>
      <c r="G817" s="9">
        <f>IF(F817="","",F817/Cfg_FatConstant)</f>
        <v/>
      </c>
      <c r="H817" s="8">
        <f>IF(G817="","",Cfg_StartWeight-G817)</f>
        <v/>
      </c>
      <c r="I817" s="8">
        <f>IF(B817="","",Cfg_StartWeight-B817)</f>
        <v/>
      </c>
      <c r="J817" s="10">
        <f>IF(OR(B817="",G817=""),"",I817-G817)</f>
        <v/>
      </c>
      <c r="K817" s="9">
        <f>IF(B817="","",IFERROR(AVERAGEIFS($B$2:$B$1001,$A$2:$A$1001,"&gt;="&amp;A817-6,$A$2:$A$1001,"&lt;="&amp;A817),""))</f>
        <v/>
      </c>
    </row>
    <row r="818">
      <c r="A818" s="7" t="n"/>
      <c r="B818" s="8" t="n"/>
      <c r="E818">
        <f>IF(C818="","",C818-Cfg_TDEE-IFERROR(D818,0))</f>
        <v/>
      </c>
      <c r="F818">
        <f>IF(E818="","",IFERROR(F817,0)+(-E818))</f>
        <v/>
      </c>
      <c r="G818" s="9">
        <f>IF(F818="","",F818/Cfg_FatConstant)</f>
        <v/>
      </c>
      <c r="H818" s="8">
        <f>IF(G818="","",Cfg_StartWeight-G818)</f>
        <v/>
      </c>
      <c r="I818" s="8">
        <f>IF(B818="","",Cfg_StartWeight-B818)</f>
        <v/>
      </c>
      <c r="J818" s="10">
        <f>IF(OR(B818="",G818=""),"",I818-G818)</f>
        <v/>
      </c>
      <c r="K818" s="9">
        <f>IF(B818="","",IFERROR(AVERAGEIFS($B$2:$B$1001,$A$2:$A$1001,"&gt;="&amp;A818-6,$A$2:$A$1001,"&lt;="&amp;A818),""))</f>
        <v/>
      </c>
    </row>
    <row r="819">
      <c r="A819" s="7" t="n"/>
      <c r="B819" s="8" t="n"/>
      <c r="E819">
        <f>IF(C819="","",C819-Cfg_TDEE-IFERROR(D819,0))</f>
        <v/>
      </c>
      <c r="F819">
        <f>IF(E819="","",IFERROR(F818,0)+(-E819))</f>
        <v/>
      </c>
      <c r="G819" s="9">
        <f>IF(F819="","",F819/Cfg_FatConstant)</f>
        <v/>
      </c>
      <c r="H819" s="8">
        <f>IF(G819="","",Cfg_StartWeight-G819)</f>
        <v/>
      </c>
      <c r="I819" s="8">
        <f>IF(B819="","",Cfg_StartWeight-B819)</f>
        <v/>
      </c>
      <c r="J819" s="10">
        <f>IF(OR(B819="",G819=""),"",I819-G819)</f>
        <v/>
      </c>
      <c r="K819" s="9">
        <f>IF(B819="","",IFERROR(AVERAGEIFS($B$2:$B$1001,$A$2:$A$1001,"&gt;="&amp;A819-6,$A$2:$A$1001,"&lt;="&amp;A819),""))</f>
        <v/>
      </c>
    </row>
    <row r="820">
      <c r="A820" s="7" t="n"/>
      <c r="B820" s="8" t="n"/>
      <c r="E820">
        <f>IF(C820="","",C820-Cfg_TDEE-IFERROR(D820,0))</f>
        <v/>
      </c>
      <c r="F820">
        <f>IF(E820="","",IFERROR(F819,0)+(-E820))</f>
        <v/>
      </c>
      <c r="G820" s="9">
        <f>IF(F820="","",F820/Cfg_FatConstant)</f>
        <v/>
      </c>
      <c r="H820" s="8">
        <f>IF(G820="","",Cfg_StartWeight-G820)</f>
        <v/>
      </c>
      <c r="I820" s="8">
        <f>IF(B820="","",Cfg_StartWeight-B820)</f>
        <v/>
      </c>
      <c r="J820" s="10">
        <f>IF(OR(B820="",G820=""),"",I820-G820)</f>
        <v/>
      </c>
      <c r="K820" s="9">
        <f>IF(B820="","",IFERROR(AVERAGEIFS($B$2:$B$1001,$A$2:$A$1001,"&gt;="&amp;A820-6,$A$2:$A$1001,"&lt;="&amp;A820),""))</f>
        <v/>
      </c>
    </row>
    <row r="821">
      <c r="A821" s="7" t="n"/>
      <c r="B821" s="8" t="n"/>
      <c r="E821">
        <f>IF(C821="","",C821-Cfg_TDEE-IFERROR(D821,0))</f>
        <v/>
      </c>
      <c r="F821">
        <f>IF(E821="","",IFERROR(F820,0)+(-E821))</f>
        <v/>
      </c>
      <c r="G821" s="9">
        <f>IF(F821="","",F821/Cfg_FatConstant)</f>
        <v/>
      </c>
      <c r="H821" s="8">
        <f>IF(G821="","",Cfg_StartWeight-G821)</f>
        <v/>
      </c>
      <c r="I821" s="8">
        <f>IF(B821="","",Cfg_StartWeight-B821)</f>
        <v/>
      </c>
      <c r="J821" s="10">
        <f>IF(OR(B821="",G821=""),"",I821-G821)</f>
        <v/>
      </c>
      <c r="K821" s="9">
        <f>IF(B821="","",IFERROR(AVERAGEIFS($B$2:$B$1001,$A$2:$A$1001,"&gt;="&amp;A821-6,$A$2:$A$1001,"&lt;="&amp;A821),""))</f>
        <v/>
      </c>
    </row>
    <row r="822">
      <c r="A822" s="7" t="n"/>
      <c r="B822" s="8" t="n"/>
      <c r="E822">
        <f>IF(C822="","",C822-Cfg_TDEE-IFERROR(D822,0))</f>
        <v/>
      </c>
      <c r="F822">
        <f>IF(E822="","",IFERROR(F821,0)+(-E822))</f>
        <v/>
      </c>
      <c r="G822" s="9">
        <f>IF(F822="","",F822/Cfg_FatConstant)</f>
        <v/>
      </c>
      <c r="H822" s="8">
        <f>IF(G822="","",Cfg_StartWeight-G822)</f>
        <v/>
      </c>
      <c r="I822" s="8">
        <f>IF(B822="","",Cfg_StartWeight-B822)</f>
        <v/>
      </c>
      <c r="J822" s="10">
        <f>IF(OR(B822="",G822=""),"",I822-G822)</f>
        <v/>
      </c>
      <c r="K822" s="9">
        <f>IF(B822="","",IFERROR(AVERAGEIFS($B$2:$B$1001,$A$2:$A$1001,"&gt;="&amp;A822-6,$A$2:$A$1001,"&lt;="&amp;A822),""))</f>
        <v/>
      </c>
    </row>
    <row r="823">
      <c r="A823" s="7" t="n"/>
      <c r="B823" s="8" t="n"/>
      <c r="E823">
        <f>IF(C823="","",C823-Cfg_TDEE-IFERROR(D823,0))</f>
        <v/>
      </c>
      <c r="F823">
        <f>IF(E823="","",IFERROR(F822,0)+(-E823))</f>
        <v/>
      </c>
      <c r="G823" s="9">
        <f>IF(F823="","",F823/Cfg_FatConstant)</f>
        <v/>
      </c>
      <c r="H823" s="8">
        <f>IF(G823="","",Cfg_StartWeight-G823)</f>
        <v/>
      </c>
      <c r="I823" s="8">
        <f>IF(B823="","",Cfg_StartWeight-B823)</f>
        <v/>
      </c>
      <c r="J823" s="10">
        <f>IF(OR(B823="",G823=""),"",I823-G823)</f>
        <v/>
      </c>
      <c r="K823" s="9">
        <f>IF(B823="","",IFERROR(AVERAGEIFS($B$2:$B$1001,$A$2:$A$1001,"&gt;="&amp;A823-6,$A$2:$A$1001,"&lt;="&amp;A823),""))</f>
        <v/>
      </c>
    </row>
    <row r="824">
      <c r="A824" s="7" t="n"/>
      <c r="B824" s="8" t="n"/>
      <c r="E824">
        <f>IF(C824="","",C824-Cfg_TDEE-IFERROR(D824,0))</f>
        <v/>
      </c>
      <c r="F824">
        <f>IF(E824="","",IFERROR(F823,0)+(-E824))</f>
        <v/>
      </c>
      <c r="G824" s="9">
        <f>IF(F824="","",F824/Cfg_FatConstant)</f>
        <v/>
      </c>
      <c r="H824" s="8">
        <f>IF(G824="","",Cfg_StartWeight-G824)</f>
        <v/>
      </c>
      <c r="I824" s="8">
        <f>IF(B824="","",Cfg_StartWeight-B824)</f>
        <v/>
      </c>
      <c r="J824" s="10">
        <f>IF(OR(B824="",G824=""),"",I824-G824)</f>
        <v/>
      </c>
      <c r="K824" s="9">
        <f>IF(B824="","",IFERROR(AVERAGEIFS($B$2:$B$1001,$A$2:$A$1001,"&gt;="&amp;A824-6,$A$2:$A$1001,"&lt;="&amp;A824),""))</f>
        <v/>
      </c>
    </row>
    <row r="825">
      <c r="A825" s="7" t="n"/>
      <c r="B825" s="8" t="n"/>
      <c r="E825">
        <f>IF(C825="","",C825-Cfg_TDEE-IFERROR(D825,0))</f>
        <v/>
      </c>
      <c r="F825">
        <f>IF(E825="","",IFERROR(F824,0)+(-E825))</f>
        <v/>
      </c>
      <c r="G825" s="9">
        <f>IF(F825="","",F825/Cfg_FatConstant)</f>
        <v/>
      </c>
      <c r="H825" s="8">
        <f>IF(G825="","",Cfg_StartWeight-G825)</f>
        <v/>
      </c>
      <c r="I825" s="8">
        <f>IF(B825="","",Cfg_StartWeight-B825)</f>
        <v/>
      </c>
      <c r="J825" s="10">
        <f>IF(OR(B825="",G825=""),"",I825-G825)</f>
        <v/>
      </c>
      <c r="K825" s="9">
        <f>IF(B825="","",IFERROR(AVERAGEIFS($B$2:$B$1001,$A$2:$A$1001,"&gt;="&amp;A825-6,$A$2:$A$1001,"&lt;="&amp;A825),""))</f>
        <v/>
      </c>
    </row>
    <row r="826">
      <c r="A826" s="7" t="n"/>
      <c r="B826" s="8" t="n"/>
      <c r="E826">
        <f>IF(C826="","",C826-Cfg_TDEE-IFERROR(D826,0))</f>
        <v/>
      </c>
      <c r="F826">
        <f>IF(E826="","",IFERROR(F825,0)+(-E826))</f>
        <v/>
      </c>
      <c r="G826" s="9">
        <f>IF(F826="","",F826/Cfg_FatConstant)</f>
        <v/>
      </c>
      <c r="H826" s="8">
        <f>IF(G826="","",Cfg_StartWeight-G826)</f>
        <v/>
      </c>
      <c r="I826" s="8">
        <f>IF(B826="","",Cfg_StartWeight-B826)</f>
        <v/>
      </c>
      <c r="J826" s="10">
        <f>IF(OR(B826="",G826=""),"",I826-G826)</f>
        <v/>
      </c>
      <c r="K826" s="9">
        <f>IF(B826="","",IFERROR(AVERAGEIFS($B$2:$B$1001,$A$2:$A$1001,"&gt;="&amp;A826-6,$A$2:$A$1001,"&lt;="&amp;A826),""))</f>
        <v/>
      </c>
    </row>
    <row r="827">
      <c r="A827" s="7" t="n"/>
      <c r="B827" s="8" t="n"/>
      <c r="E827">
        <f>IF(C827="","",C827-Cfg_TDEE-IFERROR(D827,0))</f>
        <v/>
      </c>
      <c r="F827">
        <f>IF(E827="","",IFERROR(F826,0)+(-E827))</f>
        <v/>
      </c>
      <c r="G827" s="9">
        <f>IF(F827="","",F827/Cfg_FatConstant)</f>
        <v/>
      </c>
      <c r="H827" s="8">
        <f>IF(G827="","",Cfg_StartWeight-G827)</f>
        <v/>
      </c>
      <c r="I827" s="8">
        <f>IF(B827="","",Cfg_StartWeight-B827)</f>
        <v/>
      </c>
      <c r="J827" s="10">
        <f>IF(OR(B827="",G827=""),"",I827-G827)</f>
        <v/>
      </c>
      <c r="K827" s="9">
        <f>IF(B827="","",IFERROR(AVERAGEIFS($B$2:$B$1001,$A$2:$A$1001,"&gt;="&amp;A827-6,$A$2:$A$1001,"&lt;="&amp;A827),""))</f>
        <v/>
      </c>
    </row>
    <row r="828">
      <c r="A828" s="7" t="n"/>
      <c r="B828" s="8" t="n"/>
      <c r="E828">
        <f>IF(C828="","",C828-Cfg_TDEE-IFERROR(D828,0))</f>
        <v/>
      </c>
      <c r="F828">
        <f>IF(E828="","",IFERROR(F827,0)+(-E828))</f>
        <v/>
      </c>
      <c r="G828" s="9">
        <f>IF(F828="","",F828/Cfg_FatConstant)</f>
        <v/>
      </c>
      <c r="H828" s="8">
        <f>IF(G828="","",Cfg_StartWeight-G828)</f>
        <v/>
      </c>
      <c r="I828" s="8">
        <f>IF(B828="","",Cfg_StartWeight-B828)</f>
        <v/>
      </c>
      <c r="J828" s="10">
        <f>IF(OR(B828="",G828=""),"",I828-G828)</f>
        <v/>
      </c>
      <c r="K828" s="9">
        <f>IF(B828="","",IFERROR(AVERAGEIFS($B$2:$B$1001,$A$2:$A$1001,"&gt;="&amp;A828-6,$A$2:$A$1001,"&lt;="&amp;A828),""))</f>
        <v/>
      </c>
    </row>
    <row r="829">
      <c r="A829" s="7" t="n"/>
      <c r="B829" s="8" t="n"/>
      <c r="E829">
        <f>IF(C829="","",C829-Cfg_TDEE-IFERROR(D829,0))</f>
        <v/>
      </c>
      <c r="F829">
        <f>IF(E829="","",IFERROR(F828,0)+(-E829))</f>
        <v/>
      </c>
      <c r="G829" s="9">
        <f>IF(F829="","",F829/Cfg_FatConstant)</f>
        <v/>
      </c>
      <c r="H829" s="8">
        <f>IF(G829="","",Cfg_StartWeight-G829)</f>
        <v/>
      </c>
      <c r="I829" s="8">
        <f>IF(B829="","",Cfg_StartWeight-B829)</f>
        <v/>
      </c>
      <c r="J829" s="10">
        <f>IF(OR(B829="",G829=""),"",I829-G829)</f>
        <v/>
      </c>
      <c r="K829" s="9">
        <f>IF(B829="","",IFERROR(AVERAGEIFS($B$2:$B$1001,$A$2:$A$1001,"&gt;="&amp;A829-6,$A$2:$A$1001,"&lt;="&amp;A829),""))</f>
        <v/>
      </c>
    </row>
    <row r="830">
      <c r="A830" s="7" t="n"/>
      <c r="B830" s="8" t="n"/>
      <c r="E830">
        <f>IF(C830="","",C830-Cfg_TDEE-IFERROR(D830,0))</f>
        <v/>
      </c>
      <c r="F830">
        <f>IF(E830="","",IFERROR(F829,0)+(-E830))</f>
        <v/>
      </c>
      <c r="G830" s="9">
        <f>IF(F830="","",F830/Cfg_FatConstant)</f>
        <v/>
      </c>
      <c r="H830" s="8">
        <f>IF(G830="","",Cfg_StartWeight-G830)</f>
        <v/>
      </c>
      <c r="I830" s="8">
        <f>IF(B830="","",Cfg_StartWeight-B830)</f>
        <v/>
      </c>
      <c r="J830" s="10">
        <f>IF(OR(B830="",G830=""),"",I830-G830)</f>
        <v/>
      </c>
      <c r="K830" s="9">
        <f>IF(B830="","",IFERROR(AVERAGEIFS($B$2:$B$1001,$A$2:$A$1001,"&gt;="&amp;A830-6,$A$2:$A$1001,"&lt;="&amp;A830),""))</f>
        <v/>
      </c>
    </row>
    <row r="831">
      <c r="A831" s="7" t="n"/>
      <c r="B831" s="8" t="n"/>
      <c r="E831">
        <f>IF(C831="","",C831-Cfg_TDEE-IFERROR(D831,0))</f>
        <v/>
      </c>
      <c r="F831">
        <f>IF(E831="","",IFERROR(F830,0)+(-E831))</f>
        <v/>
      </c>
      <c r="G831" s="9">
        <f>IF(F831="","",F831/Cfg_FatConstant)</f>
        <v/>
      </c>
      <c r="H831" s="8">
        <f>IF(G831="","",Cfg_StartWeight-G831)</f>
        <v/>
      </c>
      <c r="I831" s="8">
        <f>IF(B831="","",Cfg_StartWeight-B831)</f>
        <v/>
      </c>
      <c r="J831" s="10">
        <f>IF(OR(B831="",G831=""),"",I831-G831)</f>
        <v/>
      </c>
      <c r="K831" s="9">
        <f>IF(B831="","",IFERROR(AVERAGEIFS($B$2:$B$1001,$A$2:$A$1001,"&gt;="&amp;A831-6,$A$2:$A$1001,"&lt;="&amp;A831),""))</f>
        <v/>
      </c>
    </row>
    <row r="832">
      <c r="A832" s="7" t="n"/>
      <c r="B832" s="8" t="n"/>
      <c r="E832">
        <f>IF(C832="","",C832-Cfg_TDEE-IFERROR(D832,0))</f>
        <v/>
      </c>
      <c r="F832">
        <f>IF(E832="","",IFERROR(F831,0)+(-E832))</f>
        <v/>
      </c>
      <c r="G832" s="9">
        <f>IF(F832="","",F832/Cfg_FatConstant)</f>
        <v/>
      </c>
      <c r="H832" s="8">
        <f>IF(G832="","",Cfg_StartWeight-G832)</f>
        <v/>
      </c>
      <c r="I832" s="8">
        <f>IF(B832="","",Cfg_StartWeight-B832)</f>
        <v/>
      </c>
      <c r="J832" s="10">
        <f>IF(OR(B832="",G832=""),"",I832-G832)</f>
        <v/>
      </c>
      <c r="K832" s="9">
        <f>IF(B832="","",IFERROR(AVERAGEIFS($B$2:$B$1001,$A$2:$A$1001,"&gt;="&amp;A832-6,$A$2:$A$1001,"&lt;="&amp;A832),""))</f>
        <v/>
      </c>
    </row>
    <row r="833">
      <c r="A833" s="7" t="n"/>
      <c r="B833" s="8" t="n"/>
      <c r="E833">
        <f>IF(C833="","",C833-Cfg_TDEE-IFERROR(D833,0))</f>
        <v/>
      </c>
      <c r="F833">
        <f>IF(E833="","",IFERROR(F832,0)+(-E833))</f>
        <v/>
      </c>
      <c r="G833" s="9">
        <f>IF(F833="","",F833/Cfg_FatConstant)</f>
        <v/>
      </c>
      <c r="H833" s="8">
        <f>IF(G833="","",Cfg_StartWeight-G833)</f>
        <v/>
      </c>
      <c r="I833" s="8">
        <f>IF(B833="","",Cfg_StartWeight-B833)</f>
        <v/>
      </c>
      <c r="J833" s="10">
        <f>IF(OR(B833="",G833=""),"",I833-G833)</f>
        <v/>
      </c>
      <c r="K833" s="9">
        <f>IF(B833="","",IFERROR(AVERAGEIFS($B$2:$B$1001,$A$2:$A$1001,"&gt;="&amp;A833-6,$A$2:$A$1001,"&lt;="&amp;A833),""))</f>
        <v/>
      </c>
    </row>
    <row r="834">
      <c r="A834" s="7" t="n"/>
      <c r="B834" s="8" t="n"/>
      <c r="E834">
        <f>IF(C834="","",C834-Cfg_TDEE-IFERROR(D834,0))</f>
        <v/>
      </c>
      <c r="F834">
        <f>IF(E834="","",IFERROR(F833,0)+(-E834))</f>
        <v/>
      </c>
      <c r="G834" s="9">
        <f>IF(F834="","",F834/Cfg_FatConstant)</f>
        <v/>
      </c>
      <c r="H834" s="8">
        <f>IF(G834="","",Cfg_StartWeight-G834)</f>
        <v/>
      </c>
      <c r="I834" s="8">
        <f>IF(B834="","",Cfg_StartWeight-B834)</f>
        <v/>
      </c>
      <c r="J834" s="10">
        <f>IF(OR(B834="",G834=""),"",I834-G834)</f>
        <v/>
      </c>
      <c r="K834" s="9">
        <f>IF(B834="","",IFERROR(AVERAGEIFS($B$2:$B$1001,$A$2:$A$1001,"&gt;="&amp;A834-6,$A$2:$A$1001,"&lt;="&amp;A834),""))</f>
        <v/>
      </c>
    </row>
    <row r="835">
      <c r="A835" s="7" t="n"/>
      <c r="B835" s="8" t="n"/>
      <c r="E835">
        <f>IF(C835="","",C835-Cfg_TDEE-IFERROR(D835,0))</f>
        <v/>
      </c>
      <c r="F835">
        <f>IF(E835="","",IFERROR(F834,0)+(-E835))</f>
        <v/>
      </c>
      <c r="G835" s="9">
        <f>IF(F835="","",F835/Cfg_FatConstant)</f>
        <v/>
      </c>
      <c r="H835" s="8">
        <f>IF(G835="","",Cfg_StartWeight-G835)</f>
        <v/>
      </c>
      <c r="I835" s="8">
        <f>IF(B835="","",Cfg_StartWeight-B835)</f>
        <v/>
      </c>
      <c r="J835" s="10">
        <f>IF(OR(B835="",G835=""),"",I835-G835)</f>
        <v/>
      </c>
      <c r="K835" s="9">
        <f>IF(B835="","",IFERROR(AVERAGEIFS($B$2:$B$1001,$A$2:$A$1001,"&gt;="&amp;A835-6,$A$2:$A$1001,"&lt;="&amp;A835),""))</f>
        <v/>
      </c>
    </row>
    <row r="836">
      <c r="A836" s="7" t="n"/>
      <c r="B836" s="8" t="n"/>
      <c r="E836">
        <f>IF(C836="","",C836-Cfg_TDEE-IFERROR(D836,0))</f>
        <v/>
      </c>
      <c r="F836">
        <f>IF(E836="","",IFERROR(F835,0)+(-E836))</f>
        <v/>
      </c>
      <c r="G836" s="9">
        <f>IF(F836="","",F836/Cfg_FatConstant)</f>
        <v/>
      </c>
      <c r="H836" s="8">
        <f>IF(G836="","",Cfg_StartWeight-G836)</f>
        <v/>
      </c>
      <c r="I836" s="8">
        <f>IF(B836="","",Cfg_StartWeight-B836)</f>
        <v/>
      </c>
      <c r="J836" s="10">
        <f>IF(OR(B836="",G836=""),"",I836-G836)</f>
        <v/>
      </c>
      <c r="K836" s="9">
        <f>IF(B836="","",IFERROR(AVERAGEIFS($B$2:$B$1001,$A$2:$A$1001,"&gt;="&amp;A836-6,$A$2:$A$1001,"&lt;="&amp;A836),""))</f>
        <v/>
      </c>
    </row>
    <row r="837">
      <c r="A837" s="7" t="n"/>
      <c r="B837" s="8" t="n"/>
      <c r="E837">
        <f>IF(C837="","",C837-Cfg_TDEE-IFERROR(D837,0))</f>
        <v/>
      </c>
      <c r="F837">
        <f>IF(E837="","",IFERROR(F836,0)+(-E837))</f>
        <v/>
      </c>
      <c r="G837" s="9">
        <f>IF(F837="","",F837/Cfg_FatConstant)</f>
        <v/>
      </c>
      <c r="H837" s="8">
        <f>IF(G837="","",Cfg_StartWeight-G837)</f>
        <v/>
      </c>
      <c r="I837" s="8">
        <f>IF(B837="","",Cfg_StartWeight-B837)</f>
        <v/>
      </c>
      <c r="J837" s="10">
        <f>IF(OR(B837="",G837=""),"",I837-G837)</f>
        <v/>
      </c>
      <c r="K837" s="9">
        <f>IF(B837="","",IFERROR(AVERAGEIFS($B$2:$B$1001,$A$2:$A$1001,"&gt;="&amp;A837-6,$A$2:$A$1001,"&lt;="&amp;A837),""))</f>
        <v/>
      </c>
    </row>
    <row r="838">
      <c r="A838" s="7" t="n"/>
      <c r="B838" s="8" t="n"/>
      <c r="E838">
        <f>IF(C838="","",C838-Cfg_TDEE-IFERROR(D838,0))</f>
        <v/>
      </c>
      <c r="F838">
        <f>IF(E838="","",IFERROR(F837,0)+(-E838))</f>
        <v/>
      </c>
      <c r="G838" s="9">
        <f>IF(F838="","",F838/Cfg_FatConstant)</f>
        <v/>
      </c>
      <c r="H838" s="8">
        <f>IF(G838="","",Cfg_StartWeight-G838)</f>
        <v/>
      </c>
      <c r="I838" s="8">
        <f>IF(B838="","",Cfg_StartWeight-B838)</f>
        <v/>
      </c>
      <c r="J838" s="10">
        <f>IF(OR(B838="",G838=""),"",I838-G838)</f>
        <v/>
      </c>
      <c r="K838" s="9">
        <f>IF(B838="","",IFERROR(AVERAGEIFS($B$2:$B$1001,$A$2:$A$1001,"&gt;="&amp;A838-6,$A$2:$A$1001,"&lt;="&amp;A838),""))</f>
        <v/>
      </c>
    </row>
    <row r="839">
      <c r="A839" s="7" t="n"/>
      <c r="B839" s="8" t="n"/>
      <c r="E839">
        <f>IF(C839="","",C839-Cfg_TDEE-IFERROR(D839,0))</f>
        <v/>
      </c>
      <c r="F839">
        <f>IF(E839="","",IFERROR(F838,0)+(-E839))</f>
        <v/>
      </c>
      <c r="G839" s="9">
        <f>IF(F839="","",F839/Cfg_FatConstant)</f>
        <v/>
      </c>
      <c r="H839" s="8">
        <f>IF(G839="","",Cfg_StartWeight-G839)</f>
        <v/>
      </c>
      <c r="I839" s="8">
        <f>IF(B839="","",Cfg_StartWeight-B839)</f>
        <v/>
      </c>
      <c r="J839" s="10">
        <f>IF(OR(B839="",G839=""),"",I839-G839)</f>
        <v/>
      </c>
      <c r="K839" s="9">
        <f>IF(B839="","",IFERROR(AVERAGEIFS($B$2:$B$1001,$A$2:$A$1001,"&gt;="&amp;A839-6,$A$2:$A$1001,"&lt;="&amp;A839),""))</f>
        <v/>
      </c>
    </row>
    <row r="840">
      <c r="A840" s="7" t="n"/>
      <c r="B840" s="8" t="n"/>
      <c r="E840">
        <f>IF(C840="","",C840-Cfg_TDEE-IFERROR(D840,0))</f>
        <v/>
      </c>
      <c r="F840">
        <f>IF(E840="","",IFERROR(F839,0)+(-E840))</f>
        <v/>
      </c>
      <c r="G840" s="9">
        <f>IF(F840="","",F840/Cfg_FatConstant)</f>
        <v/>
      </c>
      <c r="H840" s="8">
        <f>IF(G840="","",Cfg_StartWeight-G840)</f>
        <v/>
      </c>
      <c r="I840" s="8">
        <f>IF(B840="","",Cfg_StartWeight-B840)</f>
        <v/>
      </c>
      <c r="J840" s="10">
        <f>IF(OR(B840="",G840=""),"",I840-G840)</f>
        <v/>
      </c>
      <c r="K840" s="9">
        <f>IF(B840="","",IFERROR(AVERAGEIFS($B$2:$B$1001,$A$2:$A$1001,"&gt;="&amp;A840-6,$A$2:$A$1001,"&lt;="&amp;A840),""))</f>
        <v/>
      </c>
    </row>
    <row r="841">
      <c r="A841" s="7" t="n"/>
      <c r="B841" s="8" t="n"/>
      <c r="E841">
        <f>IF(C841="","",C841-Cfg_TDEE-IFERROR(D841,0))</f>
        <v/>
      </c>
      <c r="F841">
        <f>IF(E841="","",IFERROR(F840,0)+(-E841))</f>
        <v/>
      </c>
      <c r="G841" s="9">
        <f>IF(F841="","",F841/Cfg_FatConstant)</f>
        <v/>
      </c>
      <c r="H841" s="8">
        <f>IF(G841="","",Cfg_StartWeight-G841)</f>
        <v/>
      </c>
      <c r="I841" s="8">
        <f>IF(B841="","",Cfg_StartWeight-B841)</f>
        <v/>
      </c>
      <c r="J841" s="10">
        <f>IF(OR(B841="",G841=""),"",I841-G841)</f>
        <v/>
      </c>
      <c r="K841" s="9">
        <f>IF(B841="","",IFERROR(AVERAGEIFS($B$2:$B$1001,$A$2:$A$1001,"&gt;="&amp;A841-6,$A$2:$A$1001,"&lt;="&amp;A841),""))</f>
        <v/>
      </c>
    </row>
    <row r="842">
      <c r="A842" s="7" t="n"/>
      <c r="B842" s="8" t="n"/>
      <c r="E842">
        <f>IF(C842="","",C842-Cfg_TDEE-IFERROR(D842,0))</f>
        <v/>
      </c>
      <c r="F842">
        <f>IF(E842="","",IFERROR(F841,0)+(-E842))</f>
        <v/>
      </c>
      <c r="G842" s="9">
        <f>IF(F842="","",F842/Cfg_FatConstant)</f>
        <v/>
      </c>
      <c r="H842" s="8">
        <f>IF(G842="","",Cfg_StartWeight-G842)</f>
        <v/>
      </c>
      <c r="I842" s="8">
        <f>IF(B842="","",Cfg_StartWeight-B842)</f>
        <v/>
      </c>
      <c r="J842" s="10">
        <f>IF(OR(B842="",G842=""),"",I842-G842)</f>
        <v/>
      </c>
      <c r="K842" s="9">
        <f>IF(B842="","",IFERROR(AVERAGEIFS($B$2:$B$1001,$A$2:$A$1001,"&gt;="&amp;A842-6,$A$2:$A$1001,"&lt;="&amp;A842),""))</f>
        <v/>
      </c>
    </row>
    <row r="843">
      <c r="A843" s="7" t="n"/>
      <c r="B843" s="8" t="n"/>
      <c r="E843">
        <f>IF(C843="","",C843-Cfg_TDEE-IFERROR(D843,0))</f>
        <v/>
      </c>
      <c r="F843">
        <f>IF(E843="","",IFERROR(F842,0)+(-E843))</f>
        <v/>
      </c>
      <c r="G843" s="9">
        <f>IF(F843="","",F843/Cfg_FatConstant)</f>
        <v/>
      </c>
      <c r="H843" s="8">
        <f>IF(G843="","",Cfg_StartWeight-G843)</f>
        <v/>
      </c>
      <c r="I843" s="8">
        <f>IF(B843="","",Cfg_StartWeight-B843)</f>
        <v/>
      </c>
      <c r="J843" s="10">
        <f>IF(OR(B843="",G843=""),"",I843-G843)</f>
        <v/>
      </c>
      <c r="K843" s="9">
        <f>IF(B843="","",IFERROR(AVERAGEIFS($B$2:$B$1001,$A$2:$A$1001,"&gt;="&amp;A843-6,$A$2:$A$1001,"&lt;="&amp;A843),""))</f>
        <v/>
      </c>
    </row>
    <row r="844">
      <c r="A844" s="7" t="n"/>
      <c r="B844" s="8" t="n"/>
      <c r="E844">
        <f>IF(C844="","",C844-Cfg_TDEE-IFERROR(D844,0))</f>
        <v/>
      </c>
      <c r="F844">
        <f>IF(E844="","",IFERROR(F843,0)+(-E844))</f>
        <v/>
      </c>
      <c r="G844" s="9">
        <f>IF(F844="","",F844/Cfg_FatConstant)</f>
        <v/>
      </c>
      <c r="H844" s="8">
        <f>IF(G844="","",Cfg_StartWeight-G844)</f>
        <v/>
      </c>
      <c r="I844" s="8">
        <f>IF(B844="","",Cfg_StartWeight-B844)</f>
        <v/>
      </c>
      <c r="J844" s="10">
        <f>IF(OR(B844="",G844=""),"",I844-G844)</f>
        <v/>
      </c>
      <c r="K844" s="9">
        <f>IF(B844="","",IFERROR(AVERAGEIFS($B$2:$B$1001,$A$2:$A$1001,"&gt;="&amp;A844-6,$A$2:$A$1001,"&lt;="&amp;A844),""))</f>
        <v/>
      </c>
    </row>
    <row r="845">
      <c r="A845" s="7" t="n"/>
      <c r="B845" s="8" t="n"/>
      <c r="E845">
        <f>IF(C845="","",C845-Cfg_TDEE-IFERROR(D845,0))</f>
        <v/>
      </c>
      <c r="F845">
        <f>IF(E845="","",IFERROR(F844,0)+(-E845))</f>
        <v/>
      </c>
      <c r="G845" s="9">
        <f>IF(F845="","",F845/Cfg_FatConstant)</f>
        <v/>
      </c>
      <c r="H845" s="8">
        <f>IF(G845="","",Cfg_StartWeight-G845)</f>
        <v/>
      </c>
      <c r="I845" s="8">
        <f>IF(B845="","",Cfg_StartWeight-B845)</f>
        <v/>
      </c>
      <c r="J845" s="10">
        <f>IF(OR(B845="",G845=""),"",I845-G845)</f>
        <v/>
      </c>
      <c r="K845" s="9">
        <f>IF(B845="","",IFERROR(AVERAGEIFS($B$2:$B$1001,$A$2:$A$1001,"&gt;="&amp;A845-6,$A$2:$A$1001,"&lt;="&amp;A845),""))</f>
        <v/>
      </c>
    </row>
    <row r="846">
      <c r="A846" s="7" t="n"/>
      <c r="B846" s="8" t="n"/>
      <c r="E846">
        <f>IF(C846="","",C846-Cfg_TDEE-IFERROR(D846,0))</f>
        <v/>
      </c>
      <c r="F846">
        <f>IF(E846="","",IFERROR(F845,0)+(-E846))</f>
        <v/>
      </c>
      <c r="G846" s="9">
        <f>IF(F846="","",F846/Cfg_FatConstant)</f>
        <v/>
      </c>
      <c r="H846" s="8">
        <f>IF(G846="","",Cfg_StartWeight-G846)</f>
        <v/>
      </c>
      <c r="I846" s="8">
        <f>IF(B846="","",Cfg_StartWeight-B846)</f>
        <v/>
      </c>
      <c r="J846" s="10">
        <f>IF(OR(B846="",G846=""),"",I846-G846)</f>
        <v/>
      </c>
      <c r="K846" s="9">
        <f>IF(B846="","",IFERROR(AVERAGEIFS($B$2:$B$1001,$A$2:$A$1001,"&gt;="&amp;A846-6,$A$2:$A$1001,"&lt;="&amp;A846),""))</f>
        <v/>
      </c>
    </row>
    <row r="847">
      <c r="A847" s="7" t="n"/>
      <c r="B847" s="8" t="n"/>
      <c r="E847">
        <f>IF(C847="","",C847-Cfg_TDEE-IFERROR(D847,0))</f>
        <v/>
      </c>
      <c r="F847">
        <f>IF(E847="","",IFERROR(F846,0)+(-E847))</f>
        <v/>
      </c>
      <c r="G847" s="9">
        <f>IF(F847="","",F847/Cfg_FatConstant)</f>
        <v/>
      </c>
      <c r="H847" s="8">
        <f>IF(G847="","",Cfg_StartWeight-G847)</f>
        <v/>
      </c>
      <c r="I847" s="8">
        <f>IF(B847="","",Cfg_StartWeight-B847)</f>
        <v/>
      </c>
      <c r="J847" s="10">
        <f>IF(OR(B847="",G847=""),"",I847-G847)</f>
        <v/>
      </c>
      <c r="K847" s="9">
        <f>IF(B847="","",IFERROR(AVERAGEIFS($B$2:$B$1001,$A$2:$A$1001,"&gt;="&amp;A847-6,$A$2:$A$1001,"&lt;="&amp;A847),""))</f>
        <v/>
      </c>
    </row>
    <row r="848">
      <c r="A848" s="7" t="n"/>
      <c r="B848" s="8" t="n"/>
      <c r="E848">
        <f>IF(C848="","",C848-Cfg_TDEE-IFERROR(D848,0))</f>
        <v/>
      </c>
      <c r="F848">
        <f>IF(E848="","",IFERROR(F847,0)+(-E848))</f>
        <v/>
      </c>
      <c r="G848" s="9">
        <f>IF(F848="","",F848/Cfg_FatConstant)</f>
        <v/>
      </c>
      <c r="H848" s="8">
        <f>IF(G848="","",Cfg_StartWeight-G848)</f>
        <v/>
      </c>
      <c r="I848" s="8">
        <f>IF(B848="","",Cfg_StartWeight-B848)</f>
        <v/>
      </c>
      <c r="J848" s="10">
        <f>IF(OR(B848="",G848=""),"",I848-G848)</f>
        <v/>
      </c>
      <c r="K848" s="9">
        <f>IF(B848="","",IFERROR(AVERAGEIFS($B$2:$B$1001,$A$2:$A$1001,"&gt;="&amp;A848-6,$A$2:$A$1001,"&lt;="&amp;A848),""))</f>
        <v/>
      </c>
    </row>
    <row r="849">
      <c r="A849" s="7" t="n"/>
      <c r="B849" s="8" t="n"/>
      <c r="E849">
        <f>IF(C849="","",C849-Cfg_TDEE-IFERROR(D849,0))</f>
        <v/>
      </c>
      <c r="F849">
        <f>IF(E849="","",IFERROR(F848,0)+(-E849))</f>
        <v/>
      </c>
      <c r="G849" s="9">
        <f>IF(F849="","",F849/Cfg_FatConstant)</f>
        <v/>
      </c>
      <c r="H849" s="8">
        <f>IF(G849="","",Cfg_StartWeight-G849)</f>
        <v/>
      </c>
      <c r="I849" s="8">
        <f>IF(B849="","",Cfg_StartWeight-B849)</f>
        <v/>
      </c>
      <c r="J849" s="10">
        <f>IF(OR(B849="",G849=""),"",I849-G849)</f>
        <v/>
      </c>
      <c r="K849" s="9">
        <f>IF(B849="","",IFERROR(AVERAGEIFS($B$2:$B$1001,$A$2:$A$1001,"&gt;="&amp;A849-6,$A$2:$A$1001,"&lt;="&amp;A849),""))</f>
        <v/>
      </c>
    </row>
    <row r="850">
      <c r="A850" s="7" t="n"/>
      <c r="B850" s="8" t="n"/>
      <c r="E850">
        <f>IF(C850="","",C850-Cfg_TDEE-IFERROR(D850,0))</f>
        <v/>
      </c>
      <c r="F850">
        <f>IF(E850="","",IFERROR(F849,0)+(-E850))</f>
        <v/>
      </c>
      <c r="G850" s="9">
        <f>IF(F850="","",F850/Cfg_FatConstant)</f>
        <v/>
      </c>
      <c r="H850" s="8">
        <f>IF(G850="","",Cfg_StartWeight-G850)</f>
        <v/>
      </c>
      <c r="I850" s="8">
        <f>IF(B850="","",Cfg_StartWeight-B850)</f>
        <v/>
      </c>
      <c r="J850" s="10">
        <f>IF(OR(B850="",G850=""),"",I850-G850)</f>
        <v/>
      </c>
      <c r="K850" s="9">
        <f>IF(B850="","",IFERROR(AVERAGEIFS($B$2:$B$1001,$A$2:$A$1001,"&gt;="&amp;A850-6,$A$2:$A$1001,"&lt;="&amp;A850),""))</f>
        <v/>
      </c>
    </row>
    <row r="851">
      <c r="A851" s="7" t="n"/>
      <c r="B851" s="8" t="n"/>
      <c r="E851">
        <f>IF(C851="","",C851-Cfg_TDEE-IFERROR(D851,0))</f>
        <v/>
      </c>
      <c r="F851">
        <f>IF(E851="","",IFERROR(F850,0)+(-E851))</f>
        <v/>
      </c>
      <c r="G851" s="9">
        <f>IF(F851="","",F851/Cfg_FatConstant)</f>
        <v/>
      </c>
      <c r="H851" s="8">
        <f>IF(G851="","",Cfg_StartWeight-G851)</f>
        <v/>
      </c>
      <c r="I851" s="8">
        <f>IF(B851="","",Cfg_StartWeight-B851)</f>
        <v/>
      </c>
      <c r="J851" s="10">
        <f>IF(OR(B851="",G851=""),"",I851-G851)</f>
        <v/>
      </c>
      <c r="K851" s="9">
        <f>IF(B851="","",IFERROR(AVERAGEIFS($B$2:$B$1001,$A$2:$A$1001,"&gt;="&amp;A851-6,$A$2:$A$1001,"&lt;="&amp;A851),""))</f>
        <v/>
      </c>
    </row>
    <row r="852">
      <c r="A852" s="7" t="n"/>
      <c r="B852" s="8" t="n"/>
      <c r="E852">
        <f>IF(C852="","",C852-Cfg_TDEE-IFERROR(D852,0))</f>
        <v/>
      </c>
      <c r="F852">
        <f>IF(E852="","",IFERROR(F851,0)+(-E852))</f>
        <v/>
      </c>
      <c r="G852" s="9">
        <f>IF(F852="","",F852/Cfg_FatConstant)</f>
        <v/>
      </c>
      <c r="H852" s="8">
        <f>IF(G852="","",Cfg_StartWeight-G852)</f>
        <v/>
      </c>
      <c r="I852" s="8">
        <f>IF(B852="","",Cfg_StartWeight-B852)</f>
        <v/>
      </c>
      <c r="J852" s="10">
        <f>IF(OR(B852="",G852=""),"",I852-G852)</f>
        <v/>
      </c>
      <c r="K852" s="9">
        <f>IF(B852="","",IFERROR(AVERAGEIFS($B$2:$B$1001,$A$2:$A$1001,"&gt;="&amp;A852-6,$A$2:$A$1001,"&lt;="&amp;A852),""))</f>
        <v/>
      </c>
    </row>
    <row r="853">
      <c r="A853" s="7" t="n"/>
      <c r="B853" s="8" t="n"/>
      <c r="E853">
        <f>IF(C853="","",C853-Cfg_TDEE-IFERROR(D853,0))</f>
        <v/>
      </c>
      <c r="F853">
        <f>IF(E853="","",IFERROR(F852,0)+(-E853))</f>
        <v/>
      </c>
      <c r="G853" s="9">
        <f>IF(F853="","",F853/Cfg_FatConstant)</f>
        <v/>
      </c>
      <c r="H853" s="8">
        <f>IF(G853="","",Cfg_StartWeight-G853)</f>
        <v/>
      </c>
      <c r="I853" s="8">
        <f>IF(B853="","",Cfg_StartWeight-B853)</f>
        <v/>
      </c>
      <c r="J853" s="10">
        <f>IF(OR(B853="",G853=""),"",I853-G853)</f>
        <v/>
      </c>
      <c r="K853" s="9">
        <f>IF(B853="","",IFERROR(AVERAGEIFS($B$2:$B$1001,$A$2:$A$1001,"&gt;="&amp;A853-6,$A$2:$A$1001,"&lt;="&amp;A853),""))</f>
        <v/>
      </c>
    </row>
    <row r="854">
      <c r="A854" s="7" t="n"/>
      <c r="B854" s="8" t="n"/>
      <c r="E854">
        <f>IF(C854="","",C854-Cfg_TDEE-IFERROR(D854,0))</f>
        <v/>
      </c>
      <c r="F854">
        <f>IF(E854="","",IFERROR(F853,0)+(-E854))</f>
        <v/>
      </c>
      <c r="G854" s="9">
        <f>IF(F854="","",F854/Cfg_FatConstant)</f>
        <v/>
      </c>
      <c r="H854" s="8">
        <f>IF(G854="","",Cfg_StartWeight-G854)</f>
        <v/>
      </c>
      <c r="I854" s="8">
        <f>IF(B854="","",Cfg_StartWeight-B854)</f>
        <v/>
      </c>
      <c r="J854" s="10">
        <f>IF(OR(B854="",G854=""),"",I854-G854)</f>
        <v/>
      </c>
      <c r="K854" s="9">
        <f>IF(B854="","",IFERROR(AVERAGEIFS($B$2:$B$1001,$A$2:$A$1001,"&gt;="&amp;A854-6,$A$2:$A$1001,"&lt;="&amp;A854),""))</f>
        <v/>
      </c>
    </row>
    <row r="855">
      <c r="A855" s="7" t="n"/>
      <c r="B855" s="8" t="n"/>
      <c r="E855">
        <f>IF(C855="","",C855-Cfg_TDEE-IFERROR(D855,0))</f>
        <v/>
      </c>
      <c r="F855">
        <f>IF(E855="","",IFERROR(F854,0)+(-E855))</f>
        <v/>
      </c>
      <c r="G855" s="9">
        <f>IF(F855="","",F855/Cfg_FatConstant)</f>
        <v/>
      </c>
      <c r="H855" s="8">
        <f>IF(G855="","",Cfg_StartWeight-G855)</f>
        <v/>
      </c>
      <c r="I855" s="8">
        <f>IF(B855="","",Cfg_StartWeight-B855)</f>
        <v/>
      </c>
      <c r="J855" s="10">
        <f>IF(OR(B855="",G855=""),"",I855-G855)</f>
        <v/>
      </c>
      <c r="K855" s="9">
        <f>IF(B855="","",IFERROR(AVERAGEIFS($B$2:$B$1001,$A$2:$A$1001,"&gt;="&amp;A855-6,$A$2:$A$1001,"&lt;="&amp;A855),""))</f>
        <v/>
      </c>
    </row>
    <row r="856">
      <c r="A856" s="7" t="n"/>
      <c r="B856" s="8" t="n"/>
      <c r="E856">
        <f>IF(C856="","",C856-Cfg_TDEE-IFERROR(D856,0))</f>
        <v/>
      </c>
      <c r="F856">
        <f>IF(E856="","",IFERROR(F855,0)+(-E856))</f>
        <v/>
      </c>
      <c r="G856" s="9">
        <f>IF(F856="","",F856/Cfg_FatConstant)</f>
        <v/>
      </c>
      <c r="H856" s="8">
        <f>IF(G856="","",Cfg_StartWeight-G856)</f>
        <v/>
      </c>
      <c r="I856" s="8">
        <f>IF(B856="","",Cfg_StartWeight-B856)</f>
        <v/>
      </c>
      <c r="J856" s="10">
        <f>IF(OR(B856="",G856=""),"",I856-G856)</f>
        <v/>
      </c>
      <c r="K856" s="9">
        <f>IF(B856="","",IFERROR(AVERAGEIFS($B$2:$B$1001,$A$2:$A$1001,"&gt;="&amp;A856-6,$A$2:$A$1001,"&lt;="&amp;A856),""))</f>
        <v/>
      </c>
    </row>
    <row r="857">
      <c r="A857" s="7" t="n"/>
      <c r="B857" s="8" t="n"/>
      <c r="E857">
        <f>IF(C857="","",C857-Cfg_TDEE-IFERROR(D857,0))</f>
        <v/>
      </c>
      <c r="F857">
        <f>IF(E857="","",IFERROR(F856,0)+(-E857))</f>
        <v/>
      </c>
      <c r="G857" s="9">
        <f>IF(F857="","",F857/Cfg_FatConstant)</f>
        <v/>
      </c>
      <c r="H857" s="8">
        <f>IF(G857="","",Cfg_StartWeight-G857)</f>
        <v/>
      </c>
      <c r="I857" s="8">
        <f>IF(B857="","",Cfg_StartWeight-B857)</f>
        <v/>
      </c>
      <c r="J857" s="10">
        <f>IF(OR(B857="",G857=""),"",I857-G857)</f>
        <v/>
      </c>
      <c r="K857" s="9">
        <f>IF(B857="","",IFERROR(AVERAGEIFS($B$2:$B$1001,$A$2:$A$1001,"&gt;="&amp;A857-6,$A$2:$A$1001,"&lt;="&amp;A857),""))</f>
        <v/>
      </c>
    </row>
    <row r="858">
      <c r="A858" s="7" t="n"/>
      <c r="B858" s="8" t="n"/>
      <c r="E858">
        <f>IF(C858="","",C858-Cfg_TDEE-IFERROR(D858,0))</f>
        <v/>
      </c>
      <c r="F858">
        <f>IF(E858="","",IFERROR(F857,0)+(-E858))</f>
        <v/>
      </c>
      <c r="G858" s="9">
        <f>IF(F858="","",F858/Cfg_FatConstant)</f>
        <v/>
      </c>
      <c r="H858" s="8">
        <f>IF(G858="","",Cfg_StartWeight-G858)</f>
        <v/>
      </c>
      <c r="I858" s="8">
        <f>IF(B858="","",Cfg_StartWeight-B858)</f>
        <v/>
      </c>
      <c r="J858" s="10">
        <f>IF(OR(B858="",G858=""),"",I858-G858)</f>
        <v/>
      </c>
      <c r="K858" s="9">
        <f>IF(B858="","",IFERROR(AVERAGEIFS($B$2:$B$1001,$A$2:$A$1001,"&gt;="&amp;A858-6,$A$2:$A$1001,"&lt;="&amp;A858),""))</f>
        <v/>
      </c>
    </row>
    <row r="859">
      <c r="A859" s="7" t="n"/>
      <c r="B859" s="8" t="n"/>
      <c r="E859">
        <f>IF(C859="","",C859-Cfg_TDEE-IFERROR(D859,0))</f>
        <v/>
      </c>
      <c r="F859">
        <f>IF(E859="","",IFERROR(F858,0)+(-E859))</f>
        <v/>
      </c>
      <c r="G859" s="9">
        <f>IF(F859="","",F859/Cfg_FatConstant)</f>
        <v/>
      </c>
      <c r="H859" s="8">
        <f>IF(G859="","",Cfg_StartWeight-G859)</f>
        <v/>
      </c>
      <c r="I859" s="8">
        <f>IF(B859="","",Cfg_StartWeight-B859)</f>
        <v/>
      </c>
      <c r="J859" s="10">
        <f>IF(OR(B859="",G859=""),"",I859-G859)</f>
        <v/>
      </c>
      <c r="K859" s="9">
        <f>IF(B859="","",IFERROR(AVERAGEIFS($B$2:$B$1001,$A$2:$A$1001,"&gt;="&amp;A859-6,$A$2:$A$1001,"&lt;="&amp;A859),""))</f>
        <v/>
      </c>
    </row>
    <row r="860">
      <c r="A860" s="7" t="n"/>
      <c r="B860" s="8" t="n"/>
      <c r="E860">
        <f>IF(C860="","",C860-Cfg_TDEE-IFERROR(D860,0))</f>
        <v/>
      </c>
      <c r="F860">
        <f>IF(E860="","",IFERROR(F859,0)+(-E860))</f>
        <v/>
      </c>
      <c r="G860" s="9">
        <f>IF(F860="","",F860/Cfg_FatConstant)</f>
        <v/>
      </c>
      <c r="H860" s="8">
        <f>IF(G860="","",Cfg_StartWeight-G860)</f>
        <v/>
      </c>
      <c r="I860" s="8">
        <f>IF(B860="","",Cfg_StartWeight-B860)</f>
        <v/>
      </c>
      <c r="J860" s="10">
        <f>IF(OR(B860="",G860=""),"",I860-G860)</f>
        <v/>
      </c>
      <c r="K860" s="9">
        <f>IF(B860="","",IFERROR(AVERAGEIFS($B$2:$B$1001,$A$2:$A$1001,"&gt;="&amp;A860-6,$A$2:$A$1001,"&lt;="&amp;A860),""))</f>
        <v/>
      </c>
    </row>
    <row r="861">
      <c r="A861" s="7" t="n"/>
      <c r="B861" s="8" t="n"/>
      <c r="E861">
        <f>IF(C861="","",C861-Cfg_TDEE-IFERROR(D861,0))</f>
        <v/>
      </c>
      <c r="F861">
        <f>IF(E861="","",IFERROR(F860,0)+(-E861))</f>
        <v/>
      </c>
      <c r="G861" s="9">
        <f>IF(F861="","",F861/Cfg_FatConstant)</f>
        <v/>
      </c>
      <c r="H861" s="8">
        <f>IF(G861="","",Cfg_StartWeight-G861)</f>
        <v/>
      </c>
      <c r="I861" s="8">
        <f>IF(B861="","",Cfg_StartWeight-B861)</f>
        <v/>
      </c>
      <c r="J861" s="10">
        <f>IF(OR(B861="",G861=""),"",I861-G861)</f>
        <v/>
      </c>
      <c r="K861" s="9">
        <f>IF(B861="","",IFERROR(AVERAGEIFS($B$2:$B$1001,$A$2:$A$1001,"&gt;="&amp;A861-6,$A$2:$A$1001,"&lt;="&amp;A861),""))</f>
        <v/>
      </c>
    </row>
    <row r="862">
      <c r="A862" s="7" t="n"/>
      <c r="B862" s="8" t="n"/>
      <c r="E862">
        <f>IF(C862="","",C862-Cfg_TDEE-IFERROR(D862,0))</f>
        <v/>
      </c>
      <c r="F862">
        <f>IF(E862="","",IFERROR(F861,0)+(-E862))</f>
        <v/>
      </c>
      <c r="G862" s="9">
        <f>IF(F862="","",F862/Cfg_FatConstant)</f>
        <v/>
      </c>
      <c r="H862" s="8">
        <f>IF(G862="","",Cfg_StartWeight-G862)</f>
        <v/>
      </c>
      <c r="I862" s="8">
        <f>IF(B862="","",Cfg_StartWeight-B862)</f>
        <v/>
      </c>
      <c r="J862" s="10">
        <f>IF(OR(B862="",G862=""),"",I862-G862)</f>
        <v/>
      </c>
      <c r="K862" s="9">
        <f>IF(B862="","",IFERROR(AVERAGEIFS($B$2:$B$1001,$A$2:$A$1001,"&gt;="&amp;A862-6,$A$2:$A$1001,"&lt;="&amp;A862),""))</f>
        <v/>
      </c>
    </row>
    <row r="863">
      <c r="A863" s="7" t="n"/>
      <c r="B863" s="8" t="n"/>
      <c r="E863">
        <f>IF(C863="","",C863-Cfg_TDEE-IFERROR(D863,0))</f>
        <v/>
      </c>
      <c r="F863">
        <f>IF(E863="","",IFERROR(F862,0)+(-E863))</f>
        <v/>
      </c>
      <c r="G863" s="9">
        <f>IF(F863="","",F863/Cfg_FatConstant)</f>
        <v/>
      </c>
      <c r="H863" s="8">
        <f>IF(G863="","",Cfg_StartWeight-G863)</f>
        <v/>
      </c>
      <c r="I863" s="8">
        <f>IF(B863="","",Cfg_StartWeight-B863)</f>
        <v/>
      </c>
      <c r="J863" s="10">
        <f>IF(OR(B863="",G863=""),"",I863-G863)</f>
        <v/>
      </c>
      <c r="K863" s="9">
        <f>IF(B863="","",IFERROR(AVERAGEIFS($B$2:$B$1001,$A$2:$A$1001,"&gt;="&amp;A863-6,$A$2:$A$1001,"&lt;="&amp;A863),""))</f>
        <v/>
      </c>
    </row>
    <row r="864">
      <c r="A864" s="7" t="n"/>
      <c r="B864" s="8" t="n"/>
      <c r="E864">
        <f>IF(C864="","",C864-Cfg_TDEE-IFERROR(D864,0))</f>
        <v/>
      </c>
      <c r="F864">
        <f>IF(E864="","",IFERROR(F863,0)+(-E864))</f>
        <v/>
      </c>
      <c r="G864" s="9">
        <f>IF(F864="","",F864/Cfg_FatConstant)</f>
        <v/>
      </c>
      <c r="H864" s="8">
        <f>IF(G864="","",Cfg_StartWeight-G864)</f>
        <v/>
      </c>
      <c r="I864" s="8">
        <f>IF(B864="","",Cfg_StartWeight-B864)</f>
        <v/>
      </c>
      <c r="J864" s="10">
        <f>IF(OR(B864="",G864=""),"",I864-G864)</f>
        <v/>
      </c>
      <c r="K864" s="9">
        <f>IF(B864="","",IFERROR(AVERAGEIFS($B$2:$B$1001,$A$2:$A$1001,"&gt;="&amp;A864-6,$A$2:$A$1001,"&lt;="&amp;A864),""))</f>
        <v/>
      </c>
    </row>
    <row r="865">
      <c r="A865" s="7" t="n"/>
      <c r="B865" s="8" t="n"/>
      <c r="E865">
        <f>IF(C865="","",C865-Cfg_TDEE-IFERROR(D865,0))</f>
        <v/>
      </c>
      <c r="F865">
        <f>IF(E865="","",IFERROR(F864,0)+(-E865))</f>
        <v/>
      </c>
      <c r="G865" s="9">
        <f>IF(F865="","",F865/Cfg_FatConstant)</f>
        <v/>
      </c>
      <c r="H865" s="8">
        <f>IF(G865="","",Cfg_StartWeight-G865)</f>
        <v/>
      </c>
      <c r="I865" s="8">
        <f>IF(B865="","",Cfg_StartWeight-B865)</f>
        <v/>
      </c>
      <c r="J865" s="10">
        <f>IF(OR(B865="",G865=""),"",I865-G865)</f>
        <v/>
      </c>
      <c r="K865" s="9">
        <f>IF(B865="","",IFERROR(AVERAGEIFS($B$2:$B$1001,$A$2:$A$1001,"&gt;="&amp;A865-6,$A$2:$A$1001,"&lt;="&amp;A865),""))</f>
        <v/>
      </c>
    </row>
    <row r="866">
      <c r="A866" s="7" t="n"/>
      <c r="B866" s="8" t="n"/>
      <c r="E866">
        <f>IF(C866="","",C866-Cfg_TDEE-IFERROR(D866,0))</f>
        <v/>
      </c>
      <c r="F866">
        <f>IF(E866="","",IFERROR(F865,0)+(-E866))</f>
        <v/>
      </c>
      <c r="G866" s="9">
        <f>IF(F866="","",F866/Cfg_FatConstant)</f>
        <v/>
      </c>
      <c r="H866" s="8">
        <f>IF(G866="","",Cfg_StartWeight-G866)</f>
        <v/>
      </c>
      <c r="I866" s="8">
        <f>IF(B866="","",Cfg_StartWeight-B866)</f>
        <v/>
      </c>
      <c r="J866" s="10">
        <f>IF(OR(B866="",G866=""),"",I866-G866)</f>
        <v/>
      </c>
      <c r="K866" s="9">
        <f>IF(B866="","",IFERROR(AVERAGEIFS($B$2:$B$1001,$A$2:$A$1001,"&gt;="&amp;A866-6,$A$2:$A$1001,"&lt;="&amp;A866),""))</f>
        <v/>
      </c>
    </row>
    <row r="867">
      <c r="A867" s="7" t="n"/>
      <c r="B867" s="8" t="n"/>
      <c r="E867">
        <f>IF(C867="","",C867-Cfg_TDEE-IFERROR(D867,0))</f>
        <v/>
      </c>
      <c r="F867">
        <f>IF(E867="","",IFERROR(F866,0)+(-E867))</f>
        <v/>
      </c>
      <c r="G867" s="9">
        <f>IF(F867="","",F867/Cfg_FatConstant)</f>
        <v/>
      </c>
      <c r="H867" s="8">
        <f>IF(G867="","",Cfg_StartWeight-G867)</f>
        <v/>
      </c>
      <c r="I867" s="8">
        <f>IF(B867="","",Cfg_StartWeight-B867)</f>
        <v/>
      </c>
      <c r="J867" s="10">
        <f>IF(OR(B867="",G867=""),"",I867-G867)</f>
        <v/>
      </c>
      <c r="K867" s="9">
        <f>IF(B867="","",IFERROR(AVERAGEIFS($B$2:$B$1001,$A$2:$A$1001,"&gt;="&amp;A867-6,$A$2:$A$1001,"&lt;="&amp;A867),""))</f>
        <v/>
      </c>
    </row>
    <row r="868">
      <c r="A868" s="7" t="n"/>
      <c r="B868" s="8" t="n"/>
      <c r="E868">
        <f>IF(C868="","",C868-Cfg_TDEE-IFERROR(D868,0))</f>
        <v/>
      </c>
      <c r="F868">
        <f>IF(E868="","",IFERROR(F867,0)+(-E868))</f>
        <v/>
      </c>
      <c r="G868" s="9">
        <f>IF(F868="","",F868/Cfg_FatConstant)</f>
        <v/>
      </c>
      <c r="H868" s="8">
        <f>IF(G868="","",Cfg_StartWeight-G868)</f>
        <v/>
      </c>
      <c r="I868" s="8">
        <f>IF(B868="","",Cfg_StartWeight-B868)</f>
        <v/>
      </c>
      <c r="J868" s="10">
        <f>IF(OR(B868="",G868=""),"",I868-G868)</f>
        <v/>
      </c>
      <c r="K868" s="9">
        <f>IF(B868="","",IFERROR(AVERAGEIFS($B$2:$B$1001,$A$2:$A$1001,"&gt;="&amp;A868-6,$A$2:$A$1001,"&lt;="&amp;A868),""))</f>
        <v/>
      </c>
    </row>
    <row r="869">
      <c r="A869" s="7" t="n"/>
      <c r="B869" s="8" t="n"/>
      <c r="E869">
        <f>IF(C869="","",C869-Cfg_TDEE-IFERROR(D869,0))</f>
        <v/>
      </c>
      <c r="F869">
        <f>IF(E869="","",IFERROR(F868,0)+(-E869))</f>
        <v/>
      </c>
      <c r="G869" s="9">
        <f>IF(F869="","",F869/Cfg_FatConstant)</f>
        <v/>
      </c>
      <c r="H869" s="8">
        <f>IF(G869="","",Cfg_StartWeight-G869)</f>
        <v/>
      </c>
      <c r="I869" s="8">
        <f>IF(B869="","",Cfg_StartWeight-B869)</f>
        <v/>
      </c>
      <c r="J869" s="10">
        <f>IF(OR(B869="",G869=""),"",I869-G869)</f>
        <v/>
      </c>
      <c r="K869" s="9">
        <f>IF(B869="","",IFERROR(AVERAGEIFS($B$2:$B$1001,$A$2:$A$1001,"&gt;="&amp;A869-6,$A$2:$A$1001,"&lt;="&amp;A869),""))</f>
        <v/>
      </c>
    </row>
    <row r="870">
      <c r="A870" s="7" t="n"/>
      <c r="B870" s="8" t="n"/>
      <c r="E870">
        <f>IF(C870="","",C870-Cfg_TDEE-IFERROR(D870,0))</f>
        <v/>
      </c>
      <c r="F870">
        <f>IF(E870="","",IFERROR(F869,0)+(-E870))</f>
        <v/>
      </c>
      <c r="G870" s="9">
        <f>IF(F870="","",F870/Cfg_FatConstant)</f>
        <v/>
      </c>
      <c r="H870" s="8">
        <f>IF(G870="","",Cfg_StartWeight-G870)</f>
        <v/>
      </c>
      <c r="I870" s="8">
        <f>IF(B870="","",Cfg_StartWeight-B870)</f>
        <v/>
      </c>
      <c r="J870" s="10">
        <f>IF(OR(B870="",G870=""),"",I870-G870)</f>
        <v/>
      </c>
      <c r="K870" s="9">
        <f>IF(B870="","",IFERROR(AVERAGEIFS($B$2:$B$1001,$A$2:$A$1001,"&gt;="&amp;A870-6,$A$2:$A$1001,"&lt;="&amp;A870),""))</f>
        <v/>
      </c>
    </row>
    <row r="871">
      <c r="A871" s="7" t="n"/>
      <c r="B871" s="8" t="n"/>
      <c r="E871">
        <f>IF(C871="","",C871-Cfg_TDEE-IFERROR(D871,0))</f>
        <v/>
      </c>
      <c r="F871">
        <f>IF(E871="","",IFERROR(F870,0)+(-E871))</f>
        <v/>
      </c>
      <c r="G871" s="9">
        <f>IF(F871="","",F871/Cfg_FatConstant)</f>
        <v/>
      </c>
      <c r="H871" s="8">
        <f>IF(G871="","",Cfg_StartWeight-G871)</f>
        <v/>
      </c>
      <c r="I871" s="8">
        <f>IF(B871="","",Cfg_StartWeight-B871)</f>
        <v/>
      </c>
      <c r="J871" s="10">
        <f>IF(OR(B871="",G871=""),"",I871-G871)</f>
        <v/>
      </c>
      <c r="K871" s="9">
        <f>IF(B871="","",IFERROR(AVERAGEIFS($B$2:$B$1001,$A$2:$A$1001,"&gt;="&amp;A871-6,$A$2:$A$1001,"&lt;="&amp;A871),""))</f>
        <v/>
      </c>
    </row>
    <row r="872">
      <c r="A872" s="7" t="n"/>
      <c r="B872" s="8" t="n"/>
      <c r="E872">
        <f>IF(C872="","",C872-Cfg_TDEE-IFERROR(D872,0))</f>
        <v/>
      </c>
      <c r="F872">
        <f>IF(E872="","",IFERROR(F871,0)+(-E872))</f>
        <v/>
      </c>
      <c r="G872" s="9">
        <f>IF(F872="","",F872/Cfg_FatConstant)</f>
        <v/>
      </c>
      <c r="H872" s="8">
        <f>IF(G872="","",Cfg_StartWeight-G872)</f>
        <v/>
      </c>
      <c r="I872" s="8">
        <f>IF(B872="","",Cfg_StartWeight-B872)</f>
        <v/>
      </c>
      <c r="J872" s="10">
        <f>IF(OR(B872="",G872=""),"",I872-G872)</f>
        <v/>
      </c>
      <c r="K872" s="9">
        <f>IF(B872="","",IFERROR(AVERAGEIFS($B$2:$B$1001,$A$2:$A$1001,"&gt;="&amp;A872-6,$A$2:$A$1001,"&lt;="&amp;A872),""))</f>
        <v/>
      </c>
    </row>
    <row r="873">
      <c r="A873" s="7" t="n"/>
      <c r="B873" s="8" t="n"/>
      <c r="E873">
        <f>IF(C873="","",C873-Cfg_TDEE-IFERROR(D873,0))</f>
        <v/>
      </c>
      <c r="F873">
        <f>IF(E873="","",IFERROR(F872,0)+(-E873))</f>
        <v/>
      </c>
      <c r="G873" s="9">
        <f>IF(F873="","",F873/Cfg_FatConstant)</f>
        <v/>
      </c>
      <c r="H873" s="8">
        <f>IF(G873="","",Cfg_StartWeight-G873)</f>
        <v/>
      </c>
      <c r="I873" s="8">
        <f>IF(B873="","",Cfg_StartWeight-B873)</f>
        <v/>
      </c>
      <c r="J873" s="10">
        <f>IF(OR(B873="",G873=""),"",I873-G873)</f>
        <v/>
      </c>
      <c r="K873" s="9">
        <f>IF(B873="","",IFERROR(AVERAGEIFS($B$2:$B$1001,$A$2:$A$1001,"&gt;="&amp;A873-6,$A$2:$A$1001,"&lt;="&amp;A873),""))</f>
        <v/>
      </c>
    </row>
    <row r="874">
      <c r="A874" s="7" t="n"/>
      <c r="B874" s="8" t="n"/>
      <c r="E874">
        <f>IF(C874="","",C874-Cfg_TDEE-IFERROR(D874,0))</f>
        <v/>
      </c>
      <c r="F874">
        <f>IF(E874="","",IFERROR(F873,0)+(-E874))</f>
        <v/>
      </c>
      <c r="G874" s="9">
        <f>IF(F874="","",F874/Cfg_FatConstant)</f>
        <v/>
      </c>
      <c r="H874" s="8">
        <f>IF(G874="","",Cfg_StartWeight-G874)</f>
        <v/>
      </c>
      <c r="I874" s="8">
        <f>IF(B874="","",Cfg_StartWeight-B874)</f>
        <v/>
      </c>
      <c r="J874" s="10">
        <f>IF(OR(B874="",G874=""),"",I874-G874)</f>
        <v/>
      </c>
      <c r="K874" s="9">
        <f>IF(B874="","",IFERROR(AVERAGEIFS($B$2:$B$1001,$A$2:$A$1001,"&gt;="&amp;A874-6,$A$2:$A$1001,"&lt;="&amp;A874),""))</f>
        <v/>
      </c>
    </row>
    <row r="875">
      <c r="A875" s="7" t="n"/>
      <c r="B875" s="8" t="n"/>
      <c r="E875">
        <f>IF(C875="","",C875-Cfg_TDEE-IFERROR(D875,0))</f>
        <v/>
      </c>
      <c r="F875">
        <f>IF(E875="","",IFERROR(F874,0)+(-E875))</f>
        <v/>
      </c>
      <c r="G875" s="9">
        <f>IF(F875="","",F875/Cfg_FatConstant)</f>
        <v/>
      </c>
      <c r="H875" s="8">
        <f>IF(G875="","",Cfg_StartWeight-G875)</f>
        <v/>
      </c>
      <c r="I875" s="8">
        <f>IF(B875="","",Cfg_StartWeight-B875)</f>
        <v/>
      </c>
      <c r="J875" s="10">
        <f>IF(OR(B875="",G875=""),"",I875-G875)</f>
        <v/>
      </c>
      <c r="K875" s="9">
        <f>IF(B875="","",IFERROR(AVERAGEIFS($B$2:$B$1001,$A$2:$A$1001,"&gt;="&amp;A875-6,$A$2:$A$1001,"&lt;="&amp;A875),""))</f>
        <v/>
      </c>
    </row>
    <row r="876">
      <c r="A876" s="7" t="n"/>
      <c r="B876" s="8" t="n"/>
      <c r="E876">
        <f>IF(C876="","",C876-Cfg_TDEE-IFERROR(D876,0))</f>
        <v/>
      </c>
      <c r="F876">
        <f>IF(E876="","",IFERROR(F875,0)+(-E876))</f>
        <v/>
      </c>
      <c r="G876" s="9">
        <f>IF(F876="","",F876/Cfg_FatConstant)</f>
        <v/>
      </c>
      <c r="H876" s="8">
        <f>IF(G876="","",Cfg_StartWeight-G876)</f>
        <v/>
      </c>
      <c r="I876" s="8">
        <f>IF(B876="","",Cfg_StartWeight-B876)</f>
        <v/>
      </c>
      <c r="J876" s="10">
        <f>IF(OR(B876="",G876=""),"",I876-G876)</f>
        <v/>
      </c>
      <c r="K876" s="9">
        <f>IF(B876="","",IFERROR(AVERAGEIFS($B$2:$B$1001,$A$2:$A$1001,"&gt;="&amp;A876-6,$A$2:$A$1001,"&lt;="&amp;A876),""))</f>
        <v/>
      </c>
    </row>
    <row r="877">
      <c r="A877" s="7" t="n"/>
      <c r="B877" s="8" t="n"/>
      <c r="E877">
        <f>IF(C877="","",C877-Cfg_TDEE-IFERROR(D877,0))</f>
        <v/>
      </c>
      <c r="F877">
        <f>IF(E877="","",IFERROR(F876,0)+(-E877))</f>
        <v/>
      </c>
      <c r="G877" s="9">
        <f>IF(F877="","",F877/Cfg_FatConstant)</f>
        <v/>
      </c>
      <c r="H877" s="8">
        <f>IF(G877="","",Cfg_StartWeight-G877)</f>
        <v/>
      </c>
      <c r="I877" s="8">
        <f>IF(B877="","",Cfg_StartWeight-B877)</f>
        <v/>
      </c>
      <c r="J877" s="10">
        <f>IF(OR(B877="",G877=""),"",I877-G877)</f>
        <v/>
      </c>
      <c r="K877" s="9">
        <f>IF(B877="","",IFERROR(AVERAGEIFS($B$2:$B$1001,$A$2:$A$1001,"&gt;="&amp;A877-6,$A$2:$A$1001,"&lt;="&amp;A877),""))</f>
        <v/>
      </c>
    </row>
    <row r="878">
      <c r="A878" s="7" t="n"/>
      <c r="B878" s="8" t="n"/>
      <c r="E878">
        <f>IF(C878="","",C878-Cfg_TDEE-IFERROR(D878,0))</f>
        <v/>
      </c>
      <c r="F878">
        <f>IF(E878="","",IFERROR(F877,0)+(-E878))</f>
        <v/>
      </c>
      <c r="G878" s="9">
        <f>IF(F878="","",F878/Cfg_FatConstant)</f>
        <v/>
      </c>
      <c r="H878" s="8">
        <f>IF(G878="","",Cfg_StartWeight-G878)</f>
        <v/>
      </c>
      <c r="I878" s="8">
        <f>IF(B878="","",Cfg_StartWeight-B878)</f>
        <v/>
      </c>
      <c r="J878" s="10">
        <f>IF(OR(B878="",G878=""),"",I878-G878)</f>
        <v/>
      </c>
      <c r="K878" s="9">
        <f>IF(B878="","",IFERROR(AVERAGEIFS($B$2:$B$1001,$A$2:$A$1001,"&gt;="&amp;A878-6,$A$2:$A$1001,"&lt;="&amp;A878),""))</f>
        <v/>
      </c>
    </row>
    <row r="879">
      <c r="A879" s="7" t="n"/>
      <c r="B879" s="8" t="n"/>
      <c r="E879">
        <f>IF(C879="","",C879-Cfg_TDEE-IFERROR(D879,0))</f>
        <v/>
      </c>
      <c r="F879">
        <f>IF(E879="","",IFERROR(F878,0)+(-E879))</f>
        <v/>
      </c>
      <c r="G879" s="9">
        <f>IF(F879="","",F879/Cfg_FatConstant)</f>
        <v/>
      </c>
      <c r="H879" s="8">
        <f>IF(G879="","",Cfg_StartWeight-G879)</f>
        <v/>
      </c>
      <c r="I879" s="8">
        <f>IF(B879="","",Cfg_StartWeight-B879)</f>
        <v/>
      </c>
      <c r="J879" s="10">
        <f>IF(OR(B879="",G879=""),"",I879-G879)</f>
        <v/>
      </c>
      <c r="K879" s="9">
        <f>IF(B879="","",IFERROR(AVERAGEIFS($B$2:$B$1001,$A$2:$A$1001,"&gt;="&amp;A879-6,$A$2:$A$1001,"&lt;="&amp;A879),""))</f>
        <v/>
      </c>
    </row>
    <row r="880">
      <c r="A880" s="7" t="n"/>
      <c r="B880" s="8" t="n"/>
      <c r="E880">
        <f>IF(C880="","",C880-Cfg_TDEE-IFERROR(D880,0))</f>
        <v/>
      </c>
      <c r="F880">
        <f>IF(E880="","",IFERROR(F879,0)+(-E880))</f>
        <v/>
      </c>
      <c r="G880" s="9">
        <f>IF(F880="","",F880/Cfg_FatConstant)</f>
        <v/>
      </c>
      <c r="H880" s="8">
        <f>IF(G880="","",Cfg_StartWeight-G880)</f>
        <v/>
      </c>
      <c r="I880" s="8">
        <f>IF(B880="","",Cfg_StartWeight-B880)</f>
        <v/>
      </c>
      <c r="J880" s="10">
        <f>IF(OR(B880="",G880=""),"",I880-G880)</f>
        <v/>
      </c>
      <c r="K880" s="9">
        <f>IF(B880="","",IFERROR(AVERAGEIFS($B$2:$B$1001,$A$2:$A$1001,"&gt;="&amp;A880-6,$A$2:$A$1001,"&lt;="&amp;A880),""))</f>
        <v/>
      </c>
    </row>
    <row r="881">
      <c r="A881" s="7" t="n"/>
      <c r="B881" s="8" t="n"/>
      <c r="E881">
        <f>IF(C881="","",C881-Cfg_TDEE-IFERROR(D881,0))</f>
        <v/>
      </c>
      <c r="F881">
        <f>IF(E881="","",IFERROR(F880,0)+(-E881))</f>
        <v/>
      </c>
      <c r="G881" s="9">
        <f>IF(F881="","",F881/Cfg_FatConstant)</f>
        <v/>
      </c>
      <c r="H881" s="8">
        <f>IF(G881="","",Cfg_StartWeight-G881)</f>
        <v/>
      </c>
      <c r="I881" s="8">
        <f>IF(B881="","",Cfg_StartWeight-B881)</f>
        <v/>
      </c>
      <c r="J881" s="10">
        <f>IF(OR(B881="",G881=""),"",I881-G881)</f>
        <v/>
      </c>
      <c r="K881" s="9">
        <f>IF(B881="","",IFERROR(AVERAGEIFS($B$2:$B$1001,$A$2:$A$1001,"&gt;="&amp;A881-6,$A$2:$A$1001,"&lt;="&amp;A881),""))</f>
        <v/>
      </c>
    </row>
    <row r="882">
      <c r="A882" s="7" t="n"/>
      <c r="B882" s="8" t="n"/>
      <c r="E882">
        <f>IF(C882="","",C882-Cfg_TDEE-IFERROR(D882,0))</f>
        <v/>
      </c>
      <c r="F882">
        <f>IF(E882="","",IFERROR(F881,0)+(-E882))</f>
        <v/>
      </c>
      <c r="G882" s="9">
        <f>IF(F882="","",F882/Cfg_FatConstant)</f>
        <v/>
      </c>
      <c r="H882" s="8">
        <f>IF(G882="","",Cfg_StartWeight-G882)</f>
        <v/>
      </c>
      <c r="I882" s="8">
        <f>IF(B882="","",Cfg_StartWeight-B882)</f>
        <v/>
      </c>
      <c r="J882" s="10">
        <f>IF(OR(B882="",G882=""),"",I882-G882)</f>
        <v/>
      </c>
      <c r="K882" s="9">
        <f>IF(B882="","",IFERROR(AVERAGEIFS($B$2:$B$1001,$A$2:$A$1001,"&gt;="&amp;A882-6,$A$2:$A$1001,"&lt;="&amp;A882),""))</f>
        <v/>
      </c>
    </row>
    <row r="883">
      <c r="A883" s="7" t="n"/>
      <c r="B883" s="8" t="n"/>
      <c r="E883">
        <f>IF(C883="","",C883-Cfg_TDEE-IFERROR(D883,0))</f>
        <v/>
      </c>
      <c r="F883">
        <f>IF(E883="","",IFERROR(F882,0)+(-E883))</f>
        <v/>
      </c>
      <c r="G883" s="9">
        <f>IF(F883="","",F883/Cfg_FatConstant)</f>
        <v/>
      </c>
      <c r="H883" s="8">
        <f>IF(G883="","",Cfg_StartWeight-G883)</f>
        <v/>
      </c>
      <c r="I883" s="8">
        <f>IF(B883="","",Cfg_StartWeight-B883)</f>
        <v/>
      </c>
      <c r="J883" s="10">
        <f>IF(OR(B883="",G883=""),"",I883-G883)</f>
        <v/>
      </c>
      <c r="K883" s="9">
        <f>IF(B883="","",IFERROR(AVERAGEIFS($B$2:$B$1001,$A$2:$A$1001,"&gt;="&amp;A883-6,$A$2:$A$1001,"&lt;="&amp;A883),""))</f>
        <v/>
      </c>
    </row>
    <row r="884">
      <c r="A884" s="7" t="n"/>
      <c r="B884" s="8" t="n"/>
      <c r="E884">
        <f>IF(C884="","",C884-Cfg_TDEE-IFERROR(D884,0))</f>
        <v/>
      </c>
      <c r="F884">
        <f>IF(E884="","",IFERROR(F883,0)+(-E884))</f>
        <v/>
      </c>
      <c r="G884" s="9">
        <f>IF(F884="","",F884/Cfg_FatConstant)</f>
        <v/>
      </c>
      <c r="H884" s="8">
        <f>IF(G884="","",Cfg_StartWeight-G884)</f>
        <v/>
      </c>
      <c r="I884" s="8">
        <f>IF(B884="","",Cfg_StartWeight-B884)</f>
        <v/>
      </c>
      <c r="J884" s="10">
        <f>IF(OR(B884="",G884=""),"",I884-G884)</f>
        <v/>
      </c>
      <c r="K884" s="9">
        <f>IF(B884="","",IFERROR(AVERAGEIFS($B$2:$B$1001,$A$2:$A$1001,"&gt;="&amp;A884-6,$A$2:$A$1001,"&lt;="&amp;A884),""))</f>
        <v/>
      </c>
    </row>
    <row r="885">
      <c r="A885" s="7" t="n"/>
      <c r="B885" s="8" t="n"/>
      <c r="E885">
        <f>IF(C885="","",C885-Cfg_TDEE-IFERROR(D885,0))</f>
        <v/>
      </c>
      <c r="F885">
        <f>IF(E885="","",IFERROR(F884,0)+(-E885))</f>
        <v/>
      </c>
      <c r="G885" s="9">
        <f>IF(F885="","",F885/Cfg_FatConstant)</f>
        <v/>
      </c>
      <c r="H885" s="8">
        <f>IF(G885="","",Cfg_StartWeight-G885)</f>
        <v/>
      </c>
      <c r="I885" s="8">
        <f>IF(B885="","",Cfg_StartWeight-B885)</f>
        <v/>
      </c>
      <c r="J885" s="10">
        <f>IF(OR(B885="",G885=""),"",I885-G885)</f>
        <v/>
      </c>
      <c r="K885" s="9">
        <f>IF(B885="","",IFERROR(AVERAGEIFS($B$2:$B$1001,$A$2:$A$1001,"&gt;="&amp;A885-6,$A$2:$A$1001,"&lt;="&amp;A885),""))</f>
        <v/>
      </c>
    </row>
    <row r="886">
      <c r="A886" s="7" t="n"/>
      <c r="B886" s="8" t="n"/>
      <c r="E886">
        <f>IF(C886="","",C886-Cfg_TDEE-IFERROR(D886,0))</f>
        <v/>
      </c>
      <c r="F886">
        <f>IF(E886="","",IFERROR(F885,0)+(-E886))</f>
        <v/>
      </c>
      <c r="G886" s="9">
        <f>IF(F886="","",F886/Cfg_FatConstant)</f>
        <v/>
      </c>
      <c r="H886" s="8">
        <f>IF(G886="","",Cfg_StartWeight-G886)</f>
        <v/>
      </c>
      <c r="I886" s="8">
        <f>IF(B886="","",Cfg_StartWeight-B886)</f>
        <v/>
      </c>
      <c r="J886" s="10">
        <f>IF(OR(B886="",G886=""),"",I886-G886)</f>
        <v/>
      </c>
      <c r="K886" s="9">
        <f>IF(B886="","",IFERROR(AVERAGEIFS($B$2:$B$1001,$A$2:$A$1001,"&gt;="&amp;A886-6,$A$2:$A$1001,"&lt;="&amp;A886),""))</f>
        <v/>
      </c>
    </row>
    <row r="887">
      <c r="A887" s="7" t="n"/>
      <c r="B887" s="8" t="n"/>
      <c r="E887">
        <f>IF(C887="","",C887-Cfg_TDEE-IFERROR(D887,0))</f>
        <v/>
      </c>
      <c r="F887">
        <f>IF(E887="","",IFERROR(F886,0)+(-E887))</f>
        <v/>
      </c>
      <c r="G887" s="9">
        <f>IF(F887="","",F887/Cfg_FatConstant)</f>
        <v/>
      </c>
      <c r="H887" s="8">
        <f>IF(G887="","",Cfg_StartWeight-G887)</f>
        <v/>
      </c>
      <c r="I887" s="8">
        <f>IF(B887="","",Cfg_StartWeight-B887)</f>
        <v/>
      </c>
      <c r="J887" s="10">
        <f>IF(OR(B887="",G887=""),"",I887-G887)</f>
        <v/>
      </c>
      <c r="K887" s="9">
        <f>IF(B887="","",IFERROR(AVERAGEIFS($B$2:$B$1001,$A$2:$A$1001,"&gt;="&amp;A887-6,$A$2:$A$1001,"&lt;="&amp;A887),""))</f>
        <v/>
      </c>
    </row>
    <row r="888">
      <c r="A888" s="7" t="n"/>
      <c r="B888" s="8" t="n"/>
      <c r="E888">
        <f>IF(C888="","",C888-Cfg_TDEE-IFERROR(D888,0))</f>
        <v/>
      </c>
      <c r="F888">
        <f>IF(E888="","",IFERROR(F887,0)+(-E888))</f>
        <v/>
      </c>
      <c r="G888" s="9">
        <f>IF(F888="","",F888/Cfg_FatConstant)</f>
        <v/>
      </c>
      <c r="H888" s="8">
        <f>IF(G888="","",Cfg_StartWeight-G888)</f>
        <v/>
      </c>
      <c r="I888" s="8">
        <f>IF(B888="","",Cfg_StartWeight-B888)</f>
        <v/>
      </c>
      <c r="J888" s="10">
        <f>IF(OR(B888="",G888=""),"",I888-G888)</f>
        <v/>
      </c>
      <c r="K888" s="9">
        <f>IF(B888="","",IFERROR(AVERAGEIFS($B$2:$B$1001,$A$2:$A$1001,"&gt;="&amp;A888-6,$A$2:$A$1001,"&lt;="&amp;A888),""))</f>
        <v/>
      </c>
    </row>
    <row r="889">
      <c r="A889" s="7" t="n"/>
      <c r="B889" s="8" t="n"/>
      <c r="E889">
        <f>IF(C889="","",C889-Cfg_TDEE-IFERROR(D889,0))</f>
        <v/>
      </c>
      <c r="F889">
        <f>IF(E889="","",IFERROR(F888,0)+(-E889))</f>
        <v/>
      </c>
      <c r="G889" s="9">
        <f>IF(F889="","",F889/Cfg_FatConstant)</f>
        <v/>
      </c>
      <c r="H889" s="8">
        <f>IF(G889="","",Cfg_StartWeight-G889)</f>
        <v/>
      </c>
      <c r="I889" s="8">
        <f>IF(B889="","",Cfg_StartWeight-B889)</f>
        <v/>
      </c>
      <c r="J889" s="10">
        <f>IF(OR(B889="",G889=""),"",I889-G889)</f>
        <v/>
      </c>
      <c r="K889" s="9">
        <f>IF(B889="","",IFERROR(AVERAGEIFS($B$2:$B$1001,$A$2:$A$1001,"&gt;="&amp;A889-6,$A$2:$A$1001,"&lt;="&amp;A889),""))</f>
        <v/>
      </c>
    </row>
    <row r="890">
      <c r="A890" s="7" t="n"/>
      <c r="B890" s="8" t="n"/>
      <c r="E890">
        <f>IF(C890="","",C890-Cfg_TDEE-IFERROR(D890,0))</f>
        <v/>
      </c>
      <c r="F890">
        <f>IF(E890="","",IFERROR(F889,0)+(-E890))</f>
        <v/>
      </c>
      <c r="G890" s="9">
        <f>IF(F890="","",F890/Cfg_FatConstant)</f>
        <v/>
      </c>
      <c r="H890" s="8">
        <f>IF(G890="","",Cfg_StartWeight-G890)</f>
        <v/>
      </c>
      <c r="I890" s="8">
        <f>IF(B890="","",Cfg_StartWeight-B890)</f>
        <v/>
      </c>
      <c r="J890" s="10">
        <f>IF(OR(B890="",G890=""),"",I890-G890)</f>
        <v/>
      </c>
      <c r="K890" s="9">
        <f>IF(B890="","",IFERROR(AVERAGEIFS($B$2:$B$1001,$A$2:$A$1001,"&gt;="&amp;A890-6,$A$2:$A$1001,"&lt;="&amp;A890),""))</f>
        <v/>
      </c>
    </row>
    <row r="891">
      <c r="A891" s="7" t="n"/>
      <c r="B891" s="8" t="n"/>
      <c r="E891">
        <f>IF(C891="","",C891-Cfg_TDEE-IFERROR(D891,0))</f>
        <v/>
      </c>
      <c r="F891">
        <f>IF(E891="","",IFERROR(F890,0)+(-E891))</f>
        <v/>
      </c>
      <c r="G891" s="9">
        <f>IF(F891="","",F891/Cfg_FatConstant)</f>
        <v/>
      </c>
      <c r="H891" s="8">
        <f>IF(G891="","",Cfg_StartWeight-G891)</f>
        <v/>
      </c>
      <c r="I891" s="8">
        <f>IF(B891="","",Cfg_StartWeight-B891)</f>
        <v/>
      </c>
      <c r="J891" s="10">
        <f>IF(OR(B891="",G891=""),"",I891-G891)</f>
        <v/>
      </c>
      <c r="K891" s="9">
        <f>IF(B891="","",IFERROR(AVERAGEIFS($B$2:$B$1001,$A$2:$A$1001,"&gt;="&amp;A891-6,$A$2:$A$1001,"&lt;="&amp;A891),""))</f>
        <v/>
      </c>
    </row>
    <row r="892">
      <c r="A892" s="7" t="n"/>
      <c r="B892" s="8" t="n"/>
      <c r="E892">
        <f>IF(C892="","",C892-Cfg_TDEE-IFERROR(D892,0))</f>
        <v/>
      </c>
      <c r="F892">
        <f>IF(E892="","",IFERROR(F891,0)+(-E892))</f>
        <v/>
      </c>
      <c r="G892" s="9">
        <f>IF(F892="","",F892/Cfg_FatConstant)</f>
        <v/>
      </c>
      <c r="H892" s="8">
        <f>IF(G892="","",Cfg_StartWeight-G892)</f>
        <v/>
      </c>
      <c r="I892" s="8">
        <f>IF(B892="","",Cfg_StartWeight-B892)</f>
        <v/>
      </c>
      <c r="J892" s="10">
        <f>IF(OR(B892="",G892=""),"",I892-G892)</f>
        <v/>
      </c>
      <c r="K892" s="9">
        <f>IF(B892="","",IFERROR(AVERAGEIFS($B$2:$B$1001,$A$2:$A$1001,"&gt;="&amp;A892-6,$A$2:$A$1001,"&lt;="&amp;A892),""))</f>
        <v/>
      </c>
    </row>
    <row r="893">
      <c r="A893" s="7" t="n"/>
      <c r="B893" s="8" t="n"/>
      <c r="E893">
        <f>IF(C893="","",C893-Cfg_TDEE-IFERROR(D893,0))</f>
        <v/>
      </c>
      <c r="F893">
        <f>IF(E893="","",IFERROR(F892,0)+(-E893))</f>
        <v/>
      </c>
      <c r="G893" s="9">
        <f>IF(F893="","",F893/Cfg_FatConstant)</f>
        <v/>
      </c>
      <c r="H893" s="8">
        <f>IF(G893="","",Cfg_StartWeight-G893)</f>
        <v/>
      </c>
      <c r="I893" s="8">
        <f>IF(B893="","",Cfg_StartWeight-B893)</f>
        <v/>
      </c>
      <c r="J893" s="10">
        <f>IF(OR(B893="",G893=""),"",I893-G893)</f>
        <v/>
      </c>
      <c r="K893" s="9">
        <f>IF(B893="","",IFERROR(AVERAGEIFS($B$2:$B$1001,$A$2:$A$1001,"&gt;="&amp;A893-6,$A$2:$A$1001,"&lt;="&amp;A893),""))</f>
        <v/>
      </c>
    </row>
    <row r="894">
      <c r="A894" s="7" t="n"/>
      <c r="B894" s="8" t="n"/>
      <c r="E894">
        <f>IF(C894="","",C894-Cfg_TDEE-IFERROR(D894,0))</f>
        <v/>
      </c>
      <c r="F894">
        <f>IF(E894="","",IFERROR(F893,0)+(-E894))</f>
        <v/>
      </c>
      <c r="G894" s="9">
        <f>IF(F894="","",F894/Cfg_FatConstant)</f>
        <v/>
      </c>
      <c r="H894" s="8">
        <f>IF(G894="","",Cfg_StartWeight-G894)</f>
        <v/>
      </c>
      <c r="I894" s="8">
        <f>IF(B894="","",Cfg_StartWeight-B894)</f>
        <v/>
      </c>
      <c r="J894" s="10">
        <f>IF(OR(B894="",G894=""),"",I894-G894)</f>
        <v/>
      </c>
      <c r="K894" s="9">
        <f>IF(B894="","",IFERROR(AVERAGEIFS($B$2:$B$1001,$A$2:$A$1001,"&gt;="&amp;A894-6,$A$2:$A$1001,"&lt;="&amp;A894),""))</f>
        <v/>
      </c>
    </row>
    <row r="895">
      <c r="A895" s="7" t="n"/>
      <c r="B895" s="8" t="n"/>
      <c r="E895">
        <f>IF(C895="","",C895-Cfg_TDEE-IFERROR(D895,0))</f>
        <v/>
      </c>
      <c r="F895">
        <f>IF(E895="","",IFERROR(F894,0)+(-E895))</f>
        <v/>
      </c>
      <c r="G895" s="9">
        <f>IF(F895="","",F895/Cfg_FatConstant)</f>
        <v/>
      </c>
      <c r="H895" s="8">
        <f>IF(G895="","",Cfg_StartWeight-G895)</f>
        <v/>
      </c>
      <c r="I895" s="8">
        <f>IF(B895="","",Cfg_StartWeight-B895)</f>
        <v/>
      </c>
      <c r="J895" s="10">
        <f>IF(OR(B895="",G895=""),"",I895-G895)</f>
        <v/>
      </c>
      <c r="K895" s="9">
        <f>IF(B895="","",IFERROR(AVERAGEIFS($B$2:$B$1001,$A$2:$A$1001,"&gt;="&amp;A895-6,$A$2:$A$1001,"&lt;="&amp;A895),""))</f>
        <v/>
      </c>
    </row>
    <row r="896">
      <c r="A896" s="7" t="n"/>
      <c r="B896" s="8" t="n"/>
      <c r="E896">
        <f>IF(C896="","",C896-Cfg_TDEE-IFERROR(D896,0))</f>
        <v/>
      </c>
      <c r="F896">
        <f>IF(E896="","",IFERROR(F895,0)+(-E896))</f>
        <v/>
      </c>
      <c r="G896" s="9">
        <f>IF(F896="","",F896/Cfg_FatConstant)</f>
        <v/>
      </c>
      <c r="H896" s="8">
        <f>IF(G896="","",Cfg_StartWeight-G896)</f>
        <v/>
      </c>
      <c r="I896" s="8">
        <f>IF(B896="","",Cfg_StartWeight-B896)</f>
        <v/>
      </c>
      <c r="J896" s="10">
        <f>IF(OR(B896="",G896=""),"",I896-G896)</f>
        <v/>
      </c>
      <c r="K896" s="9">
        <f>IF(B896="","",IFERROR(AVERAGEIFS($B$2:$B$1001,$A$2:$A$1001,"&gt;="&amp;A896-6,$A$2:$A$1001,"&lt;="&amp;A896),""))</f>
        <v/>
      </c>
    </row>
    <row r="897">
      <c r="A897" s="7" t="n"/>
      <c r="B897" s="8" t="n"/>
      <c r="E897">
        <f>IF(C897="","",C897-Cfg_TDEE-IFERROR(D897,0))</f>
        <v/>
      </c>
      <c r="F897">
        <f>IF(E897="","",IFERROR(F896,0)+(-E897))</f>
        <v/>
      </c>
      <c r="G897" s="9">
        <f>IF(F897="","",F897/Cfg_FatConstant)</f>
        <v/>
      </c>
      <c r="H897" s="8">
        <f>IF(G897="","",Cfg_StartWeight-G897)</f>
        <v/>
      </c>
      <c r="I897" s="8">
        <f>IF(B897="","",Cfg_StartWeight-B897)</f>
        <v/>
      </c>
      <c r="J897" s="10">
        <f>IF(OR(B897="",G897=""),"",I897-G897)</f>
        <v/>
      </c>
      <c r="K897" s="9">
        <f>IF(B897="","",IFERROR(AVERAGEIFS($B$2:$B$1001,$A$2:$A$1001,"&gt;="&amp;A897-6,$A$2:$A$1001,"&lt;="&amp;A897),""))</f>
        <v/>
      </c>
    </row>
    <row r="898">
      <c r="A898" s="7" t="n"/>
      <c r="B898" s="8" t="n"/>
      <c r="E898">
        <f>IF(C898="","",C898-Cfg_TDEE-IFERROR(D898,0))</f>
        <v/>
      </c>
      <c r="F898">
        <f>IF(E898="","",IFERROR(F897,0)+(-E898))</f>
        <v/>
      </c>
      <c r="G898" s="9">
        <f>IF(F898="","",F898/Cfg_FatConstant)</f>
        <v/>
      </c>
      <c r="H898" s="8">
        <f>IF(G898="","",Cfg_StartWeight-G898)</f>
        <v/>
      </c>
      <c r="I898" s="8">
        <f>IF(B898="","",Cfg_StartWeight-B898)</f>
        <v/>
      </c>
      <c r="J898" s="10">
        <f>IF(OR(B898="",G898=""),"",I898-G898)</f>
        <v/>
      </c>
      <c r="K898" s="9">
        <f>IF(B898="","",IFERROR(AVERAGEIFS($B$2:$B$1001,$A$2:$A$1001,"&gt;="&amp;A898-6,$A$2:$A$1001,"&lt;="&amp;A898),""))</f>
        <v/>
      </c>
    </row>
    <row r="899">
      <c r="A899" s="7" t="n"/>
      <c r="B899" s="8" t="n"/>
      <c r="E899">
        <f>IF(C899="","",C899-Cfg_TDEE-IFERROR(D899,0))</f>
        <v/>
      </c>
      <c r="F899">
        <f>IF(E899="","",IFERROR(F898,0)+(-E899))</f>
        <v/>
      </c>
      <c r="G899" s="9">
        <f>IF(F899="","",F899/Cfg_FatConstant)</f>
        <v/>
      </c>
      <c r="H899" s="8">
        <f>IF(G899="","",Cfg_StartWeight-G899)</f>
        <v/>
      </c>
      <c r="I899" s="8">
        <f>IF(B899="","",Cfg_StartWeight-B899)</f>
        <v/>
      </c>
      <c r="J899" s="10">
        <f>IF(OR(B899="",G899=""),"",I899-G899)</f>
        <v/>
      </c>
      <c r="K899" s="9">
        <f>IF(B899="","",IFERROR(AVERAGEIFS($B$2:$B$1001,$A$2:$A$1001,"&gt;="&amp;A899-6,$A$2:$A$1001,"&lt;="&amp;A899),""))</f>
        <v/>
      </c>
    </row>
    <row r="900">
      <c r="A900" s="7" t="n"/>
      <c r="B900" s="8" t="n"/>
      <c r="E900">
        <f>IF(C900="","",C900-Cfg_TDEE-IFERROR(D900,0))</f>
        <v/>
      </c>
      <c r="F900">
        <f>IF(E900="","",IFERROR(F899,0)+(-E900))</f>
        <v/>
      </c>
      <c r="G900" s="9">
        <f>IF(F900="","",F900/Cfg_FatConstant)</f>
        <v/>
      </c>
      <c r="H900" s="8">
        <f>IF(G900="","",Cfg_StartWeight-G900)</f>
        <v/>
      </c>
      <c r="I900" s="8">
        <f>IF(B900="","",Cfg_StartWeight-B900)</f>
        <v/>
      </c>
      <c r="J900" s="10">
        <f>IF(OR(B900="",G900=""),"",I900-G900)</f>
        <v/>
      </c>
      <c r="K900" s="9">
        <f>IF(B900="","",IFERROR(AVERAGEIFS($B$2:$B$1001,$A$2:$A$1001,"&gt;="&amp;A900-6,$A$2:$A$1001,"&lt;="&amp;A900),""))</f>
        <v/>
      </c>
    </row>
    <row r="901">
      <c r="A901" s="7" t="n"/>
      <c r="B901" s="8" t="n"/>
      <c r="E901">
        <f>IF(C901="","",C901-Cfg_TDEE-IFERROR(D901,0))</f>
        <v/>
      </c>
      <c r="F901">
        <f>IF(E901="","",IFERROR(F900,0)+(-E901))</f>
        <v/>
      </c>
      <c r="G901" s="9">
        <f>IF(F901="","",F901/Cfg_FatConstant)</f>
        <v/>
      </c>
      <c r="H901" s="8">
        <f>IF(G901="","",Cfg_StartWeight-G901)</f>
        <v/>
      </c>
      <c r="I901" s="8">
        <f>IF(B901="","",Cfg_StartWeight-B901)</f>
        <v/>
      </c>
      <c r="J901" s="10">
        <f>IF(OR(B901="",G901=""),"",I901-G901)</f>
        <v/>
      </c>
      <c r="K901" s="9">
        <f>IF(B901="","",IFERROR(AVERAGEIFS($B$2:$B$1001,$A$2:$A$1001,"&gt;="&amp;A901-6,$A$2:$A$1001,"&lt;="&amp;A901),""))</f>
        <v/>
      </c>
    </row>
    <row r="902">
      <c r="A902" s="7" t="n"/>
      <c r="B902" s="8" t="n"/>
      <c r="E902">
        <f>IF(C902="","",C902-Cfg_TDEE-IFERROR(D902,0))</f>
        <v/>
      </c>
      <c r="F902">
        <f>IF(E902="","",IFERROR(F901,0)+(-E902))</f>
        <v/>
      </c>
      <c r="G902" s="9">
        <f>IF(F902="","",F902/Cfg_FatConstant)</f>
        <v/>
      </c>
      <c r="H902" s="8">
        <f>IF(G902="","",Cfg_StartWeight-G902)</f>
        <v/>
      </c>
      <c r="I902" s="8">
        <f>IF(B902="","",Cfg_StartWeight-B902)</f>
        <v/>
      </c>
      <c r="J902" s="10">
        <f>IF(OR(B902="",G902=""),"",I902-G902)</f>
        <v/>
      </c>
      <c r="K902" s="9">
        <f>IF(B902="","",IFERROR(AVERAGEIFS($B$2:$B$1001,$A$2:$A$1001,"&gt;="&amp;A902-6,$A$2:$A$1001,"&lt;="&amp;A902),""))</f>
        <v/>
      </c>
    </row>
    <row r="903">
      <c r="A903" s="7" t="n"/>
      <c r="B903" s="8" t="n"/>
      <c r="E903">
        <f>IF(C903="","",C903-Cfg_TDEE-IFERROR(D903,0))</f>
        <v/>
      </c>
      <c r="F903">
        <f>IF(E903="","",IFERROR(F902,0)+(-E903))</f>
        <v/>
      </c>
      <c r="G903" s="9">
        <f>IF(F903="","",F903/Cfg_FatConstant)</f>
        <v/>
      </c>
      <c r="H903" s="8">
        <f>IF(G903="","",Cfg_StartWeight-G903)</f>
        <v/>
      </c>
      <c r="I903" s="8">
        <f>IF(B903="","",Cfg_StartWeight-B903)</f>
        <v/>
      </c>
      <c r="J903" s="10">
        <f>IF(OR(B903="",G903=""),"",I903-G903)</f>
        <v/>
      </c>
      <c r="K903" s="9">
        <f>IF(B903="","",IFERROR(AVERAGEIFS($B$2:$B$1001,$A$2:$A$1001,"&gt;="&amp;A903-6,$A$2:$A$1001,"&lt;="&amp;A903),""))</f>
        <v/>
      </c>
    </row>
    <row r="904">
      <c r="A904" s="7" t="n"/>
      <c r="B904" s="8" t="n"/>
      <c r="E904">
        <f>IF(C904="","",C904-Cfg_TDEE-IFERROR(D904,0))</f>
        <v/>
      </c>
      <c r="F904">
        <f>IF(E904="","",IFERROR(F903,0)+(-E904))</f>
        <v/>
      </c>
      <c r="G904" s="9">
        <f>IF(F904="","",F904/Cfg_FatConstant)</f>
        <v/>
      </c>
      <c r="H904" s="8">
        <f>IF(G904="","",Cfg_StartWeight-G904)</f>
        <v/>
      </c>
      <c r="I904" s="8">
        <f>IF(B904="","",Cfg_StartWeight-B904)</f>
        <v/>
      </c>
      <c r="J904" s="10">
        <f>IF(OR(B904="",G904=""),"",I904-G904)</f>
        <v/>
      </c>
      <c r="K904" s="9">
        <f>IF(B904="","",IFERROR(AVERAGEIFS($B$2:$B$1001,$A$2:$A$1001,"&gt;="&amp;A904-6,$A$2:$A$1001,"&lt;="&amp;A904),""))</f>
        <v/>
      </c>
    </row>
    <row r="905">
      <c r="A905" s="7" t="n"/>
      <c r="B905" s="8" t="n"/>
      <c r="E905">
        <f>IF(C905="","",C905-Cfg_TDEE-IFERROR(D905,0))</f>
        <v/>
      </c>
      <c r="F905">
        <f>IF(E905="","",IFERROR(F904,0)+(-E905))</f>
        <v/>
      </c>
      <c r="G905" s="9">
        <f>IF(F905="","",F905/Cfg_FatConstant)</f>
        <v/>
      </c>
      <c r="H905" s="8">
        <f>IF(G905="","",Cfg_StartWeight-G905)</f>
        <v/>
      </c>
      <c r="I905" s="8">
        <f>IF(B905="","",Cfg_StartWeight-B905)</f>
        <v/>
      </c>
      <c r="J905" s="10">
        <f>IF(OR(B905="",G905=""),"",I905-G905)</f>
        <v/>
      </c>
      <c r="K905" s="9">
        <f>IF(B905="","",IFERROR(AVERAGEIFS($B$2:$B$1001,$A$2:$A$1001,"&gt;="&amp;A905-6,$A$2:$A$1001,"&lt;="&amp;A905),""))</f>
        <v/>
      </c>
    </row>
    <row r="906">
      <c r="A906" s="7" t="n"/>
      <c r="B906" s="8" t="n"/>
      <c r="E906">
        <f>IF(C906="","",C906-Cfg_TDEE-IFERROR(D906,0))</f>
        <v/>
      </c>
      <c r="F906">
        <f>IF(E906="","",IFERROR(F905,0)+(-E906))</f>
        <v/>
      </c>
      <c r="G906" s="9">
        <f>IF(F906="","",F906/Cfg_FatConstant)</f>
        <v/>
      </c>
      <c r="H906" s="8">
        <f>IF(G906="","",Cfg_StartWeight-G906)</f>
        <v/>
      </c>
      <c r="I906" s="8">
        <f>IF(B906="","",Cfg_StartWeight-B906)</f>
        <v/>
      </c>
      <c r="J906" s="10">
        <f>IF(OR(B906="",G906=""),"",I906-G906)</f>
        <v/>
      </c>
      <c r="K906" s="9">
        <f>IF(B906="","",IFERROR(AVERAGEIFS($B$2:$B$1001,$A$2:$A$1001,"&gt;="&amp;A906-6,$A$2:$A$1001,"&lt;="&amp;A906),""))</f>
        <v/>
      </c>
    </row>
    <row r="907">
      <c r="A907" s="7" t="n"/>
      <c r="B907" s="8" t="n"/>
      <c r="E907">
        <f>IF(C907="","",C907-Cfg_TDEE-IFERROR(D907,0))</f>
        <v/>
      </c>
      <c r="F907">
        <f>IF(E907="","",IFERROR(F906,0)+(-E907))</f>
        <v/>
      </c>
      <c r="G907" s="9">
        <f>IF(F907="","",F907/Cfg_FatConstant)</f>
        <v/>
      </c>
      <c r="H907" s="8">
        <f>IF(G907="","",Cfg_StartWeight-G907)</f>
        <v/>
      </c>
      <c r="I907" s="8">
        <f>IF(B907="","",Cfg_StartWeight-B907)</f>
        <v/>
      </c>
      <c r="J907" s="10">
        <f>IF(OR(B907="",G907=""),"",I907-G907)</f>
        <v/>
      </c>
      <c r="K907" s="9">
        <f>IF(B907="","",IFERROR(AVERAGEIFS($B$2:$B$1001,$A$2:$A$1001,"&gt;="&amp;A907-6,$A$2:$A$1001,"&lt;="&amp;A907),""))</f>
        <v/>
      </c>
    </row>
    <row r="908">
      <c r="A908" s="7" t="n"/>
      <c r="B908" s="8" t="n"/>
      <c r="E908">
        <f>IF(C908="","",C908-Cfg_TDEE-IFERROR(D908,0))</f>
        <v/>
      </c>
      <c r="F908">
        <f>IF(E908="","",IFERROR(F907,0)+(-E908))</f>
        <v/>
      </c>
      <c r="G908" s="9">
        <f>IF(F908="","",F908/Cfg_FatConstant)</f>
        <v/>
      </c>
      <c r="H908" s="8">
        <f>IF(G908="","",Cfg_StartWeight-G908)</f>
        <v/>
      </c>
      <c r="I908" s="8">
        <f>IF(B908="","",Cfg_StartWeight-B908)</f>
        <v/>
      </c>
      <c r="J908" s="10">
        <f>IF(OR(B908="",G908=""),"",I908-G908)</f>
        <v/>
      </c>
      <c r="K908" s="9">
        <f>IF(B908="","",IFERROR(AVERAGEIFS($B$2:$B$1001,$A$2:$A$1001,"&gt;="&amp;A908-6,$A$2:$A$1001,"&lt;="&amp;A908),""))</f>
        <v/>
      </c>
    </row>
    <row r="909">
      <c r="A909" s="7" t="n"/>
      <c r="B909" s="8" t="n"/>
      <c r="E909">
        <f>IF(C909="","",C909-Cfg_TDEE-IFERROR(D909,0))</f>
        <v/>
      </c>
      <c r="F909">
        <f>IF(E909="","",IFERROR(F908,0)+(-E909))</f>
        <v/>
      </c>
      <c r="G909" s="9">
        <f>IF(F909="","",F909/Cfg_FatConstant)</f>
        <v/>
      </c>
      <c r="H909" s="8">
        <f>IF(G909="","",Cfg_StartWeight-G909)</f>
        <v/>
      </c>
      <c r="I909" s="8">
        <f>IF(B909="","",Cfg_StartWeight-B909)</f>
        <v/>
      </c>
      <c r="J909" s="10">
        <f>IF(OR(B909="",G909=""),"",I909-G909)</f>
        <v/>
      </c>
      <c r="K909" s="9">
        <f>IF(B909="","",IFERROR(AVERAGEIFS($B$2:$B$1001,$A$2:$A$1001,"&gt;="&amp;A909-6,$A$2:$A$1001,"&lt;="&amp;A909),""))</f>
        <v/>
      </c>
    </row>
    <row r="910">
      <c r="A910" s="7" t="n"/>
      <c r="B910" s="8" t="n"/>
      <c r="E910">
        <f>IF(C910="","",C910-Cfg_TDEE-IFERROR(D910,0))</f>
        <v/>
      </c>
      <c r="F910">
        <f>IF(E910="","",IFERROR(F909,0)+(-E910))</f>
        <v/>
      </c>
      <c r="G910" s="9">
        <f>IF(F910="","",F910/Cfg_FatConstant)</f>
        <v/>
      </c>
      <c r="H910" s="8">
        <f>IF(G910="","",Cfg_StartWeight-G910)</f>
        <v/>
      </c>
      <c r="I910" s="8">
        <f>IF(B910="","",Cfg_StartWeight-B910)</f>
        <v/>
      </c>
      <c r="J910" s="10">
        <f>IF(OR(B910="",G910=""),"",I910-G910)</f>
        <v/>
      </c>
      <c r="K910" s="9">
        <f>IF(B910="","",IFERROR(AVERAGEIFS($B$2:$B$1001,$A$2:$A$1001,"&gt;="&amp;A910-6,$A$2:$A$1001,"&lt;="&amp;A910),""))</f>
        <v/>
      </c>
    </row>
    <row r="911">
      <c r="A911" s="7" t="n"/>
      <c r="B911" s="8" t="n"/>
      <c r="E911">
        <f>IF(C911="","",C911-Cfg_TDEE-IFERROR(D911,0))</f>
        <v/>
      </c>
      <c r="F911">
        <f>IF(E911="","",IFERROR(F910,0)+(-E911))</f>
        <v/>
      </c>
      <c r="G911" s="9">
        <f>IF(F911="","",F911/Cfg_FatConstant)</f>
        <v/>
      </c>
      <c r="H911" s="8">
        <f>IF(G911="","",Cfg_StartWeight-G911)</f>
        <v/>
      </c>
      <c r="I911" s="8">
        <f>IF(B911="","",Cfg_StartWeight-B911)</f>
        <v/>
      </c>
      <c r="J911" s="10">
        <f>IF(OR(B911="",G911=""),"",I911-G911)</f>
        <v/>
      </c>
      <c r="K911" s="9">
        <f>IF(B911="","",IFERROR(AVERAGEIFS($B$2:$B$1001,$A$2:$A$1001,"&gt;="&amp;A911-6,$A$2:$A$1001,"&lt;="&amp;A911),""))</f>
        <v/>
      </c>
    </row>
    <row r="912">
      <c r="A912" s="7" t="n"/>
      <c r="B912" s="8" t="n"/>
      <c r="E912">
        <f>IF(C912="","",C912-Cfg_TDEE-IFERROR(D912,0))</f>
        <v/>
      </c>
      <c r="F912">
        <f>IF(E912="","",IFERROR(F911,0)+(-E912))</f>
        <v/>
      </c>
      <c r="G912" s="9">
        <f>IF(F912="","",F912/Cfg_FatConstant)</f>
        <v/>
      </c>
      <c r="H912" s="8">
        <f>IF(G912="","",Cfg_StartWeight-G912)</f>
        <v/>
      </c>
      <c r="I912" s="8">
        <f>IF(B912="","",Cfg_StartWeight-B912)</f>
        <v/>
      </c>
      <c r="J912" s="10">
        <f>IF(OR(B912="",G912=""),"",I912-G912)</f>
        <v/>
      </c>
      <c r="K912" s="9">
        <f>IF(B912="","",IFERROR(AVERAGEIFS($B$2:$B$1001,$A$2:$A$1001,"&gt;="&amp;A912-6,$A$2:$A$1001,"&lt;="&amp;A912),""))</f>
        <v/>
      </c>
    </row>
    <row r="913">
      <c r="A913" s="7" t="n"/>
      <c r="B913" s="8" t="n"/>
      <c r="E913">
        <f>IF(C913="","",C913-Cfg_TDEE-IFERROR(D913,0))</f>
        <v/>
      </c>
      <c r="F913">
        <f>IF(E913="","",IFERROR(F912,0)+(-E913))</f>
        <v/>
      </c>
      <c r="G913" s="9">
        <f>IF(F913="","",F913/Cfg_FatConstant)</f>
        <v/>
      </c>
      <c r="H913" s="8">
        <f>IF(G913="","",Cfg_StartWeight-G913)</f>
        <v/>
      </c>
      <c r="I913" s="8">
        <f>IF(B913="","",Cfg_StartWeight-B913)</f>
        <v/>
      </c>
      <c r="J913" s="10">
        <f>IF(OR(B913="",G913=""),"",I913-G913)</f>
        <v/>
      </c>
      <c r="K913" s="9">
        <f>IF(B913="","",IFERROR(AVERAGEIFS($B$2:$B$1001,$A$2:$A$1001,"&gt;="&amp;A913-6,$A$2:$A$1001,"&lt;="&amp;A913),""))</f>
        <v/>
      </c>
    </row>
    <row r="914">
      <c r="A914" s="7" t="n"/>
      <c r="B914" s="8" t="n"/>
      <c r="E914">
        <f>IF(C914="","",C914-Cfg_TDEE-IFERROR(D914,0))</f>
        <v/>
      </c>
      <c r="F914">
        <f>IF(E914="","",IFERROR(F913,0)+(-E914))</f>
        <v/>
      </c>
      <c r="G914" s="9">
        <f>IF(F914="","",F914/Cfg_FatConstant)</f>
        <v/>
      </c>
      <c r="H914" s="8">
        <f>IF(G914="","",Cfg_StartWeight-G914)</f>
        <v/>
      </c>
      <c r="I914" s="8">
        <f>IF(B914="","",Cfg_StartWeight-B914)</f>
        <v/>
      </c>
      <c r="J914" s="10">
        <f>IF(OR(B914="",G914=""),"",I914-G914)</f>
        <v/>
      </c>
      <c r="K914" s="9">
        <f>IF(B914="","",IFERROR(AVERAGEIFS($B$2:$B$1001,$A$2:$A$1001,"&gt;="&amp;A914-6,$A$2:$A$1001,"&lt;="&amp;A914),""))</f>
        <v/>
      </c>
    </row>
    <row r="915">
      <c r="A915" s="7" t="n"/>
      <c r="B915" s="8" t="n"/>
      <c r="E915">
        <f>IF(C915="","",C915-Cfg_TDEE-IFERROR(D915,0))</f>
        <v/>
      </c>
      <c r="F915">
        <f>IF(E915="","",IFERROR(F914,0)+(-E915))</f>
        <v/>
      </c>
      <c r="G915" s="9">
        <f>IF(F915="","",F915/Cfg_FatConstant)</f>
        <v/>
      </c>
      <c r="H915" s="8">
        <f>IF(G915="","",Cfg_StartWeight-G915)</f>
        <v/>
      </c>
      <c r="I915" s="8">
        <f>IF(B915="","",Cfg_StartWeight-B915)</f>
        <v/>
      </c>
      <c r="J915" s="10">
        <f>IF(OR(B915="",G915=""),"",I915-G915)</f>
        <v/>
      </c>
      <c r="K915" s="9">
        <f>IF(B915="","",IFERROR(AVERAGEIFS($B$2:$B$1001,$A$2:$A$1001,"&gt;="&amp;A915-6,$A$2:$A$1001,"&lt;="&amp;A915),""))</f>
        <v/>
      </c>
    </row>
    <row r="916">
      <c r="A916" s="7" t="n"/>
      <c r="B916" s="8" t="n"/>
      <c r="E916">
        <f>IF(C916="","",C916-Cfg_TDEE-IFERROR(D916,0))</f>
        <v/>
      </c>
      <c r="F916">
        <f>IF(E916="","",IFERROR(F915,0)+(-E916))</f>
        <v/>
      </c>
      <c r="G916" s="9">
        <f>IF(F916="","",F916/Cfg_FatConstant)</f>
        <v/>
      </c>
      <c r="H916" s="8">
        <f>IF(G916="","",Cfg_StartWeight-G916)</f>
        <v/>
      </c>
      <c r="I916" s="8">
        <f>IF(B916="","",Cfg_StartWeight-B916)</f>
        <v/>
      </c>
      <c r="J916" s="10">
        <f>IF(OR(B916="",G916=""),"",I916-G916)</f>
        <v/>
      </c>
      <c r="K916" s="9">
        <f>IF(B916="","",IFERROR(AVERAGEIFS($B$2:$B$1001,$A$2:$A$1001,"&gt;="&amp;A916-6,$A$2:$A$1001,"&lt;="&amp;A916),""))</f>
        <v/>
      </c>
    </row>
    <row r="917">
      <c r="A917" s="7" t="n"/>
      <c r="B917" s="8" t="n"/>
      <c r="E917">
        <f>IF(C917="","",C917-Cfg_TDEE-IFERROR(D917,0))</f>
        <v/>
      </c>
      <c r="F917">
        <f>IF(E917="","",IFERROR(F916,0)+(-E917))</f>
        <v/>
      </c>
      <c r="G917" s="9">
        <f>IF(F917="","",F917/Cfg_FatConstant)</f>
        <v/>
      </c>
      <c r="H917" s="8">
        <f>IF(G917="","",Cfg_StartWeight-G917)</f>
        <v/>
      </c>
      <c r="I917" s="8">
        <f>IF(B917="","",Cfg_StartWeight-B917)</f>
        <v/>
      </c>
      <c r="J917" s="10">
        <f>IF(OR(B917="",G917=""),"",I917-G917)</f>
        <v/>
      </c>
      <c r="K917" s="9">
        <f>IF(B917="","",IFERROR(AVERAGEIFS($B$2:$B$1001,$A$2:$A$1001,"&gt;="&amp;A917-6,$A$2:$A$1001,"&lt;="&amp;A917),""))</f>
        <v/>
      </c>
    </row>
    <row r="918">
      <c r="A918" s="7" t="n"/>
      <c r="B918" s="8" t="n"/>
      <c r="E918">
        <f>IF(C918="","",C918-Cfg_TDEE-IFERROR(D918,0))</f>
        <v/>
      </c>
      <c r="F918">
        <f>IF(E918="","",IFERROR(F917,0)+(-E918))</f>
        <v/>
      </c>
      <c r="G918" s="9">
        <f>IF(F918="","",F918/Cfg_FatConstant)</f>
        <v/>
      </c>
      <c r="H918" s="8">
        <f>IF(G918="","",Cfg_StartWeight-G918)</f>
        <v/>
      </c>
      <c r="I918" s="8">
        <f>IF(B918="","",Cfg_StartWeight-B918)</f>
        <v/>
      </c>
      <c r="J918" s="10">
        <f>IF(OR(B918="",G918=""),"",I918-G918)</f>
        <v/>
      </c>
      <c r="K918" s="9">
        <f>IF(B918="","",IFERROR(AVERAGEIFS($B$2:$B$1001,$A$2:$A$1001,"&gt;="&amp;A918-6,$A$2:$A$1001,"&lt;="&amp;A918),""))</f>
        <v/>
      </c>
    </row>
    <row r="919">
      <c r="A919" s="7" t="n"/>
      <c r="B919" s="8" t="n"/>
      <c r="E919">
        <f>IF(C919="","",C919-Cfg_TDEE-IFERROR(D919,0))</f>
        <v/>
      </c>
      <c r="F919">
        <f>IF(E919="","",IFERROR(F918,0)+(-E919))</f>
        <v/>
      </c>
      <c r="G919" s="9">
        <f>IF(F919="","",F919/Cfg_FatConstant)</f>
        <v/>
      </c>
      <c r="H919" s="8">
        <f>IF(G919="","",Cfg_StartWeight-G919)</f>
        <v/>
      </c>
      <c r="I919" s="8">
        <f>IF(B919="","",Cfg_StartWeight-B919)</f>
        <v/>
      </c>
      <c r="J919" s="10">
        <f>IF(OR(B919="",G919=""),"",I919-G919)</f>
        <v/>
      </c>
      <c r="K919" s="9">
        <f>IF(B919="","",IFERROR(AVERAGEIFS($B$2:$B$1001,$A$2:$A$1001,"&gt;="&amp;A919-6,$A$2:$A$1001,"&lt;="&amp;A919),""))</f>
        <v/>
      </c>
    </row>
    <row r="920">
      <c r="A920" s="7" t="n"/>
      <c r="B920" s="8" t="n"/>
      <c r="E920">
        <f>IF(C920="","",C920-Cfg_TDEE-IFERROR(D920,0))</f>
        <v/>
      </c>
      <c r="F920">
        <f>IF(E920="","",IFERROR(F919,0)+(-E920))</f>
        <v/>
      </c>
      <c r="G920" s="9">
        <f>IF(F920="","",F920/Cfg_FatConstant)</f>
        <v/>
      </c>
      <c r="H920" s="8">
        <f>IF(G920="","",Cfg_StartWeight-G920)</f>
        <v/>
      </c>
      <c r="I920" s="8">
        <f>IF(B920="","",Cfg_StartWeight-B920)</f>
        <v/>
      </c>
      <c r="J920" s="10">
        <f>IF(OR(B920="",G920=""),"",I920-G920)</f>
        <v/>
      </c>
      <c r="K920" s="9">
        <f>IF(B920="","",IFERROR(AVERAGEIFS($B$2:$B$1001,$A$2:$A$1001,"&gt;="&amp;A920-6,$A$2:$A$1001,"&lt;="&amp;A920),""))</f>
        <v/>
      </c>
    </row>
    <row r="921">
      <c r="A921" s="7" t="n"/>
      <c r="B921" s="8" t="n"/>
      <c r="E921">
        <f>IF(C921="","",C921-Cfg_TDEE-IFERROR(D921,0))</f>
        <v/>
      </c>
      <c r="F921">
        <f>IF(E921="","",IFERROR(F920,0)+(-E921))</f>
        <v/>
      </c>
      <c r="G921" s="9">
        <f>IF(F921="","",F921/Cfg_FatConstant)</f>
        <v/>
      </c>
      <c r="H921" s="8">
        <f>IF(G921="","",Cfg_StartWeight-G921)</f>
        <v/>
      </c>
      <c r="I921" s="8">
        <f>IF(B921="","",Cfg_StartWeight-B921)</f>
        <v/>
      </c>
      <c r="J921" s="10">
        <f>IF(OR(B921="",G921=""),"",I921-G921)</f>
        <v/>
      </c>
      <c r="K921" s="9">
        <f>IF(B921="","",IFERROR(AVERAGEIFS($B$2:$B$1001,$A$2:$A$1001,"&gt;="&amp;A921-6,$A$2:$A$1001,"&lt;="&amp;A921),""))</f>
        <v/>
      </c>
    </row>
    <row r="922">
      <c r="A922" s="7" t="n"/>
      <c r="B922" s="8" t="n"/>
      <c r="E922">
        <f>IF(C922="","",C922-Cfg_TDEE-IFERROR(D922,0))</f>
        <v/>
      </c>
      <c r="F922">
        <f>IF(E922="","",IFERROR(F921,0)+(-E922))</f>
        <v/>
      </c>
      <c r="G922" s="9">
        <f>IF(F922="","",F922/Cfg_FatConstant)</f>
        <v/>
      </c>
      <c r="H922" s="8">
        <f>IF(G922="","",Cfg_StartWeight-G922)</f>
        <v/>
      </c>
      <c r="I922" s="8">
        <f>IF(B922="","",Cfg_StartWeight-B922)</f>
        <v/>
      </c>
      <c r="J922" s="10">
        <f>IF(OR(B922="",G922=""),"",I922-G922)</f>
        <v/>
      </c>
      <c r="K922" s="9">
        <f>IF(B922="","",IFERROR(AVERAGEIFS($B$2:$B$1001,$A$2:$A$1001,"&gt;="&amp;A922-6,$A$2:$A$1001,"&lt;="&amp;A922),""))</f>
        <v/>
      </c>
    </row>
    <row r="923">
      <c r="A923" s="7" t="n"/>
      <c r="B923" s="8" t="n"/>
      <c r="E923">
        <f>IF(C923="","",C923-Cfg_TDEE-IFERROR(D923,0))</f>
        <v/>
      </c>
      <c r="F923">
        <f>IF(E923="","",IFERROR(F922,0)+(-E923))</f>
        <v/>
      </c>
      <c r="G923" s="9">
        <f>IF(F923="","",F923/Cfg_FatConstant)</f>
        <v/>
      </c>
      <c r="H923" s="8">
        <f>IF(G923="","",Cfg_StartWeight-G923)</f>
        <v/>
      </c>
      <c r="I923" s="8">
        <f>IF(B923="","",Cfg_StartWeight-B923)</f>
        <v/>
      </c>
      <c r="J923" s="10">
        <f>IF(OR(B923="",G923=""),"",I923-G923)</f>
        <v/>
      </c>
      <c r="K923" s="9">
        <f>IF(B923="","",IFERROR(AVERAGEIFS($B$2:$B$1001,$A$2:$A$1001,"&gt;="&amp;A923-6,$A$2:$A$1001,"&lt;="&amp;A923),""))</f>
        <v/>
      </c>
    </row>
    <row r="924">
      <c r="A924" s="7" t="n"/>
      <c r="B924" s="8" t="n"/>
      <c r="E924">
        <f>IF(C924="","",C924-Cfg_TDEE-IFERROR(D924,0))</f>
        <v/>
      </c>
      <c r="F924">
        <f>IF(E924="","",IFERROR(F923,0)+(-E924))</f>
        <v/>
      </c>
      <c r="G924" s="9">
        <f>IF(F924="","",F924/Cfg_FatConstant)</f>
        <v/>
      </c>
      <c r="H924" s="8">
        <f>IF(G924="","",Cfg_StartWeight-G924)</f>
        <v/>
      </c>
      <c r="I924" s="8">
        <f>IF(B924="","",Cfg_StartWeight-B924)</f>
        <v/>
      </c>
      <c r="J924" s="10">
        <f>IF(OR(B924="",G924=""),"",I924-G924)</f>
        <v/>
      </c>
      <c r="K924" s="9">
        <f>IF(B924="","",IFERROR(AVERAGEIFS($B$2:$B$1001,$A$2:$A$1001,"&gt;="&amp;A924-6,$A$2:$A$1001,"&lt;="&amp;A924),""))</f>
        <v/>
      </c>
    </row>
    <row r="925">
      <c r="A925" s="7" t="n"/>
      <c r="B925" s="8" t="n"/>
      <c r="E925">
        <f>IF(C925="","",C925-Cfg_TDEE-IFERROR(D925,0))</f>
        <v/>
      </c>
      <c r="F925">
        <f>IF(E925="","",IFERROR(F924,0)+(-E925))</f>
        <v/>
      </c>
      <c r="G925" s="9">
        <f>IF(F925="","",F925/Cfg_FatConstant)</f>
        <v/>
      </c>
      <c r="H925" s="8">
        <f>IF(G925="","",Cfg_StartWeight-G925)</f>
        <v/>
      </c>
      <c r="I925" s="8">
        <f>IF(B925="","",Cfg_StartWeight-B925)</f>
        <v/>
      </c>
      <c r="J925" s="10">
        <f>IF(OR(B925="",G925=""),"",I925-G925)</f>
        <v/>
      </c>
      <c r="K925" s="9">
        <f>IF(B925="","",IFERROR(AVERAGEIFS($B$2:$B$1001,$A$2:$A$1001,"&gt;="&amp;A925-6,$A$2:$A$1001,"&lt;="&amp;A925),""))</f>
        <v/>
      </c>
    </row>
    <row r="926">
      <c r="A926" s="7" t="n"/>
      <c r="B926" s="8" t="n"/>
      <c r="E926">
        <f>IF(C926="","",C926-Cfg_TDEE-IFERROR(D926,0))</f>
        <v/>
      </c>
      <c r="F926">
        <f>IF(E926="","",IFERROR(F925,0)+(-E926))</f>
        <v/>
      </c>
      <c r="G926" s="9">
        <f>IF(F926="","",F926/Cfg_FatConstant)</f>
        <v/>
      </c>
      <c r="H926" s="8">
        <f>IF(G926="","",Cfg_StartWeight-G926)</f>
        <v/>
      </c>
      <c r="I926" s="8">
        <f>IF(B926="","",Cfg_StartWeight-B926)</f>
        <v/>
      </c>
      <c r="J926" s="10">
        <f>IF(OR(B926="",G926=""),"",I926-G926)</f>
        <v/>
      </c>
      <c r="K926" s="9">
        <f>IF(B926="","",IFERROR(AVERAGEIFS($B$2:$B$1001,$A$2:$A$1001,"&gt;="&amp;A926-6,$A$2:$A$1001,"&lt;="&amp;A926),""))</f>
        <v/>
      </c>
    </row>
    <row r="927">
      <c r="A927" s="7" t="n"/>
      <c r="B927" s="8" t="n"/>
      <c r="E927">
        <f>IF(C927="","",C927-Cfg_TDEE-IFERROR(D927,0))</f>
        <v/>
      </c>
      <c r="F927">
        <f>IF(E927="","",IFERROR(F926,0)+(-E927))</f>
        <v/>
      </c>
      <c r="G927" s="9">
        <f>IF(F927="","",F927/Cfg_FatConstant)</f>
        <v/>
      </c>
      <c r="H927" s="8">
        <f>IF(G927="","",Cfg_StartWeight-G927)</f>
        <v/>
      </c>
      <c r="I927" s="8">
        <f>IF(B927="","",Cfg_StartWeight-B927)</f>
        <v/>
      </c>
      <c r="J927" s="10">
        <f>IF(OR(B927="",G927=""),"",I927-G927)</f>
        <v/>
      </c>
      <c r="K927" s="9">
        <f>IF(B927="","",IFERROR(AVERAGEIFS($B$2:$B$1001,$A$2:$A$1001,"&gt;="&amp;A927-6,$A$2:$A$1001,"&lt;="&amp;A927),""))</f>
        <v/>
      </c>
    </row>
    <row r="928">
      <c r="A928" s="7" t="n"/>
      <c r="B928" s="8" t="n"/>
      <c r="E928">
        <f>IF(C928="","",C928-Cfg_TDEE-IFERROR(D928,0))</f>
        <v/>
      </c>
      <c r="F928">
        <f>IF(E928="","",IFERROR(F927,0)+(-E928))</f>
        <v/>
      </c>
      <c r="G928" s="9">
        <f>IF(F928="","",F928/Cfg_FatConstant)</f>
        <v/>
      </c>
      <c r="H928" s="8">
        <f>IF(G928="","",Cfg_StartWeight-G928)</f>
        <v/>
      </c>
      <c r="I928" s="8">
        <f>IF(B928="","",Cfg_StartWeight-B928)</f>
        <v/>
      </c>
      <c r="J928" s="10">
        <f>IF(OR(B928="",G928=""),"",I928-G928)</f>
        <v/>
      </c>
      <c r="K928" s="9">
        <f>IF(B928="","",IFERROR(AVERAGEIFS($B$2:$B$1001,$A$2:$A$1001,"&gt;="&amp;A928-6,$A$2:$A$1001,"&lt;="&amp;A928),""))</f>
        <v/>
      </c>
    </row>
    <row r="929">
      <c r="A929" s="7" t="n"/>
      <c r="B929" s="8" t="n"/>
      <c r="E929">
        <f>IF(C929="","",C929-Cfg_TDEE-IFERROR(D929,0))</f>
        <v/>
      </c>
      <c r="F929">
        <f>IF(E929="","",IFERROR(F928,0)+(-E929))</f>
        <v/>
      </c>
      <c r="G929" s="9">
        <f>IF(F929="","",F929/Cfg_FatConstant)</f>
        <v/>
      </c>
      <c r="H929" s="8">
        <f>IF(G929="","",Cfg_StartWeight-G929)</f>
        <v/>
      </c>
      <c r="I929" s="8">
        <f>IF(B929="","",Cfg_StartWeight-B929)</f>
        <v/>
      </c>
      <c r="J929" s="10">
        <f>IF(OR(B929="",G929=""),"",I929-G929)</f>
        <v/>
      </c>
      <c r="K929" s="9">
        <f>IF(B929="","",IFERROR(AVERAGEIFS($B$2:$B$1001,$A$2:$A$1001,"&gt;="&amp;A929-6,$A$2:$A$1001,"&lt;="&amp;A929),""))</f>
        <v/>
      </c>
    </row>
    <row r="930">
      <c r="A930" s="7" t="n"/>
      <c r="B930" s="8" t="n"/>
      <c r="E930">
        <f>IF(C930="","",C930-Cfg_TDEE-IFERROR(D930,0))</f>
        <v/>
      </c>
      <c r="F930">
        <f>IF(E930="","",IFERROR(F929,0)+(-E930))</f>
        <v/>
      </c>
      <c r="G930" s="9">
        <f>IF(F930="","",F930/Cfg_FatConstant)</f>
        <v/>
      </c>
      <c r="H930" s="8">
        <f>IF(G930="","",Cfg_StartWeight-G930)</f>
        <v/>
      </c>
      <c r="I930" s="8">
        <f>IF(B930="","",Cfg_StartWeight-B930)</f>
        <v/>
      </c>
      <c r="J930" s="10">
        <f>IF(OR(B930="",G930=""),"",I930-G930)</f>
        <v/>
      </c>
      <c r="K930" s="9">
        <f>IF(B930="","",IFERROR(AVERAGEIFS($B$2:$B$1001,$A$2:$A$1001,"&gt;="&amp;A930-6,$A$2:$A$1001,"&lt;="&amp;A930),""))</f>
        <v/>
      </c>
    </row>
    <row r="931">
      <c r="A931" s="7" t="n"/>
      <c r="B931" s="8" t="n"/>
      <c r="E931">
        <f>IF(C931="","",C931-Cfg_TDEE-IFERROR(D931,0))</f>
        <v/>
      </c>
      <c r="F931">
        <f>IF(E931="","",IFERROR(F930,0)+(-E931))</f>
        <v/>
      </c>
      <c r="G931" s="9">
        <f>IF(F931="","",F931/Cfg_FatConstant)</f>
        <v/>
      </c>
      <c r="H931" s="8">
        <f>IF(G931="","",Cfg_StartWeight-G931)</f>
        <v/>
      </c>
      <c r="I931" s="8">
        <f>IF(B931="","",Cfg_StartWeight-B931)</f>
        <v/>
      </c>
      <c r="J931" s="10">
        <f>IF(OR(B931="",G931=""),"",I931-G931)</f>
        <v/>
      </c>
      <c r="K931" s="9">
        <f>IF(B931="","",IFERROR(AVERAGEIFS($B$2:$B$1001,$A$2:$A$1001,"&gt;="&amp;A931-6,$A$2:$A$1001,"&lt;="&amp;A931),""))</f>
        <v/>
      </c>
    </row>
    <row r="932">
      <c r="A932" s="7" t="n"/>
      <c r="B932" s="8" t="n"/>
      <c r="E932">
        <f>IF(C932="","",C932-Cfg_TDEE-IFERROR(D932,0))</f>
        <v/>
      </c>
      <c r="F932">
        <f>IF(E932="","",IFERROR(F931,0)+(-E932))</f>
        <v/>
      </c>
      <c r="G932" s="9">
        <f>IF(F932="","",F932/Cfg_FatConstant)</f>
        <v/>
      </c>
      <c r="H932" s="8">
        <f>IF(G932="","",Cfg_StartWeight-G932)</f>
        <v/>
      </c>
      <c r="I932" s="8">
        <f>IF(B932="","",Cfg_StartWeight-B932)</f>
        <v/>
      </c>
      <c r="J932" s="10">
        <f>IF(OR(B932="",G932=""),"",I932-G932)</f>
        <v/>
      </c>
      <c r="K932" s="9">
        <f>IF(B932="","",IFERROR(AVERAGEIFS($B$2:$B$1001,$A$2:$A$1001,"&gt;="&amp;A932-6,$A$2:$A$1001,"&lt;="&amp;A932),""))</f>
        <v/>
      </c>
    </row>
    <row r="933">
      <c r="A933" s="7" t="n"/>
      <c r="B933" s="8" t="n"/>
      <c r="E933">
        <f>IF(C933="","",C933-Cfg_TDEE-IFERROR(D933,0))</f>
        <v/>
      </c>
      <c r="F933">
        <f>IF(E933="","",IFERROR(F932,0)+(-E933))</f>
        <v/>
      </c>
      <c r="G933" s="9">
        <f>IF(F933="","",F933/Cfg_FatConstant)</f>
        <v/>
      </c>
      <c r="H933" s="8">
        <f>IF(G933="","",Cfg_StartWeight-G933)</f>
        <v/>
      </c>
      <c r="I933" s="8">
        <f>IF(B933="","",Cfg_StartWeight-B933)</f>
        <v/>
      </c>
      <c r="J933" s="10">
        <f>IF(OR(B933="",G933=""),"",I933-G933)</f>
        <v/>
      </c>
      <c r="K933" s="9">
        <f>IF(B933="","",IFERROR(AVERAGEIFS($B$2:$B$1001,$A$2:$A$1001,"&gt;="&amp;A933-6,$A$2:$A$1001,"&lt;="&amp;A933),""))</f>
        <v/>
      </c>
    </row>
    <row r="934">
      <c r="A934" s="7" t="n"/>
      <c r="B934" s="8" t="n"/>
      <c r="E934">
        <f>IF(C934="","",C934-Cfg_TDEE-IFERROR(D934,0))</f>
        <v/>
      </c>
      <c r="F934">
        <f>IF(E934="","",IFERROR(F933,0)+(-E934))</f>
        <v/>
      </c>
      <c r="G934" s="9">
        <f>IF(F934="","",F934/Cfg_FatConstant)</f>
        <v/>
      </c>
      <c r="H934" s="8">
        <f>IF(G934="","",Cfg_StartWeight-G934)</f>
        <v/>
      </c>
      <c r="I934" s="8">
        <f>IF(B934="","",Cfg_StartWeight-B934)</f>
        <v/>
      </c>
      <c r="J934" s="10">
        <f>IF(OR(B934="",G934=""),"",I934-G934)</f>
        <v/>
      </c>
      <c r="K934" s="9">
        <f>IF(B934="","",IFERROR(AVERAGEIFS($B$2:$B$1001,$A$2:$A$1001,"&gt;="&amp;A934-6,$A$2:$A$1001,"&lt;="&amp;A934),""))</f>
        <v/>
      </c>
    </row>
    <row r="935">
      <c r="A935" s="7" t="n"/>
      <c r="B935" s="8" t="n"/>
      <c r="E935">
        <f>IF(C935="","",C935-Cfg_TDEE-IFERROR(D935,0))</f>
        <v/>
      </c>
      <c r="F935">
        <f>IF(E935="","",IFERROR(F934,0)+(-E935))</f>
        <v/>
      </c>
      <c r="G935" s="9">
        <f>IF(F935="","",F935/Cfg_FatConstant)</f>
        <v/>
      </c>
      <c r="H935" s="8">
        <f>IF(G935="","",Cfg_StartWeight-G935)</f>
        <v/>
      </c>
      <c r="I935" s="8">
        <f>IF(B935="","",Cfg_StartWeight-B935)</f>
        <v/>
      </c>
      <c r="J935" s="10">
        <f>IF(OR(B935="",G935=""),"",I935-G935)</f>
        <v/>
      </c>
      <c r="K935" s="9">
        <f>IF(B935="","",IFERROR(AVERAGEIFS($B$2:$B$1001,$A$2:$A$1001,"&gt;="&amp;A935-6,$A$2:$A$1001,"&lt;="&amp;A935),""))</f>
        <v/>
      </c>
    </row>
    <row r="936">
      <c r="A936" s="7" t="n"/>
      <c r="B936" s="8" t="n"/>
      <c r="E936">
        <f>IF(C936="","",C936-Cfg_TDEE-IFERROR(D936,0))</f>
        <v/>
      </c>
      <c r="F936">
        <f>IF(E936="","",IFERROR(F935,0)+(-E936))</f>
        <v/>
      </c>
      <c r="G936" s="9">
        <f>IF(F936="","",F936/Cfg_FatConstant)</f>
        <v/>
      </c>
      <c r="H936" s="8">
        <f>IF(G936="","",Cfg_StartWeight-G936)</f>
        <v/>
      </c>
      <c r="I936" s="8">
        <f>IF(B936="","",Cfg_StartWeight-B936)</f>
        <v/>
      </c>
      <c r="J936" s="10">
        <f>IF(OR(B936="",G936=""),"",I936-G936)</f>
        <v/>
      </c>
      <c r="K936" s="9">
        <f>IF(B936="","",IFERROR(AVERAGEIFS($B$2:$B$1001,$A$2:$A$1001,"&gt;="&amp;A936-6,$A$2:$A$1001,"&lt;="&amp;A936),""))</f>
        <v/>
      </c>
    </row>
    <row r="937">
      <c r="A937" s="7" t="n"/>
      <c r="B937" s="8" t="n"/>
      <c r="E937">
        <f>IF(C937="","",C937-Cfg_TDEE-IFERROR(D937,0))</f>
        <v/>
      </c>
      <c r="F937">
        <f>IF(E937="","",IFERROR(F936,0)+(-E937))</f>
        <v/>
      </c>
      <c r="G937" s="9">
        <f>IF(F937="","",F937/Cfg_FatConstant)</f>
        <v/>
      </c>
      <c r="H937" s="8">
        <f>IF(G937="","",Cfg_StartWeight-G937)</f>
        <v/>
      </c>
      <c r="I937" s="8">
        <f>IF(B937="","",Cfg_StartWeight-B937)</f>
        <v/>
      </c>
      <c r="J937" s="10">
        <f>IF(OR(B937="",G937=""),"",I937-G937)</f>
        <v/>
      </c>
      <c r="K937" s="9">
        <f>IF(B937="","",IFERROR(AVERAGEIFS($B$2:$B$1001,$A$2:$A$1001,"&gt;="&amp;A937-6,$A$2:$A$1001,"&lt;="&amp;A937),""))</f>
        <v/>
      </c>
    </row>
    <row r="938">
      <c r="A938" s="7" t="n"/>
      <c r="B938" s="8" t="n"/>
      <c r="E938">
        <f>IF(C938="","",C938-Cfg_TDEE-IFERROR(D938,0))</f>
        <v/>
      </c>
      <c r="F938">
        <f>IF(E938="","",IFERROR(F937,0)+(-E938))</f>
        <v/>
      </c>
      <c r="G938" s="9">
        <f>IF(F938="","",F938/Cfg_FatConstant)</f>
        <v/>
      </c>
      <c r="H938" s="8">
        <f>IF(G938="","",Cfg_StartWeight-G938)</f>
        <v/>
      </c>
      <c r="I938" s="8">
        <f>IF(B938="","",Cfg_StartWeight-B938)</f>
        <v/>
      </c>
      <c r="J938" s="10">
        <f>IF(OR(B938="",G938=""),"",I938-G938)</f>
        <v/>
      </c>
      <c r="K938" s="9">
        <f>IF(B938="","",IFERROR(AVERAGEIFS($B$2:$B$1001,$A$2:$A$1001,"&gt;="&amp;A938-6,$A$2:$A$1001,"&lt;="&amp;A938),""))</f>
        <v/>
      </c>
    </row>
    <row r="939">
      <c r="A939" s="7" t="n"/>
      <c r="B939" s="8" t="n"/>
      <c r="E939">
        <f>IF(C939="","",C939-Cfg_TDEE-IFERROR(D939,0))</f>
        <v/>
      </c>
      <c r="F939">
        <f>IF(E939="","",IFERROR(F938,0)+(-E939))</f>
        <v/>
      </c>
      <c r="G939" s="9">
        <f>IF(F939="","",F939/Cfg_FatConstant)</f>
        <v/>
      </c>
      <c r="H939" s="8">
        <f>IF(G939="","",Cfg_StartWeight-G939)</f>
        <v/>
      </c>
      <c r="I939" s="8">
        <f>IF(B939="","",Cfg_StartWeight-B939)</f>
        <v/>
      </c>
      <c r="J939" s="10">
        <f>IF(OR(B939="",G939=""),"",I939-G939)</f>
        <v/>
      </c>
      <c r="K939" s="9">
        <f>IF(B939="","",IFERROR(AVERAGEIFS($B$2:$B$1001,$A$2:$A$1001,"&gt;="&amp;A939-6,$A$2:$A$1001,"&lt;="&amp;A939),""))</f>
        <v/>
      </c>
    </row>
    <row r="940">
      <c r="A940" s="7" t="n"/>
      <c r="B940" s="8" t="n"/>
      <c r="E940">
        <f>IF(C940="","",C940-Cfg_TDEE-IFERROR(D940,0))</f>
        <v/>
      </c>
      <c r="F940">
        <f>IF(E940="","",IFERROR(F939,0)+(-E940))</f>
        <v/>
      </c>
      <c r="G940" s="9">
        <f>IF(F940="","",F940/Cfg_FatConstant)</f>
        <v/>
      </c>
      <c r="H940" s="8">
        <f>IF(G940="","",Cfg_StartWeight-G940)</f>
        <v/>
      </c>
      <c r="I940" s="8">
        <f>IF(B940="","",Cfg_StartWeight-B940)</f>
        <v/>
      </c>
      <c r="J940" s="10">
        <f>IF(OR(B940="",G940=""),"",I940-G940)</f>
        <v/>
      </c>
      <c r="K940" s="9">
        <f>IF(B940="","",IFERROR(AVERAGEIFS($B$2:$B$1001,$A$2:$A$1001,"&gt;="&amp;A940-6,$A$2:$A$1001,"&lt;="&amp;A940),""))</f>
        <v/>
      </c>
    </row>
    <row r="941">
      <c r="A941" s="7" t="n"/>
      <c r="B941" s="8" t="n"/>
      <c r="E941">
        <f>IF(C941="","",C941-Cfg_TDEE-IFERROR(D941,0))</f>
        <v/>
      </c>
      <c r="F941">
        <f>IF(E941="","",IFERROR(F940,0)+(-E941))</f>
        <v/>
      </c>
      <c r="G941" s="9">
        <f>IF(F941="","",F941/Cfg_FatConstant)</f>
        <v/>
      </c>
      <c r="H941" s="8">
        <f>IF(G941="","",Cfg_StartWeight-G941)</f>
        <v/>
      </c>
      <c r="I941" s="8">
        <f>IF(B941="","",Cfg_StartWeight-B941)</f>
        <v/>
      </c>
      <c r="J941" s="10">
        <f>IF(OR(B941="",G941=""),"",I941-G941)</f>
        <v/>
      </c>
      <c r="K941" s="9">
        <f>IF(B941="","",IFERROR(AVERAGEIFS($B$2:$B$1001,$A$2:$A$1001,"&gt;="&amp;A941-6,$A$2:$A$1001,"&lt;="&amp;A941),""))</f>
        <v/>
      </c>
    </row>
    <row r="942">
      <c r="A942" s="7" t="n"/>
      <c r="B942" s="8" t="n"/>
      <c r="E942">
        <f>IF(C942="","",C942-Cfg_TDEE-IFERROR(D942,0))</f>
        <v/>
      </c>
      <c r="F942">
        <f>IF(E942="","",IFERROR(F941,0)+(-E942))</f>
        <v/>
      </c>
      <c r="G942" s="9">
        <f>IF(F942="","",F942/Cfg_FatConstant)</f>
        <v/>
      </c>
      <c r="H942" s="8">
        <f>IF(G942="","",Cfg_StartWeight-G942)</f>
        <v/>
      </c>
      <c r="I942" s="8">
        <f>IF(B942="","",Cfg_StartWeight-B942)</f>
        <v/>
      </c>
      <c r="J942" s="10">
        <f>IF(OR(B942="",G942=""),"",I942-G942)</f>
        <v/>
      </c>
      <c r="K942" s="9">
        <f>IF(B942="","",IFERROR(AVERAGEIFS($B$2:$B$1001,$A$2:$A$1001,"&gt;="&amp;A942-6,$A$2:$A$1001,"&lt;="&amp;A942),""))</f>
        <v/>
      </c>
    </row>
    <row r="943">
      <c r="A943" s="7" t="n"/>
      <c r="B943" s="8" t="n"/>
      <c r="E943">
        <f>IF(C943="","",C943-Cfg_TDEE-IFERROR(D943,0))</f>
        <v/>
      </c>
      <c r="F943">
        <f>IF(E943="","",IFERROR(F942,0)+(-E943))</f>
        <v/>
      </c>
      <c r="G943" s="9">
        <f>IF(F943="","",F943/Cfg_FatConstant)</f>
        <v/>
      </c>
      <c r="H943" s="8">
        <f>IF(G943="","",Cfg_StartWeight-G943)</f>
        <v/>
      </c>
      <c r="I943" s="8">
        <f>IF(B943="","",Cfg_StartWeight-B943)</f>
        <v/>
      </c>
      <c r="J943" s="10">
        <f>IF(OR(B943="",G943=""),"",I943-G943)</f>
        <v/>
      </c>
      <c r="K943" s="9">
        <f>IF(B943="","",IFERROR(AVERAGEIFS($B$2:$B$1001,$A$2:$A$1001,"&gt;="&amp;A943-6,$A$2:$A$1001,"&lt;="&amp;A943),""))</f>
        <v/>
      </c>
    </row>
    <row r="944">
      <c r="A944" s="7" t="n"/>
      <c r="B944" s="8" t="n"/>
      <c r="E944">
        <f>IF(C944="","",C944-Cfg_TDEE-IFERROR(D944,0))</f>
        <v/>
      </c>
      <c r="F944">
        <f>IF(E944="","",IFERROR(F943,0)+(-E944))</f>
        <v/>
      </c>
      <c r="G944" s="9">
        <f>IF(F944="","",F944/Cfg_FatConstant)</f>
        <v/>
      </c>
      <c r="H944" s="8">
        <f>IF(G944="","",Cfg_StartWeight-G944)</f>
        <v/>
      </c>
      <c r="I944" s="8">
        <f>IF(B944="","",Cfg_StartWeight-B944)</f>
        <v/>
      </c>
      <c r="J944" s="10">
        <f>IF(OR(B944="",G944=""),"",I944-G944)</f>
        <v/>
      </c>
      <c r="K944" s="9">
        <f>IF(B944="","",IFERROR(AVERAGEIFS($B$2:$B$1001,$A$2:$A$1001,"&gt;="&amp;A944-6,$A$2:$A$1001,"&lt;="&amp;A944),""))</f>
        <v/>
      </c>
    </row>
    <row r="945">
      <c r="A945" s="7" t="n"/>
      <c r="B945" s="8" t="n"/>
      <c r="E945">
        <f>IF(C945="","",C945-Cfg_TDEE-IFERROR(D945,0))</f>
        <v/>
      </c>
      <c r="F945">
        <f>IF(E945="","",IFERROR(F944,0)+(-E945))</f>
        <v/>
      </c>
      <c r="G945" s="9">
        <f>IF(F945="","",F945/Cfg_FatConstant)</f>
        <v/>
      </c>
      <c r="H945" s="8">
        <f>IF(G945="","",Cfg_StartWeight-G945)</f>
        <v/>
      </c>
      <c r="I945" s="8">
        <f>IF(B945="","",Cfg_StartWeight-B945)</f>
        <v/>
      </c>
      <c r="J945" s="10">
        <f>IF(OR(B945="",G945=""),"",I945-G945)</f>
        <v/>
      </c>
      <c r="K945" s="9">
        <f>IF(B945="","",IFERROR(AVERAGEIFS($B$2:$B$1001,$A$2:$A$1001,"&gt;="&amp;A945-6,$A$2:$A$1001,"&lt;="&amp;A945),""))</f>
        <v/>
      </c>
    </row>
    <row r="946">
      <c r="A946" s="7" t="n"/>
      <c r="B946" s="8" t="n"/>
      <c r="E946">
        <f>IF(C946="","",C946-Cfg_TDEE-IFERROR(D946,0))</f>
        <v/>
      </c>
      <c r="F946">
        <f>IF(E946="","",IFERROR(F945,0)+(-E946))</f>
        <v/>
      </c>
      <c r="G946" s="9">
        <f>IF(F946="","",F946/Cfg_FatConstant)</f>
        <v/>
      </c>
      <c r="H946" s="8">
        <f>IF(G946="","",Cfg_StartWeight-G946)</f>
        <v/>
      </c>
      <c r="I946" s="8">
        <f>IF(B946="","",Cfg_StartWeight-B946)</f>
        <v/>
      </c>
      <c r="J946" s="10">
        <f>IF(OR(B946="",G946=""),"",I946-G946)</f>
        <v/>
      </c>
      <c r="K946" s="9">
        <f>IF(B946="","",IFERROR(AVERAGEIFS($B$2:$B$1001,$A$2:$A$1001,"&gt;="&amp;A946-6,$A$2:$A$1001,"&lt;="&amp;A946),""))</f>
        <v/>
      </c>
    </row>
    <row r="947">
      <c r="A947" s="7" t="n"/>
      <c r="B947" s="8" t="n"/>
      <c r="E947">
        <f>IF(C947="","",C947-Cfg_TDEE-IFERROR(D947,0))</f>
        <v/>
      </c>
      <c r="F947">
        <f>IF(E947="","",IFERROR(F946,0)+(-E947))</f>
        <v/>
      </c>
      <c r="G947" s="9">
        <f>IF(F947="","",F947/Cfg_FatConstant)</f>
        <v/>
      </c>
      <c r="H947" s="8">
        <f>IF(G947="","",Cfg_StartWeight-G947)</f>
        <v/>
      </c>
      <c r="I947" s="8">
        <f>IF(B947="","",Cfg_StartWeight-B947)</f>
        <v/>
      </c>
      <c r="J947" s="10">
        <f>IF(OR(B947="",G947=""),"",I947-G947)</f>
        <v/>
      </c>
      <c r="K947" s="9">
        <f>IF(B947="","",IFERROR(AVERAGEIFS($B$2:$B$1001,$A$2:$A$1001,"&gt;="&amp;A947-6,$A$2:$A$1001,"&lt;="&amp;A947),""))</f>
        <v/>
      </c>
    </row>
    <row r="948">
      <c r="A948" s="7" t="n"/>
      <c r="B948" s="8" t="n"/>
      <c r="E948">
        <f>IF(C948="","",C948-Cfg_TDEE-IFERROR(D948,0))</f>
        <v/>
      </c>
      <c r="F948">
        <f>IF(E948="","",IFERROR(F947,0)+(-E948))</f>
        <v/>
      </c>
      <c r="G948" s="9">
        <f>IF(F948="","",F948/Cfg_FatConstant)</f>
        <v/>
      </c>
      <c r="H948" s="8">
        <f>IF(G948="","",Cfg_StartWeight-G948)</f>
        <v/>
      </c>
      <c r="I948" s="8">
        <f>IF(B948="","",Cfg_StartWeight-B948)</f>
        <v/>
      </c>
      <c r="J948" s="10">
        <f>IF(OR(B948="",G948=""),"",I948-G948)</f>
        <v/>
      </c>
      <c r="K948" s="9">
        <f>IF(B948="","",IFERROR(AVERAGEIFS($B$2:$B$1001,$A$2:$A$1001,"&gt;="&amp;A948-6,$A$2:$A$1001,"&lt;="&amp;A948),""))</f>
        <v/>
      </c>
    </row>
    <row r="949">
      <c r="A949" s="7" t="n"/>
      <c r="B949" s="8" t="n"/>
      <c r="E949">
        <f>IF(C949="","",C949-Cfg_TDEE-IFERROR(D949,0))</f>
        <v/>
      </c>
      <c r="F949">
        <f>IF(E949="","",IFERROR(F948,0)+(-E949))</f>
        <v/>
      </c>
      <c r="G949" s="9">
        <f>IF(F949="","",F949/Cfg_FatConstant)</f>
        <v/>
      </c>
      <c r="H949" s="8">
        <f>IF(G949="","",Cfg_StartWeight-G949)</f>
        <v/>
      </c>
      <c r="I949" s="8">
        <f>IF(B949="","",Cfg_StartWeight-B949)</f>
        <v/>
      </c>
      <c r="J949" s="10">
        <f>IF(OR(B949="",G949=""),"",I949-G949)</f>
        <v/>
      </c>
      <c r="K949" s="9">
        <f>IF(B949="","",IFERROR(AVERAGEIFS($B$2:$B$1001,$A$2:$A$1001,"&gt;="&amp;A949-6,$A$2:$A$1001,"&lt;="&amp;A949),""))</f>
        <v/>
      </c>
    </row>
    <row r="950">
      <c r="A950" s="7" t="n"/>
      <c r="B950" s="8" t="n"/>
      <c r="E950">
        <f>IF(C950="","",C950-Cfg_TDEE-IFERROR(D950,0))</f>
        <v/>
      </c>
      <c r="F950">
        <f>IF(E950="","",IFERROR(F949,0)+(-E950))</f>
        <v/>
      </c>
      <c r="G950" s="9">
        <f>IF(F950="","",F950/Cfg_FatConstant)</f>
        <v/>
      </c>
      <c r="H950" s="8">
        <f>IF(G950="","",Cfg_StartWeight-G950)</f>
        <v/>
      </c>
      <c r="I950" s="8">
        <f>IF(B950="","",Cfg_StartWeight-B950)</f>
        <v/>
      </c>
      <c r="J950" s="10">
        <f>IF(OR(B950="",G950=""),"",I950-G950)</f>
        <v/>
      </c>
      <c r="K950" s="9">
        <f>IF(B950="","",IFERROR(AVERAGEIFS($B$2:$B$1001,$A$2:$A$1001,"&gt;="&amp;A950-6,$A$2:$A$1001,"&lt;="&amp;A950),""))</f>
        <v/>
      </c>
    </row>
    <row r="951">
      <c r="A951" s="7" t="n"/>
      <c r="B951" s="8" t="n"/>
      <c r="E951">
        <f>IF(C951="","",C951-Cfg_TDEE-IFERROR(D951,0))</f>
        <v/>
      </c>
      <c r="F951">
        <f>IF(E951="","",IFERROR(F950,0)+(-E951))</f>
        <v/>
      </c>
      <c r="G951" s="9">
        <f>IF(F951="","",F951/Cfg_FatConstant)</f>
        <v/>
      </c>
      <c r="H951" s="8">
        <f>IF(G951="","",Cfg_StartWeight-G951)</f>
        <v/>
      </c>
      <c r="I951" s="8">
        <f>IF(B951="","",Cfg_StartWeight-B951)</f>
        <v/>
      </c>
      <c r="J951" s="10">
        <f>IF(OR(B951="",G951=""),"",I951-G951)</f>
        <v/>
      </c>
      <c r="K951" s="9">
        <f>IF(B951="","",IFERROR(AVERAGEIFS($B$2:$B$1001,$A$2:$A$1001,"&gt;="&amp;A951-6,$A$2:$A$1001,"&lt;="&amp;A951),""))</f>
        <v/>
      </c>
    </row>
    <row r="952">
      <c r="A952" s="7" t="n"/>
      <c r="B952" s="8" t="n"/>
      <c r="E952">
        <f>IF(C952="","",C952-Cfg_TDEE-IFERROR(D952,0))</f>
        <v/>
      </c>
      <c r="F952">
        <f>IF(E952="","",IFERROR(F951,0)+(-E952))</f>
        <v/>
      </c>
      <c r="G952" s="9">
        <f>IF(F952="","",F952/Cfg_FatConstant)</f>
        <v/>
      </c>
      <c r="H952" s="8">
        <f>IF(G952="","",Cfg_StartWeight-G952)</f>
        <v/>
      </c>
      <c r="I952" s="8">
        <f>IF(B952="","",Cfg_StartWeight-B952)</f>
        <v/>
      </c>
      <c r="J952" s="10">
        <f>IF(OR(B952="",G952=""),"",I952-G952)</f>
        <v/>
      </c>
      <c r="K952" s="9">
        <f>IF(B952="","",IFERROR(AVERAGEIFS($B$2:$B$1001,$A$2:$A$1001,"&gt;="&amp;A952-6,$A$2:$A$1001,"&lt;="&amp;A952),""))</f>
        <v/>
      </c>
    </row>
    <row r="953">
      <c r="A953" s="7" t="n"/>
      <c r="B953" s="8" t="n"/>
      <c r="E953">
        <f>IF(C953="","",C953-Cfg_TDEE-IFERROR(D953,0))</f>
        <v/>
      </c>
      <c r="F953">
        <f>IF(E953="","",IFERROR(F952,0)+(-E953))</f>
        <v/>
      </c>
      <c r="G953" s="9">
        <f>IF(F953="","",F953/Cfg_FatConstant)</f>
        <v/>
      </c>
      <c r="H953" s="8">
        <f>IF(G953="","",Cfg_StartWeight-G953)</f>
        <v/>
      </c>
      <c r="I953" s="8">
        <f>IF(B953="","",Cfg_StartWeight-B953)</f>
        <v/>
      </c>
      <c r="J953" s="10">
        <f>IF(OR(B953="",G953=""),"",I953-G953)</f>
        <v/>
      </c>
      <c r="K953" s="9">
        <f>IF(B953="","",IFERROR(AVERAGEIFS($B$2:$B$1001,$A$2:$A$1001,"&gt;="&amp;A953-6,$A$2:$A$1001,"&lt;="&amp;A953),""))</f>
        <v/>
      </c>
    </row>
    <row r="954">
      <c r="A954" s="7" t="n"/>
      <c r="B954" s="8" t="n"/>
      <c r="E954">
        <f>IF(C954="","",C954-Cfg_TDEE-IFERROR(D954,0))</f>
        <v/>
      </c>
      <c r="F954">
        <f>IF(E954="","",IFERROR(F953,0)+(-E954))</f>
        <v/>
      </c>
      <c r="G954" s="9">
        <f>IF(F954="","",F954/Cfg_FatConstant)</f>
        <v/>
      </c>
      <c r="H954" s="8">
        <f>IF(G954="","",Cfg_StartWeight-G954)</f>
        <v/>
      </c>
      <c r="I954" s="8">
        <f>IF(B954="","",Cfg_StartWeight-B954)</f>
        <v/>
      </c>
      <c r="J954" s="10">
        <f>IF(OR(B954="",G954=""),"",I954-G954)</f>
        <v/>
      </c>
      <c r="K954" s="9">
        <f>IF(B954="","",IFERROR(AVERAGEIFS($B$2:$B$1001,$A$2:$A$1001,"&gt;="&amp;A954-6,$A$2:$A$1001,"&lt;="&amp;A954),""))</f>
        <v/>
      </c>
    </row>
    <row r="955">
      <c r="A955" s="7" t="n"/>
      <c r="B955" s="8" t="n"/>
      <c r="E955">
        <f>IF(C955="","",C955-Cfg_TDEE-IFERROR(D955,0))</f>
        <v/>
      </c>
      <c r="F955">
        <f>IF(E955="","",IFERROR(F954,0)+(-E955))</f>
        <v/>
      </c>
      <c r="G955" s="9">
        <f>IF(F955="","",F955/Cfg_FatConstant)</f>
        <v/>
      </c>
      <c r="H955" s="8">
        <f>IF(G955="","",Cfg_StartWeight-G955)</f>
        <v/>
      </c>
      <c r="I955" s="8">
        <f>IF(B955="","",Cfg_StartWeight-B955)</f>
        <v/>
      </c>
      <c r="J955" s="10">
        <f>IF(OR(B955="",G955=""),"",I955-G955)</f>
        <v/>
      </c>
      <c r="K955" s="9">
        <f>IF(B955="","",IFERROR(AVERAGEIFS($B$2:$B$1001,$A$2:$A$1001,"&gt;="&amp;A955-6,$A$2:$A$1001,"&lt;="&amp;A955),""))</f>
        <v/>
      </c>
    </row>
    <row r="956">
      <c r="A956" s="7" t="n"/>
      <c r="B956" s="8" t="n"/>
      <c r="E956">
        <f>IF(C956="","",C956-Cfg_TDEE-IFERROR(D956,0))</f>
        <v/>
      </c>
      <c r="F956">
        <f>IF(E956="","",IFERROR(F955,0)+(-E956))</f>
        <v/>
      </c>
      <c r="G956" s="9">
        <f>IF(F956="","",F956/Cfg_FatConstant)</f>
        <v/>
      </c>
      <c r="H956" s="8">
        <f>IF(G956="","",Cfg_StartWeight-G956)</f>
        <v/>
      </c>
      <c r="I956" s="8">
        <f>IF(B956="","",Cfg_StartWeight-B956)</f>
        <v/>
      </c>
      <c r="J956" s="10">
        <f>IF(OR(B956="",G956=""),"",I956-G956)</f>
        <v/>
      </c>
      <c r="K956" s="9">
        <f>IF(B956="","",IFERROR(AVERAGEIFS($B$2:$B$1001,$A$2:$A$1001,"&gt;="&amp;A956-6,$A$2:$A$1001,"&lt;="&amp;A956),""))</f>
        <v/>
      </c>
    </row>
    <row r="957">
      <c r="A957" s="7" t="n"/>
      <c r="B957" s="8" t="n"/>
      <c r="E957">
        <f>IF(C957="","",C957-Cfg_TDEE-IFERROR(D957,0))</f>
        <v/>
      </c>
      <c r="F957">
        <f>IF(E957="","",IFERROR(F956,0)+(-E957))</f>
        <v/>
      </c>
      <c r="G957" s="9">
        <f>IF(F957="","",F957/Cfg_FatConstant)</f>
        <v/>
      </c>
      <c r="H957" s="8">
        <f>IF(G957="","",Cfg_StartWeight-G957)</f>
        <v/>
      </c>
      <c r="I957" s="8">
        <f>IF(B957="","",Cfg_StartWeight-B957)</f>
        <v/>
      </c>
      <c r="J957" s="10">
        <f>IF(OR(B957="",G957=""),"",I957-G957)</f>
        <v/>
      </c>
      <c r="K957" s="9">
        <f>IF(B957="","",IFERROR(AVERAGEIFS($B$2:$B$1001,$A$2:$A$1001,"&gt;="&amp;A957-6,$A$2:$A$1001,"&lt;="&amp;A957),""))</f>
        <v/>
      </c>
    </row>
    <row r="958">
      <c r="A958" s="7" t="n"/>
      <c r="B958" s="8" t="n"/>
      <c r="E958">
        <f>IF(C958="","",C958-Cfg_TDEE-IFERROR(D958,0))</f>
        <v/>
      </c>
      <c r="F958">
        <f>IF(E958="","",IFERROR(F957,0)+(-E958))</f>
        <v/>
      </c>
      <c r="G958" s="9">
        <f>IF(F958="","",F958/Cfg_FatConstant)</f>
        <v/>
      </c>
      <c r="H958" s="8">
        <f>IF(G958="","",Cfg_StartWeight-G958)</f>
        <v/>
      </c>
      <c r="I958" s="8">
        <f>IF(B958="","",Cfg_StartWeight-B958)</f>
        <v/>
      </c>
      <c r="J958" s="10">
        <f>IF(OR(B958="",G958=""),"",I958-G958)</f>
        <v/>
      </c>
      <c r="K958" s="9">
        <f>IF(B958="","",IFERROR(AVERAGEIFS($B$2:$B$1001,$A$2:$A$1001,"&gt;="&amp;A958-6,$A$2:$A$1001,"&lt;="&amp;A958),""))</f>
        <v/>
      </c>
    </row>
    <row r="959">
      <c r="A959" s="7" t="n"/>
      <c r="B959" s="8" t="n"/>
      <c r="E959">
        <f>IF(C959="","",C959-Cfg_TDEE-IFERROR(D959,0))</f>
        <v/>
      </c>
      <c r="F959">
        <f>IF(E959="","",IFERROR(F958,0)+(-E959))</f>
        <v/>
      </c>
      <c r="G959" s="9">
        <f>IF(F959="","",F959/Cfg_FatConstant)</f>
        <v/>
      </c>
      <c r="H959" s="8">
        <f>IF(G959="","",Cfg_StartWeight-G959)</f>
        <v/>
      </c>
      <c r="I959" s="8">
        <f>IF(B959="","",Cfg_StartWeight-B959)</f>
        <v/>
      </c>
      <c r="J959" s="10">
        <f>IF(OR(B959="",G959=""),"",I959-G959)</f>
        <v/>
      </c>
      <c r="K959" s="9">
        <f>IF(B959="","",IFERROR(AVERAGEIFS($B$2:$B$1001,$A$2:$A$1001,"&gt;="&amp;A959-6,$A$2:$A$1001,"&lt;="&amp;A959),""))</f>
        <v/>
      </c>
    </row>
    <row r="960">
      <c r="A960" s="7" t="n"/>
      <c r="B960" s="8" t="n"/>
      <c r="E960">
        <f>IF(C960="","",C960-Cfg_TDEE-IFERROR(D960,0))</f>
        <v/>
      </c>
      <c r="F960">
        <f>IF(E960="","",IFERROR(F959,0)+(-E960))</f>
        <v/>
      </c>
      <c r="G960" s="9">
        <f>IF(F960="","",F960/Cfg_FatConstant)</f>
        <v/>
      </c>
      <c r="H960" s="8">
        <f>IF(G960="","",Cfg_StartWeight-G960)</f>
        <v/>
      </c>
      <c r="I960" s="8">
        <f>IF(B960="","",Cfg_StartWeight-B960)</f>
        <v/>
      </c>
      <c r="J960" s="10">
        <f>IF(OR(B960="",G960=""),"",I960-G960)</f>
        <v/>
      </c>
      <c r="K960" s="9">
        <f>IF(B960="","",IFERROR(AVERAGEIFS($B$2:$B$1001,$A$2:$A$1001,"&gt;="&amp;A960-6,$A$2:$A$1001,"&lt;="&amp;A960),""))</f>
        <v/>
      </c>
    </row>
    <row r="961">
      <c r="A961" s="7" t="n"/>
      <c r="B961" s="8" t="n"/>
      <c r="E961">
        <f>IF(C961="","",C961-Cfg_TDEE-IFERROR(D961,0))</f>
        <v/>
      </c>
      <c r="F961">
        <f>IF(E961="","",IFERROR(F960,0)+(-E961))</f>
        <v/>
      </c>
      <c r="G961" s="9">
        <f>IF(F961="","",F961/Cfg_FatConstant)</f>
        <v/>
      </c>
      <c r="H961" s="8">
        <f>IF(G961="","",Cfg_StartWeight-G961)</f>
        <v/>
      </c>
      <c r="I961" s="8">
        <f>IF(B961="","",Cfg_StartWeight-B961)</f>
        <v/>
      </c>
      <c r="J961" s="10">
        <f>IF(OR(B961="",G961=""),"",I961-G961)</f>
        <v/>
      </c>
      <c r="K961" s="9">
        <f>IF(B961="","",IFERROR(AVERAGEIFS($B$2:$B$1001,$A$2:$A$1001,"&gt;="&amp;A961-6,$A$2:$A$1001,"&lt;="&amp;A961),""))</f>
        <v/>
      </c>
    </row>
    <row r="962">
      <c r="A962" s="7" t="n"/>
      <c r="B962" s="8" t="n"/>
      <c r="E962">
        <f>IF(C962="","",C962-Cfg_TDEE-IFERROR(D962,0))</f>
        <v/>
      </c>
      <c r="F962">
        <f>IF(E962="","",IFERROR(F961,0)+(-E962))</f>
        <v/>
      </c>
      <c r="G962" s="9">
        <f>IF(F962="","",F962/Cfg_FatConstant)</f>
        <v/>
      </c>
      <c r="H962" s="8">
        <f>IF(G962="","",Cfg_StartWeight-G962)</f>
        <v/>
      </c>
      <c r="I962" s="8">
        <f>IF(B962="","",Cfg_StartWeight-B962)</f>
        <v/>
      </c>
      <c r="J962" s="10">
        <f>IF(OR(B962="",G962=""),"",I962-G962)</f>
        <v/>
      </c>
      <c r="K962" s="9">
        <f>IF(B962="","",IFERROR(AVERAGEIFS($B$2:$B$1001,$A$2:$A$1001,"&gt;="&amp;A962-6,$A$2:$A$1001,"&lt;="&amp;A962),""))</f>
        <v/>
      </c>
    </row>
    <row r="963">
      <c r="A963" s="7" t="n"/>
      <c r="B963" s="8" t="n"/>
      <c r="E963">
        <f>IF(C963="","",C963-Cfg_TDEE-IFERROR(D963,0))</f>
        <v/>
      </c>
      <c r="F963">
        <f>IF(E963="","",IFERROR(F962,0)+(-E963))</f>
        <v/>
      </c>
      <c r="G963" s="9">
        <f>IF(F963="","",F963/Cfg_FatConstant)</f>
        <v/>
      </c>
      <c r="H963" s="8">
        <f>IF(G963="","",Cfg_StartWeight-G963)</f>
        <v/>
      </c>
      <c r="I963" s="8">
        <f>IF(B963="","",Cfg_StartWeight-B963)</f>
        <v/>
      </c>
      <c r="J963" s="10">
        <f>IF(OR(B963="",G963=""),"",I963-G963)</f>
        <v/>
      </c>
      <c r="K963" s="9">
        <f>IF(B963="","",IFERROR(AVERAGEIFS($B$2:$B$1001,$A$2:$A$1001,"&gt;="&amp;A963-6,$A$2:$A$1001,"&lt;="&amp;A963),""))</f>
        <v/>
      </c>
    </row>
    <row r="964">
      <c r="A964" s="7" t="n"/>
      <c r="B964" s="8" t="n"/>
      <c r="E964">
        <f>IF(C964="","",C964-Cfg_TDEE-IFERROR(D964,0))</f>
        <v/>
      </c>
      <c r="F964">
        <f>IF(E964="","",IFERROR(F963,0)+(-E964))</f>
        <v/>
      </c>
      <c r="G964" s="9">
        <f>IF(F964="","",F964/Cfg_FatConstant)</f>
        <v/>
      </c>
      <c r="H964" s="8">
        <f>IF(G964="","",Cfg_StartWeight-G964)</f>
        <v/>
      </c>
      <c r="I964" s="8">
        <f>IF(B964="","",Cfg_StartWeight-B964)</f>
        <v/>
      </c>
      <c r="J964" s="10">
        <f>IF(OR(B964="",G964=""),"",I964-G964)</f>
        <v/>
      </c>
      <c r="K964" s="9">
        <f>IF(B964="","",IFERROR(AVERAGEIFS($B$2:$B$1001,$A$2:$A$1001,"&gt;="&amp;A964-6,$A$2:$A$1001,"&lt;="&amp;A964),""))</f>
        <v/>
      </c>
    </row>
    <row r="965">
      <c r="A965" s="7" t="n"/>
      <c r="B965" s="8" t="n"/>
      <c r="E965">
        <f>IF(C965="","",C965-Cfg_TDEE-IFERROR(D965,0))</f>
        <v/>
      </c>
      <c r="F965">
        <f>IF(E965="","",IFERROR(F964,0)+(-E965))</f>
        <v/>
      </c>
      <c r="G965" s="9">
        <f>IF(F965="","",F965/Cfg_FatConstant)</f>
        <v/>
      </c>
      <c r="H965" s="8">
        <f>IF(G965="","",Cfg_StartWeight-G965)</f>
        <v/>
      </c>
      <c r="I965" s="8">
        <f>IF(B965="","",Cfg_StartWeight-B965)</f>
        <v/>
      </c>
      <c r="J965" s="10">
        <f>IF(OR(B965="",G965=""),"",I965-G965)</f>
        <v/>
      </c>
      <c r="K965" s="9">
        <f>IF(B965="","",IFERROR(AVERAGEIFS($B$2:$B$1001,$A$2:$A$1001,"&gt;="&amp;A965-6,$A$2:$A$1001,"&lt;="&amp;A965),""))</f>
        <v/>
      </c>
    </row>
    <row r="966">
      <c r="A966" s="7" t="n"/>
      <c r="B966" s="8" t="n"/>
      <c r="E966">
        <f>IF(C966="","",C966-Cfg_TDEE-IFERROR(D966,0))</f>
        <v/>
      </c>
      <c r="F966">
        <f>IF(E966="","",IFERROR(F965,0)+(-E966))</f>
        <v/>
      </c>
      <c r="G966" s="9">
        <f>IF(F966="","",F966/Cfg_FatConstant)</f>
        <v/>
      </c>
      <c r="H966" s="8">
        <f>IF(G966="","",Cfg_StartWeight-G966)</f>
        <v/>
      </c>
      <c r="I966" s="8">
        <f>IF(B966="","",Cfg_StartWeight-B966)</f>
        <v/>
      </c>
      <c r="J966" s="10">
        <f>IF(OR(B966="",G966=""),"",I966-G966)</f>
        <v/>
      </c>
      <c r="K966" s="9">
        <f>IF(B966="","",IFERROR(AVERAGEIFS($B$2:$B$1001,$A$2:$A$1001,"&gt;="&amp;A966-6,$A$2:$A$1001,"&lt;="&amp;A966),""))</f>
        <v/>
      </c>
    </row>
    <row r="967">
      <c r="A967" s="7" t="n"/>
      <c r="B967" s="8" t="n"/>
      <c r="E967">
        <f>IF(C967="","",C967-Cfg_TDEE-IFERROR(D967,0))</f>
        <v/>
      </c>
      <c r="F967">
        <f>IF(E967="","",IFERROR(F966,0)+(-E967))</f>
        <v/>
      </c>
      <c r="G967" s="9">
        <f>IF(F967="","",F967/Cfg_FatConstant)</f>
        <v/>
      </c>
      <c r="H967" s="8">
        <f>IF(G967="","",Cfg_StartWeight-G967)</f>
        <v/>
      </c>
      <c r="I967" s="8">
        <f>IF(B967="","",Cfg_StartWeight-B967)</f>
        <v/>
      </c>
      <c r="J967" s="10">
        <f>IF(OR(B967="",G967=""),"",I967-G967)</f>
        <v/>
      </c>
      <c r="K967" s="9">
        <f>IF(B967="","",IFERROR(AVERAGEIFS($B$2:$B$1001,$A$2:$A$1001,"&gt;="&amp;A967-6,$A$2:$A$1001,"&lt;="&amp;A967),""))</f>
        <v/>
      </c>
    </row>
    <row r="968">
      <c r="A968" s="7" t="n"/>
      <c r="B968" s="8" t="n"/>
      <c r="E968">
        <f>IF(C968="","",C968-Cfg_TDEE-IFERROR(D968,0))</f>
        <v/>
      </c>
      <c r="F968">
        <f>IF(E968="","",IFERROR(F967,0)+(-E968))</f>
        <v/>
      </c>
      <c r="G968" s="9">
        <f>IF(F968="","",F968/Cfg_FatConstant)</f>
        <v/>
      </c>
      <c r="H968" s="8">
        <f>IF(G968="","",Cfg_StartWeight-G968)</f>
        <v/>
      </c>
      <c r="I968" s="8">
        <f>IF(B968="","",Cfg_StartWeight-B968)</f>
        <v/>
      </c>
      <c r="J968" s="10">
        <f>IF(OR(B968="",G968=""),"",I968-G968)</f>
        <v/>
      </c>
      <c r="K968" s="9">
        <f>IF(B968="","",IFERROR(AVERAGEIFS($B$2:$B$1001,$A$2:$A$1001,"&gt;="&amp;A968-6,$A$2:$A$1001,"&lt;="&amp;A968),""))</f>
        <v/>
      </c>
    </row>
    <row r="969">
      <c r="A969" s="7" t="n"/>
      <c r="B969" s="8" t="n"/>
      <c r="E969">
        <f>IF(C969="","",C969-Cfg_TDEE-IFERROR(D969,0))</f>
        <v/>
      </c>
      <c r="F969">
        <f>IF(E969="","",IFERROR(F968,0)+(-E969))</f>
        <v/>
      </c>
      <c r="G969" s="9">
        <f>IF(F969="","",F969/Cfg_FatConstant)</f>
        <v/>
      </c>
      <c r="H969" s="8">
        <f>IF(G969="","",Cfg_StartWeight-G969)</f>
        <v/>
      </c>
      <c r="I969" s="8">
        <f>IF(B969="","",Cfg_StartWeight-B969)</f>
        <v/>
      </c>
      <c r="J969" s="10">
        <f>IF(OR(B969="",G969=""),"",I969-G969)</f>
        <v/>
      </c>
      <c r="K969" s="9">
        <f>IF(B969="","",IFERROR(AVERAGEIFS($B$2:$B$1001,$A$2:$A$1001,"&gt;="&amp;A969-6,$A$2:$A$1001,"&lt;="&amp;A969),""))</f>
        <v/>
      </c>
    </row>
    <row r="970">
      <c r="A970" s="7" t="n"/>
      <c r="B970" s="8" t="n"/>
      <c r="E970">
        <f>IF(C970="","",C970-Cfg_TDEE-IFERROR(D970,0))</f>
        <v/>
      </c>
      <c r="F970">
        <f>IF(E970="","",IFERROR(F969,0)+(-E970))</f>
        <v/>
      </c>
      <c r="G970" s="9">
        <f>IF(F970="","",F970/Cfg_FatConstant)</f>
        <v/>
      </c>
      <c r="H970" s="8">
        <f>IF(G970="","",Cfg_StartWeight-G970)</f>
        <v/>
      </c>
      <c r="I970" s="8">
        <f>IF(B970="","",Cfg_StartWeight-B970)</f>
        <v/>
      </c>
      <c r="J970" s="10">
        <f>IF(OR(B970="",G970=""),"",I970-G970)</f>
        <v/>
      </c>
      <c r="K970" s="9">
        <f>IF(B970="","",IFERROR(AVERAGEIFS($B$2:$B$1001,$A$2:$A$1001,"&gt;="&amp;A970-6,$A$2:$A$1001,"&lt;="&amp;A970),""))</f>
        <v/>
      </c>
    </row>
    <row r="971">
      <c r="A971" s="7" t="n"/>
      <c r="B971" s="8" t="n"/>
      <c r="E971">
        <f>IF(C971="","",C971-Cfg_TDEE-IFERROR(D971,0))</f>
        <v/>
      </c>
      <c r="F971">
        <f>IF(E971="","",IFERROR(F970,0)+(-E971))</f>
        <v/>
      </c>
      <c r="G971" s="9">
        <f>IF(F971="","",F971/Cfg_FatConstant)</f>
        <v/>
      </c>
      <c r="H971" s="8">
        <f>IF(G971="","",Cfg_StartWeight-G971)</f>
        <v/>
      </c>
      <c r="I971" s="8">
        <f>IF(B971="","",Cfg_StartWeight-B971)</f>
        <v/>
      </c>
      <c r="J971" s="10">
        <f>IF(OR(B971="",G971=""),"",I971-G971)</f>
        <v/>
      </c>
      <c r="K971" s="9">
        <f>IF(B971="","",IFERROR(AVERAGEIFS($B$2:$B$1001,$A$2:$A$1001,"&gt;="&amp;A971-6,$A$2:$A$1001,"&lt;="&amp;A971),""))</f>
        <v/>
      </c>
    </row>
    <row r="972">
      <c r="A972" s="7" t="n"/>
      <c r="B972" s="8" t="n"/>
      <c r="E972">
        <f>IF(C972="","",C972-Cfg_TDEE-IFERROR(D972,0))</f>
        <v/>
      </c>
      <c r="F972">
        <f>IF(E972="","",IFERROR(F971,0)+(-E972))</f>
        <v/>
      </c>
      <c r="G972" s="9">
        <f>IF(F972="","",F972/Cfg_FatConstant)</f>
        <v/>
      </c>
      <c r="H972" s="8">
        <f>IF(G972="","",Cfg_StartWeight-G972)</f>
        <v/>
      </c>
      <c r="I972" s="8">
        <f>IF(B972="","",Cfg_StartWeight-B972)</f>
        <v/>
      </c>
      <c r="J972" s="10">
        <f>IF(OR(B972="",G972=""),"",I972-G972)</f>
        <v/>
      </c>
      <c r="K972" s="9">
        <f>IF(B972="","",IFERROR(AVERAGEIFS($B$2:$B$1001,$A$2:$A$1001,"&gt;="&amp;A972-6,$A$2:$A$1001,"&lt;="&amp;A972),""))</f>
        <v/>
      </c>
    </row>
    <row r="973">
      <c r="A973" s="7" t="n"/>
      <c r="B973" s="8" t="n"/>
      <c r="E973">
        <f>IF(C973="","",C973-Cfg_TDEE-IFERROR(D973,0))</f>
        <v/>
      </c>
      <c r="F973">
        <f>IF(E973="","",IFERROR(F972,0)+(-E973))</f>
        <v/>
      </c>
      <c r="G973" s="9">
        <f>IF(F973="","",F973/Cfg_FatConstant)</f>
        <v/>
      </c>
      <c r="H973" s="8">
        <f>IF(G973="","",Cfg_StartWeight-G973)</f>
        <v/>
      </c>
      <c r="I973" s="8">
        <f>IF(B973="","",Cfg_StartWeight-B973)</f>
        <v/>
      </c>
      <c r="J973" s="10">
        <f>IF(OR(B973="",G973=""),"",I973-G973)</f>
        <v/>
      </c>
      <c r="K973" s="9">
        <f>IF(B973="","",IFERROR(AVERAGEIFS($B$2:$B$1001,$A$2:$A$1001,"&gt;="&amp;A973-6,$A$2:$A$1001,"&lt;="&amp;A973),""))</f>
        <v/>
      </c>
    </row>
    <row r="974">
      <c r="A974" s="7" t="n"/>
      <c r="B974" s="8" t="n"/>
      <c r="E974">
        <f>IF(C974="","",C974-Cfg_TDEE-IFERROR(D974,0))</f>
        <v/>
      </c>
      <c r="F974">
        <f>IF(E974="","",IFERROR(F973,0)+(-E974))</f>
        <v/>
      </c>
      <c r="G974" s="9">
        <f>IF(F974="","",F974/Cfg_FatConstant)</f>
        <v/>
      </c>
      <c r="H974" s="8">
        <f>IF(G974="","",Cfg_StartWeight-G974)</f>
        <v/>
      </c>
      <c r="I974" s="8">
        <f>IF(B974="","",Cfg_StartWeight-B974)</f>
        <v/>
      </c>
      <c r="J974" s="10">
        <f>IF(OR(B974="",G974=""),"",I974-G974)</f>
        <v/>
      </c>
      <c r="K974" s="9">
        <f>IF(B974="","",IFERROR(AVERAGEIFS($B$2:$B$1001,$A$2:$A$1001,"&gt;="&amp;A974-6,$A$2:$A$1001,"&lt;="&amp;A974),""))</f>
        <v/>
      </c>
    </row>
    <row r="975">
      <c r="A975" s="7" t="n"/>
      <c r="B975" s="8" t="n"/>
      <c r="E975">
        <f>IF(C975="","",C975-Cfg_TDEE-IFERROR(D975,0))</f>
        <v/>
      </c>
      <c r="F975">
        <f>IF(E975="","",IFERROR(F974,0)+(-E975))</f>
        <v/>
      </c>
      <c r="G975" s="9">
        <f>IF(F975="","",F975/Cfg_FatConstant)</f>
        <v/>
      </c>
      <c r="H975" s="8">
        <f>IF(G975="","",Cfg_StartWeight-G975)</f>
        <v/>
      </c>
      <c r="I975" s="8">
        <f>IF(B975="","",Cfg_StartWeight-B975)</f>
        <v/>
      </c>
      <c r="J975" s="10">
        <f>IF(OR(B975="",G975=""),"",I975-G975)</f>
        <v/>
      </c>
      <c r="K975" s="9">
        <f>IF(B975="","",IFERROR(AVERAGEIFS($B$2:$B$1001,$A$2:$A$1001,"&gt;="&amp;A975-6,$A$2:$A$1001,"&lt;="&amp;A975),""))</f>
        <v/>
      </c>
    </row>
    <row r="976">
      <c r="A976" s="7" t="n"/>
      <c r="B976" s="8" t="n"/>
      <c r="E976">
        <f>IF(C976="","",C976-Cfg_TDEE-IFERROR(D976,0))</f>
        <v/>
      </c>
      <c r="F976">
        <f>IF(E976="","",IFERROR(F975,0)+(-E976))</f>
        <v/>
      </c>
      <c r="G976" s="9">
        <f>IF(F976="","",F976/Cfg_FatConstant)</f>
        <v/>
      </c>
      <c r="H976" s="8">
        <f>IF(G976="","",Cfg_StartWeight-G976)</f>
        <v/>
      </c>
      <c r="I976" s="8">
        <f>IF(B976="","",Cfg_StartWeight-B976)</f>
        <v/>
      </c>
      <c r="J976" s="10">
        <f>IF(OR(B976="",G976=""),"",I976-G976)</f>
        <v/>
      </c>
      <c r="K976" s="9">
        <f>IF(B976="","",IFERROR(AVERAGEIFS($B$2:$B$1001,$A$2:$A$1001,"&gt;="&amp;A976-6,$A$2:$A$1001,"&lt;="&amp;A976),""))</f>
        <v/>
      </c>
    </row>
    <row r="977">
      <c r="A977" s="7" t="n"/>
      <c r="B977" s="8" t="n"/>
      <c r="E977">
        <f>IF(C977="","",C977-Cfg_TDEE-IFERROR(D977,0))</f>
        <v/>
      </c>
      <c r="F977">
        <f>IF(E977="","",IFERROR(F976,0)+(-E977))</f>
        <v/>
      </c>
      <c r="G977" s="9">
        <f>IF(F977="","",F977/Cfg_FatConstant)</f>
        <v/>
      </c>
      <c r="H977" s="8">
        <f>IF(G977="","",Cfg_StartWeight-G977)</f>
        <v/>
      </c>
      <c r="I977" s="8">
        <f>IF(B977="","",Cfg_StartWeight-B977)</f>
        <v/>
      </c>
      <c r="J977" s="10">
        <f>IF(OR(B977="",G977=""),"",I977-G977)</f>
        <v/>
      </c>
      <c r="K977" s="9">
        <f>IF(B977="","",IFERROR(AVERAGEIFS($B$2:$B$1001,$A$2:$A$1001,"&gt;="&amp;A977-6,$A$2:$A$1001,"&lt;="&amp;A977),""))</f>
        <v/>
      </c>
    </row>
    <row r="978">
      <c r="A978" s="7" t="n"/>
      <c r="B978" s="8" t="n"/>
      <c r="E978">
        <f>IF(C978="","",C978-Cfg_TDEE-IFERROR(D978,0))</f>
        <v/>
      </c>
      <c r="F978">
        <f>IF(E978="","",IFERROR(F977,0)+(-E978))</f>
        <v/>
      </c>
      <c r="G978" s="9">
        <f>IF(F978="","",F978/Cfg_FatConstant)</f>
        <v/>
      </c>
      <c r="H978" s="8">
        <f>IF(G978="","",Cfg_StartWeight-G978)</f>
        <v/>
      </c>
      <c r="I978" s="8">
        <f>IF(B978="","",Cfg_StartWeight-B978)</f>
        <v/>
      </c>
      <c r="J978" s="10">
        <f>IF(OR(B978="",G978=""),"",I978-G978)</f>
        <v/>
      </c>
      <c r="K978" s="9">
        <f>IF(B978="","",IFERROR(AVERAGEIFS($B$2:$B$1001,$A$2:$A$1001,"&gt;="&amp;A978-6,$A$2:$A$1001,"&lt;="&amp;A978),""))</f>
        <v/>
      </c>
    </row>
    <row r="979">
      <c r="A979" s="7" t="n"/>
      <c r="B979" s="8" t="n"/>
      <c r="E979">
        <f>IF(C979="","",C979-Cfg_TDEE-IFERROR(D979,0))</f>
        <v/>
      </c>
      <c r="F979">
        <f>IF(E979="","",IFERROR(F978,0)+(-E979))</f>
        <v/>
      </c>
      <c r="G979" s="9">
        <f>IF(F979="","",F979/Cfg_FatConstant)</f>
        <v/>
      </c>
      <c r="H979" s="8">
        <f>IF(G979="","",Cfg_StartWeight-G979)</f>
        <v/>
      </c>
      <c r="I979" s="8">
        <f>IF(B979="","",Cfg_StartWeight-B979)</f>
        <v/>
      </c>
      <c r="J979" s="10">
        <f>IF(OR(B979="",G979=""),"",I979-G979)</f>
        <v/>
      </c>
      <c r="K979" s="9">
        <f>IF(B979="","",IFERROR(AVERAGEIFS($B$2:$B$1001,$A$2:$A$1001,"&gt;="&amp;A979-6,$A$2:$A$1001,"&lt;="&amp;A979),""))</f>
        <v/>
      </c>
    </row>
    <row r="980">
      <c r="A980" s="7" t="n"/>
      <c r="B980" s="8" t="n"/>
      <c r="E980">
        <f>IF(C980="","",C980-Cfg_TDEE-IFERROR(D980,0))</f>
        <v/>
      </c>
      <c r="F980">
        <f>IF(E980="","",IFERROR(F979,0)+(-E980))</f>
        <v/>
      </c>
      <c r="G980" s="9">
        <f>IF(F980="","",F980/Cfg_FatConstant)</f>
        <v/>
      </c>
      <c r="H980" s="8">
        <f>IF(G980="","",Cfg_StartWeight-G980)</f>
        <v/>
      </c>
      <c r="I980" s="8">
        <f>IF(B980="","",Cfg_StartWeight-B980)</f>
        <v/>
      </c>
      <c r="J980" s="10">
        <f>IF(OR(B980="",G980=""),"",I980-G980)</f>
        <v/>
      </c>
      <c r="K980" s="9">
        <f>IF(B980="","",IFERROR(AVERAGEIFS($B$2:$B$1001,$A$2:$A$1001,"&gt;="&amp;A980-6,$A$2:$A$1001,"&lt;="&amp;A980),""))</f>
        <v/>
      </c>
    </row>
    <row r="981">
      <c r="A981" s="7" t="n"/>
      <c r="B981" s="8" t="n"/>
      <c r="E981">
        <f>IF(C981="","",C981-Cfg_TDEE-IFERROR(D981,0))</f>
        <v/>
      </c>
      <c r="F981">
        <f>IF(E981="","",IFERROR(F980,0)+(-E981))</f>
        <v/>
      </c>
      <c r="G981" s="9">
        <f>IF(F981="","",F981/Cfg_FatConstant)</f>
        <v/>
      </c>
      <c r="H981" s="8">
        <f>IF(G981="","",Cfg_StartWeight-G981)</f>
        <v/>
      </c>
      <c r="I981" s="8">
        <f>IF(B981="","",Cfg_StartWeight-B981)</f>
        <v/>
      </c>
      <c r="J981" s="10">
        <f>IF(OR(B981="",G981=""),"",I981-G981)</f>
        <v/>
      </c>
      <c r="K981" s="9">
        <f>IF(B981="","",IFERROR(AVERAGEIFS($B$2:$B$1001,$A$2:$A$1001,"&gt;="&amp;A981-6,$A$2:$A$1001,"&lt;="&amp;A981),""))</f>
        <v/>
      </c>
    </row>
    <row r="982">
      <c r="A982" s="7" t="n"/>
      <c r="B982" s="8" t="n"/>
      <c r="E982">
        <f>IF(C982="","",C982-Cfg_TDEE-IFERROR(D982,0))</f>
        <v/>
      </c>
      <c r="F982">
        <f>IF(E982="","",IFERROR(F981,0)+(-E982))</f>
        <v/>
      </c>
      <c r="G982" s="9">
        <f>IF(F982="","",F982/Cfg_FatConstant)</f>
        <v/>
      </c>
      <c r="H982" s="8">
        <f>IF(G982="","",Cfg_StartWeight-G982)</f>
        <v/>
      </c>
      <c r="I982" s="8">
        <f>IF(B982="","",Cfg_StartWeight-B982)</f>
        <v/>
      </c>
      <c r="J982" s="10">
        <f>IF(OR(B982="",G982=""),"",I982-G982)</f>
        <v/>
      </c>
      <c r="K982" s="9">
        <f>IF(B982="","",IFERROR(AVERAGEIFS($B$2:$B$1001,$A$2:$A$1001,"&gt;="&amp;A982-6,$A$2:$A$1001,"&lt;="&amp;A982),""))</f>
        <v/>
      </c>
    </row>
    <row r="983">
      <c r="A983" s="7" t="n"/>
      <c r="B983" s="8" t="n"/>
      <c r="E983">
        <f>IF(C983="","",C983-Cfg_TDEE-IFERROR(D983,0))</f>
        <v/>
      </c>
      <c r="F983">
        <f>IF(E983="","",IFERROR(F982,0)+(-E983))</f>
        <v/>
      </c>
      <c r="G983" s="9">
        <f>IF(F983="","",F983/Cfg_FatConstant)</f>
        <v/>
      </c>
      <c r="H983" s="8">
        <f>IF(G983="","",Cfg_StartWeight-G983)</f>
        <v/>
      </c>
      <c r="I983" s="8">
        <f>IF(B983="","",Cfg_StartWeight-B983)</f>
        <v/>
      </c>
      <c r="J983" s="10">
        <f>IF(OR(B983="",G983=""),"",I983-G983)</f>
        <v/>
      </c>
      <c r="K983" s="9">
        <f>IF(B983="","",IFERROR(AVERAGEIFS($B$2:$B$1001,$A$2:$A$1001,"&gt;="&amp;A983-6,$A$2:$A$1001,"&lt;="&amp;A983),""))</f>
        <v/>
      </c>
    </row>
    <row r="984">
      <c r="A984" s="7" t="n"/>
      <c r="B984" s="8" t="n"/>
      <c r="E984">
        <f>IF(C984="","",C984-Cfg_TDEE-IFERROR(D984,0))</f>
        <v/>
      </c>
      <c r="F984">
        <f>IF(E984="","",IFERROR(F983,0)+(-E984))</f>
        <v/>
      </c>
      <c r="G984" s="9">
        <f>IF(F984="","",F984/Cfg_FatConstant)</f>
        <v/>
      </c>
      <c r="H984" s="8">
        <f>IF(G984="","",Cfg_StartWeight-G984)</f>
        <v/>
      </c>
      <c r="I984" s="8">
        <f>IF(B984="","",Cfg_StartWeight-B984)</f>
        <v/>
      </c>
      <c r="J984" s="10">
        <f>IF(OR(B984="",G984=""),"",I984-G984)</f>
        <v/>
      </c>
      <c r="K984" s="9">
        <f>IF(B984="","",IFERROR(AVERAGEIFS($B$2:$B$1001,$A$2:$A$1001,"&gt;="&amp;A984-6,$A$2:$A$1001,"&lt;="&amp;A984),""))</f>
        <v/>
      </c>
    </row>
    <row r="985">
      <c r="A985" s="7" t="n"/>
      <c r="B985" s="8" t="n"/>
      <c r="E985">
        <f>IF(C985="","",C985-Cfg_TDEE-IFERROR(D985,0))</f>
        <v/>
      </c>
      <c r="F985">
        <f>IF(E985="","",IFERROR(F984,0)+(-E985))</f>
        <v/>
      </c>
      <c r="G985" s="9">
        <f>IF(F985="","",F985/Cfg_FatConstant)</f>
        <v/>
      </c>
      <c r="H985" s="8">
        <f>IF(G985="","",Cfg_StartWeight-G985)</f>
        <v/>
      </c>
      <c r="I985" s="8">
        <f>IF(B985="","",Cfg_StartWeight-B985)</f>
        <v/>
      </c>
      <c r="J985" s="10">
        <f>IF(OR(B985="",G985=""),"",I985-G985)</f>
        <v/>
      </c>
      <c r="K985" s="9">
        <f>IF(B985="","",IFERROR(AVERAGEIFS($B$2:$B$1001,$A$2:$A$1001,"&gt;="&amp;A985-6,$A$2:$A$1001,"&lt;="&amp;A985),""))</f>
        <v/>
      </c>
    </row>
    <row r="986">
      <c r="A986" s="7" t="n"/>
      <c r="B986" s="8" t="n"/>
      <c r="E986">
        <f>IF(C986="","",C986-Cfg_TDEE-IFERROR(D986,0))</f>
        <v/>
      </c>
      <c r="F986">
        <f>IF(E986="","",IFERROR(F985,0)+(-E986))</f>
        <v/>
      </c>
      <c r="G986" s="9">
        <f>IF(F986="","",F986/Cfg_FatConstant)</f>
        <v/>
      </c>
      <c r="H986" s="8">
        <f>IF(G986="","",Cfg_StartWeight-G986)</f>
        <v/>
      </c>
      <c r="I986" s="8">
        <f>IF(B986="","",Cfg_StartWeight-B986)</f>
        <v/>
      </c>
      <c r="J986" s="10">
        <f>IF(OR(B986="",G986=""),"",I986-G986)</f>
        <v/>
      </c>
      <c r="K986" s="9">
        <f>IF(B986="","",IFERROR(AVERAGEIFS($B$2:$B$1001,$A$2:$A$1001,"&gt;="&amp;A986-6,$A$2:$A$1001,"&lt;="&amp;A986),""))</f>
        <v/>
      </c>
    </row>
    <row r="987">
      <c r="A987" s="7" t="n"/>
      <c r="B987" s="8" t="n"/>
      <c r="E987">
        <f>IF(C987="","",C987-Cfg_TDEE-IFERROR(D987,0))</f>
        <v/>
      </c>
      <c r="F987">
        <f>IF(E987="","",IFERROR(F986,0)+(-E987))</f>
        <v/>
      </c>
      <c r="G987" s="9">
        <f>IF(F987="","",F987/Cfg_FatConstant)</f>
        <v/>
      </c>
      <c r="H987" s="8">
        <f>IF(G987="","",Cfg_StartWeight-G987)</f>
        <v/>
      </c>
      <c r="I987" s="8">
        <f>IF(B987="","",Cfg_StartWeight-B987)</f>
        <v/>
      </c>
      <c r="J987" s="10">
        <f>IF(OR(B987="",G987=""),"",I987-G987)</f>
        <v/>
      </c>
      <c r="K987" s="9">
        <f>IF(B987="","",IFERROR(AVERAGEIFS($B$2:$B$1001,$A$2:$A$1001,"&gt;="&amp;A987-6,$A$2:$A$1001,"&lt;="&amp;A987),""))</f>
        <v/>
      </c>
    </row>
    <row r="988">
      <c r="A988" s="7" t="n"/>
      <c r="B988" s="8" t="n"/>
      <c r="E988">
        <f>IF(C988="","",C988-Cfg_TDEE-IFERROR(D988,0))</f>
        <v/>
      </c>
      <c r="F988">
        <f>IF(E988="","",IFERROR(F987,0)+(-E988))</f>
        <v/>
      </c>
      <c r="G988" s="9">
        <f>IF(F988="","",F988/Cfg_FatConstant)</f>
        <v/>
      </c>
      <c r="H988" s="8">
        <f>IF(G988="","",Cfg_StartWeight-G988)</f>
        <v/>
      </c>
      <c r="I988" s="8">
        <f>IF(B988="","",Cfg_StartWeight-B988)</f>
        <v/>
      </c>
      <c r="J988" s="10">
        <f>IF(OR(B988="",G988=""),"",I988-G988)</f>
        <v/>
      </c>
      <c r="K988" s="9">
        <f>IF(B988="","",IFERROR(AVERAGEIFS($B$2:$B$1001,$A$2:$A$1001,"&gt;="&amp;A988-6,$A$2:$A$1001,"&lt;="&amp;A988),""))</f>
        <v/>
      </c>
    </row>
    <row r="989">
      <c r="A989" s="7" t="n"/>
      <c r="B989" s="8" t="n"/>
      <c r="E989">
        <f>IF(C989="","",C989-Cfg_TDEE-IFERROR(D989,0))</f>
        <v/>
      </c>
      <c r="F989">
        <f>IF(E989="","",IFERROR(F988,0)+(-E989))</f>
        <v/>
      </c>
      <c r="G989" s="9">
        <f>IF(F989="","",F989/Cfg_FatConstant)</f>
        <v/>
      </c>
      <c r="H989" s="8">
        <f>IF(G989="","",Cfg_StartWeight-G989)</f>
        <v/>
      </c>
      <c r="I989" s="8">
        <f>IF(B989="","",Cfg_StartWeight-B989)</f>
        <v/>
      </c>
      <c r="J989" s="10">
        <f>IF(OR(B989="",G989=""),"",I989-G989)</f>
        <v/>
      </c>
      <c r="K989" s="9">
        <f>IF(B989="","",IFERROR(AVERAGEIFS($B$2:$B$1001,$A$2:$A$1001,"&gt;="&amp;A989-6,$A$2:$A$1001,"&lt;="&amp;A989),""))</f>
        <v/>
      </c>
    </row>
    <row r="990">
      <c r="A990" s="7" t="n"/>
      <c r="B990" s="8" t="n"/>
      <c r="E990">
        <f>IF(C990="","",C990-Cfg_TDEE-IFERROR(D990,0))</f>
        <v/>
      </c>
      <c r="F990">
        <f>IF(E990="","",IFERROR(F989,0)+(-E990))</f>
        <v/>
      </c>
      <c r="G990" s="9">
        <f>IF(F990="","",F990/Cfg_FatConstant)</f>
        <v/>
      </c>
      <c r="H990" s="8">
        <f>IF(G990="","",Cfg_StartWeight-G990)</f>
        <v/>
      </c>
      <c r="I990" s="8">
        <f>IF(B990="","",Cfg_StartWeight-B990)</f>
        <v/>
      </c>
      <c r="J990" s="10">
        <f>IF(OR(B990="",G990=""),"",I990-G990)</f>
        <v/>
      </c>
      <c r="K990" s="9">
        <f>IF(B990="","",IFERROR(AVERAGEIFS($B$2:$B$1001,$A$2:$A$1001,"&gt;="&amp;A990-6,$A$2:$A$1001,"&lt;="&amp;A990),""))</f>
        <v/>
      </c>
    </row>
    <row r="991">
      <c r="A991" s="7" t="n"/>
      <c r="B991" s="8" t="n"/>
      <c r="E991">
        <f>IF(C991="","",C991-Cfg_TDEE-IFERROR(D991,0))</f>
        <v/>
      </c>
      <c r="F991">
        <f>IF(E991="","",IFERROR(F990,0)+(-E991))</f>
        <v/>
      </c>
      <c r="G991" s="9">
        <f>IF(F991="","",F991/Cfg_FatConstant)</f>
        <v/>
      </c>
      <c r="H991" s="8">
        <f>IF(G991="","",Cfg_StartWeight-G991)</f>
        <v/>
      </c>
      <c r="I991" s="8">
        <f>IF(B991="","",Cfg_StartWeight-B991)</f>
        <v/>
      </c>
      <c r="J991" s="10">
        <f>IF(OR(B991="",G991=""),"",I991-G991)</f>
        <v/>
      </c>
      <c r="K991" s="9">
        <f>IF(B991="","",IFERROR(AVERAGEIFS($B$2:$B$1001,$A$2:$A$1001,"&gt;="&amp;A991-6,$A$2:$A$1001,"&lt;="&amp;A991),""))</f>
        <v/>
      </c>
    </row>
    <row r="992">
      <c r="A992" s="7" t="n"/>
      <c r="B992" s="8" t="n"/>
      <c r="E992">
        <f>IF(C992="","",C992-Cfg_TDEE-IFERROR(D992,0))</f>
        <v/>
      </c>
      <c r="F992">
        <f>IF(E992="","",IFERROR(F991,0)+(-E992))</f>
        <v/>
      </c>
      <c r="G992" s="9">
        <f>IF(F992="","",F992/Cfg_FatConstant)</f>
        <v/>
      </c>
      <c r="H992" s="8">
        <f>IF(G992="","",Cfg_StartWeight-G992)</f>
        <v/>
      </c>
      <c r="I992" s="8">
        <f>IF(B992="","",Cfg_StartWeight-B992)</f>
        <v/>
      </c>
      <c r="J992" s="10">
        <f>IF(OR(B992="",G992=""),"",I992-G992)</f>
        <v/>
      </c>
      <c r="K992" s="9">
        <f>IF(B992="","",IFERROR(AVERAGEIFS($B$2:$B$1001,$A$2:$A$1001,"&gt;="&amp;A992-6,$A$2:$A$1001,"&lt;="&amp;A992),""))</f>
        <v/>
      </c>
    </row>
    <row r="993">
      <c r="A993" s="7" t="n"/>
      <c r="B993" s="8" t="n"/>
      <c r="E993">
        <f>IF(C993="","",C993-Cfg_TDEE-IFERROR(D993,0))</f>
        <v/>
      </c>
      <c r="F993">
        <f>IF(E993="","",IFERROR(F992,0)+(-E993))</f>
        <v/>
      </c>
      <c r="G993" s="9">
        <f>IF(F993="","",F993/Cfg_FatConstant)</f>
        <v/>
      </c>
      <c r="H993" s="8">
        <f>IF(G993="","",Cfg_StartWeight-G993)</f>
        <v/>
      </c>
      <c r="I993" s="8">
        <f>IF(B993="","",Cfg_StartWeight-B993)</f>
        <v/>
      </c>
      <c r="J993" s="10">
        <f>IF(OR(B993="",G993=""),"",I993-G993)</f>
        <v/>
      </c>
      <c r="K993" s="9">
        <f>IF(B993="","",IFERROR(AVERAGEIFS($B$2:$B$1001,$A$2:$A$1001,"&gt;="&amp;A993-6,$A$2:$A$1001,"&lt;="&amp;A993),""))</f>
        <v/>
      </c>
    </row>
    <row r="994">
      <c r="A994" s="7" t="n"/>
      <c r="B994" s="8" t="n"/>
      <c r="E994">
        <f>IF(C994="","",C994-Cfg_TDEE-IFERROR(D994,0))</f>
        <v/>
      </c>
      <c r="F994">
        <f>IF(E994="","",IFERROR(F993,0)+(-E994))</f>
        <v/>
      </c>
      <c r="G994" s="9">
        <f>IF(F994="","",F994/Cfg_FatConstant)</f>
        <v/>
      </c>
      <c r="H994" s="8">
        <f>IF(G994="","",Cfg_StartWeight-G994)</f>
        <v/>
      </c>
      <c r="I994" s="8">
        <f>IF(B994="","",Cfg_StartWeight-B994)</f>
        <v/>
      </c>
      <c r="J994" s="10">
        <f>IF(OR(B994="",G994=""),"",I994-G994)</f>
        <v/>
      </c>
      <c r="K994" s="9">
        <f>IF(B994="","",IFERROR(AVERAGEIFS($B$2:$B$1001,$A$2:$A$1001,"&gt;="&amp;A994-6,$A$2:$A$1001,"&lt;="&amp;A994),""))</f>
        <v/>
      </c>
    </row>
    <row r="995">
      <c r="A995" s="7" t="n"/>
      <c r="B995" s="8" t="n"/>
      <c r="E995">
        <f>IF(C995="","",C995-Cfg_TDEE-IFERROR(D995,0))</f>
        <v/>
      </c>
      <c r="F995">
        <f>IF(E995="","",IFERROR(F994,0)+(-E995))</f>
        <v/>
      </c>
      <c r="G995" s="9">
        <f>IF(F995="","",F995/Cfg_FatConstant)</f>
        <v/>
      </c>
      <c r="H995" s="8">
        <f>IF(G995="","",Cfg_StartWeight-G995)</f>
        <v/>
      </c>
      <c r="I995" s="8">
        <f>IF(B995="","",Cfg_StartWeight-B995)</f>
        <v/>
      </c>
      <c r="J995" s="10">
        <f>IF(OR(B995="",G995=""),"",I995-G995)</f>
        <v/>
      </c>
      <c r="K995" s="9">
        <f>IF(B995="","",IFERROR(AVERAGEIFS($B$2:$B$1001,$A$2:$A$1001,"&gt;="&amp;A995-6,$A$2:$A$1001,"&lt;="&amp;A995),""))</f>
        <v/>
      </c>
    </row>
    <row r="996">
      <c r="A996" s="7" t="n"/>
      <c r="B996" s="8" t="n"/>
      <c r="E996">
        <f>IF(C996="","",C996-Cfg_TDEE-IFERROR(D996,0))</f>
        <v/>
      </c>
      <c r="F996">
        <f>IF(E996="","",IFERROR(F995,0)+(-E996))</f>
        <v/>
      </c>
      <c r="G996" s="9">
        <f>IF(F996="","",F996/Cfg_FatConstant)</f>
        <v/>
      </c>
      <c r="H996" s="8">
        <f>IF(G996="","",Cfg_StartWeight-G996)</f>
        <v/>
      </c>
      <c r="I996" s="8">
        <f>IF(B996="","",Cfg_StartWeight-B996)</f>
        <v/>
      </c>
      <c r="J996" s="10">
        <f>IF(OR(B996="",G996=""),"",I996-G996)</f>
        <v/>
      </c>
      <c r="K996" s="9">
        <f>IF(B996="","",IFERROR(AVERAGEIFS($B$2:$B$1001,$A$2:$A$1001,"&gt;="&amp;A996-6,$A$2:$A$1001,"&lt;="&amp;A996),""))</f>
        <v/>
      </c>
    </row>
    <row r="997">
      <c r="A997" s="7" t="n"/>
      <c r="B997" s="8" t="n"/>
      <c r="E997">
        <f>IF(C997="","",C997-Cfg_TDEE-IFERROR(D997,0))</f>
        <v/>
      </c>
      <c r="F997">
        <f>IF(E997="","",IFERROR(F996,0)+(-E997))</f>
        <v/>
      </c>
      <c r="G997" s="9">
        <f>IF(F997="","",F997/Cfg_FatConstant)</f>
        <v/>
      </c>
      <c r="H997" s="8">
        <f>IF(G997="","",Cfg_StartWeight-G997)</f>
        <v/>
      </c>
      <c r="I997" s="8">
        <f>IF(B997="","",Cfg_StartWeight-B997)</f>
        <v/>
      </c>
      <c r="J997" s="10">
        <f>IF(OR(B997="",G997=""),"",I997-G997)</f>
        <v/>
      </c>
      <c r="K997" s="9">
        <f>IF(B997="","",IFERROR(AVERAGEIFS($B$2:$B$1001,$A$2:$A$1001,"&gt;="&amp;A997-6,$A$2:$A$1001,"&lt;="&amp;A997),""))</f>
        <v/>
      </c>
    </row>
    <row r="998">
      <c r="A998" s="7" t="n"/>
      <c r="B998" s="8" t="n"/>
      <c r="E998">
        <f>IF(C998="","",C998-Cfg_TDEE-IFERROR(D998,0))</f>
        <v/>
      </c>
      <c r="F998">
        <f>IF(E998="","",IFERROR(F997,0)+(-E998))</f>
        <v/>
      </c>
      <c r="G998" s="9">
        <f>IF(F998="","",F998/Cfg_FatConstant)</f>
        <v/>
      </c>
      <c r="H998" s="8">
        <f>IF(G998="","",Cfg_StartWeight-G998)</f>
        <v/>
      </c>
      <c r="I998" s="8">
        <f>IF(B998="","",Cfg_StartWeight-B998)</f>
        <v/>
      </c>
      <c r="J998" s="10">
        <f>IF(OR(B998="",G998=""),"",I998-G998)</f>
        <v/>
      </c>
      <c r="K998" s="9">
        <f>IF(B998="","",IFERROR(AVERAGEIFS($B$2:$B$1001,$A$2:$A$1001,"&gt;="&amp;A998-6,$A$2:$A$1001,"&lt;="&amp;A998),""))</f>
        <v/>
      </c>
    </row>
    <row r="999">
      <c r="A999" s="7" t="n"/>
      <c r="B999" s="8" t="n"/>
      <c r="E999">
        <f>IF(C999="","",C999-Cfg_TDEE-IFERROR(D999,0))</f>
        <v/>
      </c>
      <c r="F999">
        <f>IF(E999="","",IFERROR(F998,0)+(-E999))</f>
        <v/>
      </c>
      <c r="G999" s="9">
        <f>IF(F999="","",F999/Cfg_FatConstant)</f>
        <v/>
      </c>
      <c r="H999" s="8">
        <f>IF(G999="","",Cfg_StartWeight-G999)</f>
        <v/>
      </c>
      <c r="I999" s="8">
        <f>IF(B999="","",Cfg_StartWeight-B999)</f>
        <v/>
      </c>
      <c r="J999" s="10">
        <f>IF(OR(B999="",G999=""),"",I999-G999)</f>
        <v/>
      </c>
      <c r="K999" s="9">
        <f>IF(B999="","",IFERROR(AVERAGEIFS($B$2:$B$1001,$A$2:$A$1001,"&gt;="&amp;A999-6,$A$2:$A$1001,"&lt;="&amp;A999),""))</f>
        <v/>
      </c>
    </row>
    <row r="1000">
      <c r="A1000" s="7" t="n"/>
      <c r="B1000" s="8" t="n"/>
      <c r="E1000">
        <f>IF(C1000="","",C1000-Cfg_TDEE-IFERROR(D1000,0))</f>
        <v/>
      </c>
      <c r="F1000">
        <f>IF(E1000="","",IFERROR(F999,0)+(-E1000))</f>
        <v/>
      </c>
      <c r="G1000" s="9">
        <f>IF(F1000="","",F1000/Cfg_FatConstant)</f>
        <v/>
      </c>
      <c r="H1000" s="8">
        <f>IF(G1000="","",Cfg_StartWeight-G1000)</f>
        <v/>
      </c>
      <c r="I1000" s="8">
        <f>IF(B1000="","",Cfg_StartWeight-B1000)</f>
        <v/>
      </c>
      <c r="J1000" s="10">
        <f>IF(OR(B1000="",G1000=""),"",I1000-G1000)</f>
        <v/>
      </c>
      <c r="K1000" s="9">
        <f>IF(B1000="","",IFERROR(AVERAGEIFS($B$2:$B$1001,$A$2:$A$1001,"&gt;="&amp;A1000-6,$A$2:$A$1001,"&lt;="&amp;A1000),""))</f>
        <v/>
      </c>
    </row>
    <row r="1001">
      <c r="A1001" s="7" t="n"/>
      <c r="B1001" s="8" t="n"/>
      <c r="E1001">
        <f>IF(C1001="","",C1001-Cfg_TDEE-IFERROR(D1001,0))</f>
        <v/>
      </c>
      <c r="F1001">
        <f>IF(E1001="","",IFERROR(F1000,0)+(-E1001))</f>
        <v/>
      </c>
      <c r="G1001" s="9">
        <f>IF(F1001="","",F1001/Cfg_FatConstant)</f>
        <v/>
      </c>
      <c r="H1001" s="8">
        <f>IF(G1001="","",Cfg_StartWeight-G1001)</f>
        <v/>
      </c>
      <c r="I1001" s="8">
        <f>IF(B1001="","",Cfg_StartWeight-B1001)</f>
        <v/>
      </c>
      <c r="J1001" s="10">
        <f>IF(OR(B1001="",G1001=""),"",I1001-G1001)</f>
        <v/>
      </c>
      <c r="K1001" s="9">
        <f>IF(B1001="","",IFERROR(AVERAGEIFS($B$2:$B$1001,$A$2:$A$1001,"&gt;="&amp;A1001-6,$A$2:$A$1001,"&lt;="&amp;A1001),""))</f>
        <v/>
      </c>
    </row>
  </sheetData>
  <conditionalFormatting sqref="J2:J1001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5" customWidth="1" min="3" max="3"/>
    <col width="6" customWidth="1" min="4" max="4"/>
    <col width="8" customWidth="1" min="5" max="5"/>
    <col width="5" customWidth="1" min="6" max="6"/>
    <col width="30" customWidth="1" min="7" max="7"/>
    <col width="9" customWidth="1" min="8" max="8"/>
    <col width="9" customWidth="1" min="9" max="9"/>
    <col width="6" customWidth="1" min="10" max="10"/>
  </cols>
  <sheetData>
    <row r="1">
      <c r="A1" s="2" t="inlineStr">
        <is>
          <t>Date</t>
        </is>
      </c>
      <c r="B1" s="2" t="inlineStr">
        <is>
          <t>Exercise</t>
        </is>
      </c>
      <c r="C1" s="2" t="inlineStr">
        <is>
          <t>Set</t>
        </is>
      </c>
      <c r="D1" s="2" t="inlineStr">
        <is>
          <t>Reps</t>
        </is>
      </c>
      <c r="E1" s="2" t="inlineStr">
        <is>
          <t>Weight</t>
        </is>
      </c>
      <c r="F1" s="2" t="inlineStr">
        <is>
          <t>RPE</t>
        </is>
      </c>
      <c r="G1" s="2" t="inlineStr">
        <is>
          <t>Notes</t>
        </is>
      </c>
      <c r="H1" s="2" t="inlineStr">
        <is>
          <t>Volume</t>
        </is>
      </c>
      <c r="I1" s="2" t="inlineStr">
        <is>
          <t>e1RM</t>
        </is>
      </c>
      <c r="J1" s="2" t="inlineStr">
        <is>
          <t>Is PR</t>
        </is>
      </c>
    </row>
    <row r="2">
      <c r="A2" s="7" t="n"/>
      <c r="H2" s="11">
        <f>IF(OR(D2="",E2=""),"",D2*E2)</f>
        <v/>
      </c>
      <c r="I2" s="8">
        <f>IF(OR(D2="",E2=""),"",E2*(1+D2/30))</f>
        <v/>
      </c>
      <c r="J2">
        <f>IF(I2="","",IF(I2&gt;=MAXIFS($I$2:$I$5001,$B$2:$B$5001,B2,$A$2:$A$5001,"&lt;="&amp;A2),"PR",""))</f>
        <v/>
      </c>
    </row>
    <row r="3">
      <c r="A3" s="7" t="n"/>
      <c r="H3" s="11">
        <f>IF(OR(D3="",E3=""),"",D3*E3)</f>
        <v/>
      </c>
      <c r="I3" s="8">
        <f>IF(OR(D3="",E3=""),"",E3*(1+D3/30))</f>
        <v/>
      </c>
      <c r="J3">
        <f>IF(I3="","",IF(I3&gt;=MAXIFS($I$2:$I$5001,$B$2:$B$5001,B3,$A$2:$A$5001,"&lt;="&amp;A3),"PR",""))</f>
        <v/>
      </c>
    </row>
    <row r="4">
      <c r="A4" s="7" t="n"/>
      <c r="H4" s="11">
        <f>IF(OR(D4="",E4=""),"",D4*E4)</f>
        <v/>
      </c>
      <c r="I4" s="8">
        <f>IF(OR(D4="",E4=""),"",E4*(1+D4/30))</f>
        <v/>
      </c>
      <c r="J4">
        <f>IF(I4="","",IF(I4&gt;=MAXIFS($I$2:$I$5001,$B$2:$B$5001,B4,$A$2:$A$5001,"&lt;="&amp;A4),"PR",""))</f>
        <v/>
      </c>
    </row>
    <row r="5">
      <c r="A5" s="7" t="n"/>
      <c r="H5" s="11">
        <f>IF(OR(D5="",E5=""),"",D5*E5)</f>
        <v/>
      </c>
      <c r="I5" s="8">
        <f>IF(OR(D5="",E5=""),"",E5*(1+D5/30))</f>
        <v/>
      </c>
      <c r="J5">
        <f>IF(I5="","",IF(I5&gt;=MAXIFS($I$2:$I$5001,$B$2:$B$5001,B5,$A$2:$A$5001,"&lt;="&amp;A5),"PR",""))</f>
        <v/>
      </c>
    </row>
    <row r="6">
      <c r="A6" s="7" t="n"/>
      <c r="H6" s="11">
        <f>IF(OR(D6="",E6=""),"",D6*E6)</f>
        <v/>
      </c>
      <c r="I6" s="8">
        <f>IF(OR(D6="",E6=""),"",E6*(1+D6/30))</f>
        <v/>
      </c>
      <c r="J6">
        <f>IF(I6="","",IF(I6&gt;=MAXIFS($I$2:$I$5001,$B$2:$B$5001,B6,$A$2:$A$5001,"&lt;="&amp;A6),"PR",""))</f>
        <v/>
      </c>
    </row>
    <row r="7">
      <c r="A7" s="7" t="n"/>
      <c r="H7" s="11">
        <f>IF(OR(D7="",E7=""),"",D7*E7)</f>
        <v/>
      </c>
      <c r="I7" s="8">
        <f>IF(OR(D7="",E7=""),"",E7*(1+D7/30))</f>
        <v/>
      </c>
      <c r="J7">
        <f>IF(I7="","",IF(I7&gt;=MAXIFS($I$2:$I$5001,$B$2:$B$5001,B7,$A$2:$A$5001,"&lt;="&amp;A7),"PR",""))</f>
        <v/>
      </c>
    </row>
    <row r="8">
      <c r="A8" s="7" t="n"/>
      <c r="H8" s="11">
        <f>IF(OR(D8="",E8=""),"",D8*E8)</f>
        <v/>
      </c>
      <c r="I8" s="8">
        <f>IF(OR(D8="",E8=""),"",E8*(1+D8/30))</f>
        <v/>
      </c>
      <c r="J8">
        <f>IF(I8="","",IF(I8&gt;=MAXIFS($I$2:$I$5001,$B$2:$B$5001,B8,$A$2:$A$5001,"&lt;="&amp;A8),"PR",""))</f>
        <v/>
      </c>
    </row>
    <row r="9">
      <c r="A9" s="7" t="n"/>
      <c r="H9" s="11">
        <f>IF(OR(D9="",E9=""),"",D9*E9)</f>
        <v/>
      </c>
      <c r="I9" s="8">
        <f>IF(OR(D9="",E9=""),"",E9*(1+D9/30))</f>
        <v/>
      </c>
      <c r="J9">
        <f>IF(I9="","",IF(I9&gt;=MAXIFS($I$2:$I$5001,$B$2:$B$5001,B9,$A$2:$A$5001,"&lt;="&amp;A9),"PR",""))</f>
        <v/>
      </c>
    </row>
    <row r="10">
      <c r="A10" s="7" t="n"/>
      <c r="H10" s="11">
        <f>IF(OR(D10="",E10=""),"",D10*E10)</f>
        <v/>
      </c>
      <c r="I10" s="8">
        <f>IF(OR(D10="",E10=""),"",E10*(1+D10/30))</f>
        <v/>
      </c>
      <c r="J10">
        <f>IF(I10="","",IF(I10&gt;=MAXIFS($I$2:$I$5001,$B$2:$B$5001,B10,$A$2:$A$5001,"&lt;="&amp;A10),"PR",""))</f>
        <v/>
      </c>
    </row>
    <row r="11">
      <c r="A11" s="7" t="n"/>
      <c r="H11" s="11">
        <f>IF(OR(D11="",E11=""),"",D11*E11)</f>
        <v/>
      </c>
      <c r="I11" s="8">
        <f>IF(OR(D11="",E11=""),"",E11*(1+D11/30))</f>
        <v/>
      </c>
      <c r="J11">
        <f>IF(I11="","",IF(I11&gt;=MAXIFS($I$2:$I$5001,$B$2:$B$5001,B11,$A$2:$A$5001,"&lt;="&amp;A11),"PR",""))</f>
        <v/>
      </c>
    </row>
    <row r="12">
      <c r="A12" s="7" t="n"/>
      <c r="H12" s="11">
        <f>IF(OR(D12="",E12=""),"",D12*E12)</f>
        <v/>
      </c>
      <c r="I12" s="8">
        <f>IF(OR(D12="",E12=""),"",E12*(1+D12/30))</f>
        <v/>
      </c>
      <c r="J12">
        <f>IF(I12="","",IF(I12&gt;=MAXIFS($I$2:$I$5001,$B$2:$B$5001,B12,$A$2:$A$5001,"&lt;="&amp;A12),"PR",""))</f>
        <v/>
      </c>
    </row>
    <row r="13">
      <c r="A13" s="7" t="n"/>
      <c r="H13" s="11">
        <f>IF(OR(D13="",E13=""),"",D13*E13)</f>
        <v/>
      </c>
      <c r="I13" s="8">
        <f>IF(OR(D13="",E13=""),"",E13*(1+D13/30))</f>
        <v/>
      </c>
      <c r="J13">
        <f>IF(I13="","",IF(I13&gt;=MAXIFS($I$2:$I$5001,$B$2:$B$5001,B13,$A$2:$A$5001,"&lt;="&amp;A13),"PR",""))</f>
        <v/>
      </c>
    </row>
    <row r="14">
      <c r="A14" s="7" t="n"/>
      <c r="H14" s="11">
        <f>IF(OR(D14="",E14=""),"",D14*E14)</f>
        <v/>
      </c>
      <c r="I14" s="8">
        <f>IF(OR(D14="",E14=""),"",E14*(1+D14/30))</f>
        <v/>
      </c>
      <c r="J14">
        <f>IF(I14="","",IF(I14&gt;=MAXIFS($I$2:$I$5001,$B$2:$B$5001,B14,$A$2:$A$5001,"&lt;="&amp;A14),"PR",""))</f>
        <v/>
      </c>
    </row>
    <row r="15">
      <c r="A15" s="7" t="n"/>
      <c r="H15" s="11">
        <f>IF(OR(D15="",E15=""),"",D15*E15)</f>
        <v/>
      </c>
      <c r="I15" s="8">
        <f>IF(OR(D15="",E15=""),"",E15*(1+D15/30))</f>
        <v/>
      </c>
      <c r="J15">
        <f>IF(I15="","",IF(I15&gt;=MAXIFS($I$2:$I$5001,$B$2:$B$5001,B15,$A$2:$A$5001,"&lt;="&amp;A15),"PR",""))</f>
        <v/>
      </c>
    </row>
    <row r="16">
      <c r="A16" s="7" t="n"/>
      <c r="H16" s="11">
        <f>IF(OR(D16="",E16=""),"",D16*E16)</f>
        <v/>
      </c>
      <c r="I16" s="8">
        <f>IF(OR(D16="",E16=""),"",E16*(1+D16/30))</f>
        <v/>
      </c>
      <c r="J16">
        <f>IF(I16="","",IF(I16&gt;=MAXIFS($I$2:$I$5001,$B$2:$B$5001,B16,$A$2:$A$5001,"&lt;="&amp;A16),"PR",""))</f>
        <v/>
      </c>
    </row>
    <row r="17">
      <c r="A17" s="7" t="n"/>
      <c r="H17" s="11">
        <f>IF(OR(D17="",E17=""),"",D17*E17)</f>
        <v/>
      </c>
      <c r="I17" s="8">
        <f>IF(OR(D17="",E17=""),"",E17*(1+D17/30))</f>
        <v/>
      </c>
      <c r="J17">
        <f>IF(I17="","",IF(I17&gt;=MAXIFS($I$2:$I$5001,$B$2:$B$5001,B17,$A$2:$A$5001,"&lt;="&amp;A17),"PR",""))</f>
        <v/>
      </c>
    </row>
    <row r="18">
      <c r="A18" s="7" t="n"/>
      <c r="H18" s="11">
        <f>IF(OR(D18="",E18=""),"",D18*E18)</f>
        <v/>
      </c>
      <c r="I18" s="8">
        <f>IF(OR(D18="",E18=""),"",E18*(1+D18/30))</f>
        <v/>
      </c>
      <c r="J18">
        <f>IF(I18="","",IF(I18&gt;=MAXIFS($I$2:$I$5001,$B$2:$B$5001,B18,$A$2:$A$5001,"&lt;="&amp;A18),"PR",""))</f>
        <v/>
      </c>
    </row>
    <row r="19">
      <c r="A19" s="7" t="n"/>
      <c r="H19" s="11">
        <f>IF(OR(D19="",E19=""),"",D19*E19)</f>
        <v/>
      </c>
      <c r="I19" s="8">
        <f>IF(OR(D19="",E19=""),"",E19*(1+D19/30))</f>
        <v/>
      </c>
      <c r="J19">
        <f>IF(I19="","",IF(I19&gt;=MAXIFS($I$2:$I$5001,$B$2:$B$5001,B19,$A$2:$A$5001,"&lt;="&amp;A19),"PR",""))</f>
        <v/>
      </c>
    </row>
    <row r="20">
      <c r="A20" s="7" t="n"/>
      <c r="H20" s="11">
        <f>IF(OR(D20="",E20=""),"",D20*E20)</f>
        <v/>
      </c>
      <c r="I20" s="8">
        <f>IF(OR(D20="",E20=""),"",E20*(1+D20/30))</f>
        <v/>
      </c>
      <c r="J20">
        <f>IF(I20="","",IF(I20&gt;=MAXIFS($I$2:$I$5001,$B$2:$B$5001,B20,$A$2:$A$5001,"&lt;="&amp;A20),"PR",""))</f>
        <v/>
      </c>
    </row>
    <row r="21">
      <c r="A21" s="7" t="n"/>
      <c r="H21" s="11">
        <f>IF(OR(D21="",E21=""),"",D21*E21)</f>
        <v/>
      </c>
      <c r="I21" s="8">
        <f>IF(OR(D21="",E21=""),"",E21*(1+D21/30))</f>
        <v/>
      </c>
      <c r="J21">
        <f>IF(I21="","",IF(I21&gt;=MAXIFS($I$2:$I$5001,$B$2:$B$5001,B21,$A$2:$A$5001,"&lt;="&amp;A21),"PR",""))</f>
        <v/>
      </c>
    </row>
    <row r="22">
      <c r="A22" s="7" t="n"/>
      <c r="H22" s="11">
        <f>IF(OR(D22="",E22=""),"",D22*E22)</f>
        <v/>
      </c>
      <c r="I22" s="8">
        <f>IF(OR(D22="",E22=""),"",E22*(1+D22/30))</f>
        <v/>
      </c>
      <c r="J22">
        <f>IF(I22="","",IF(I22&gt;=MAXIFS($I$2:$I$5001,$B$2:$B$5001,B22,$A$2:$A$5001,"&lt;="&amp;A22),"PR",""))</f>
        <v/>
      </c>
    </row>
    <row r="23">
      <c r="A23" s="7" t="n"/>
      <c r="H23" s="11">
        <f>IF(OR(D23="",E23=""),"",D23*E23)</f>
        <v/>
      </c>
      <c r="I23" s="8">
        <f>IF(OR(D23="",E23=""),"",E23*(1+D23/30))</f>
        <v/>
      </c>
      <c r="J23">
        <f>IF(I23="","",IF(I23&gt;=MAXIFS($I$2:$I$5001,$B$2:$B$5001,B23,$A$2:$A$5001,"&lt;="&amp;A23),"PR",""))</f>
        <v/>
      </c>
    </row>
    <row r="24">
      <c r="A24" s="7" t="n"/>
      <c r="H24" s="11">
        <f>IF(OR(D24="",E24=""),"",D24*E24)</f>
        <v/>
      </c>
      <c r="I24" s="8">
        <f>IF(OR(D24="",E24=""),"",E24*(1+D24/30))</f>
        <v/>
      </c>
      <c r="J24">
        <f>IF(I24="","",IF(I24&gt;=MAXIFS($I$2:$I$5001,$B$2:$B$5001,B24,$A$2:$A$5001,"&lt;="&amp;A24),"PR",""))</f>
        <v/>
      </c>
    </row>
    <row r="25">
      <c r="A25" s="7" t="n"/>
      <c r="H25" s="11">
        <f>IF(OR(D25="",E25=""),"",D25*E25)</f>
        <v/>
      </c>
      <c r="I25" s="8">
        <f>IF(OR(D25="",E25=""),"",E25*(1+D25/30))</f>
        <v/>
      </c>
      <c r="J25">
        <f>IF(I25="","",IF(I25&gt;=MAXIFS($I$2:$I$5001,$B$2:$B$5001,B25,$A$2:$A$5001,"&lt;="&amp;A25),"PR",""))</f>
        <v/>
      </c>
    </row>
    <row r="26">
      <c r="A26" s="7" t="n"/>
      <c r="H26" s="11">
        <f>IF(OR(D26="",E26=""),"",D26*E26)</f>
        <v/>
      </c>
      <c r="I26" s="8">
        <f>IF(OR(D26="",E26=""),"",E26*(1+D26/30))</f>
        <v/>
      </c>
      <c r="J26">
        <f>IF(I26="","",IF(I26&gt;=MAXIFS($I$2:$I$5001,$B$2:$B$5001,B26,$A$2:$A$5001,"&lt;="&amp;A26),"PR",""))</f>
        <v/>
      </c>
    </row>
    <row r="27">
      <c r="A27" s="7" t="n"/>
      <c r="H27" s="11">
        <f>IF(OR(D27="",E27=""),"",D27*E27)</f>
        <v/>
      </c>
      <c r="I27" s="8">
        <f>IF(OR(D27="",E27=""),"",E27*(1+D27/30))</f>
        <v/>
      </c>
      <c r="J27">
        <f>IF(I27="","",IF(I27&gt;=MAXIFS($I$2:$I$5001,$B$2:$B$5001,B27,$A$2:$A$5001,"&lt;="&amp;A27),"PR",""))</f>
        <v/>
      </c>
    </row>
    <row r="28">
      <c r="A28" s="7" t="n"/>
      <c r="H28" s="11">
        <f>IF(OR(D28="",E28=""),"",D28*E28)</f>
        <v/>
      </c>
      <c r="I28" s="8">
        <f>IF(OR(D28="",E28=""),"",E28*(1+D28/30))</f>
        <v/>
      </c>
      <c r="J28">
        <f>IF(I28="","",IF(I28&gt;=MAXIFS($I$2:$I$5001,$B$2:$B$5001,B28,$A$2:$A$5001,"&lt;="&amp;A28),"PR",""))</f>
        <v/>
      </c>
    </row>
    <row r="29">
      <c r="A29" s="7" t="n"/>
      <c r="H29" s="11">
        <f>IF(OR(D29="",E29=""),"",D29*E29)</f>
        <v/>
      </c>
      <c r="I29" s="8">
        <f>IF(OR(D29="",E29=""),"",E29*(1+D29/30))</f>
        <v/>
      </c>
      <c r="J29">
        <f>IF(I29="","",IF(I29&gt;=MAXIFS($I$2:$I$5001,$B$2:$B$5001,B29,$A$2:$A$5001,"&lt;="&amp;A29),"PR",""))</f>
        <v/>
      </c>
    </row>
    <row r="30">
      <c r="A30" s="7" t="n"/>
      <c r="H30" s="11">
        <f>IF(OR(D30="",E30=""),"",D30*E30)</f>
        <v/>
      </c>
      <c r="I30" s="8">
        <f>IF(OR(D30="",E30=""),"",E30*(1+D30/30))</f>
        <v/>
      </c>
      <c r="J30">
        <f>IF(I30="","",IF(I30&gt;=MAXIFS($I$2:$I$5001,$B$2:$B$5001,B30,$A$2:$A$5001,"&lt;="&amp;A30),"PR",""))</f>
        <v/>
      </c>
    </row>
    <row r="31">
      <c r="A31" s="7" t="n"/>
      <c r="H31" s="11">
        <f>IF(OR(D31="",E31=""),"",D31*E31)</f>
        <v/>
      </c>
      <c r="I31" s="8">
        <f>IF(OR(D31="",E31=""),"",E31*(1+D31/30))</f>
        <v/>
      </c>
      <c r="J31">
        <f>IF(I31="","",IF(I31&gt;=MAXIFS($I$2:$I$5001,$B$2:$B$5001,B31,$A$2:$A$5001,"&lt;="&amp;A31),"PR",""))</f>
        <v/>
      </c>
    </row>
    <row r="32">
      <c r="A32" s="7" t="n"/>
      <c r="H32" s="11">
        <f>IF(OR(D32="",E32=""),"",D32*E32)</f>
        <v/>
      </c>
      <c r="I32" s="8">
        <f>IF(OR(D32="",E32=""),"",E32*(1+D32/30))</f>
        <v/>
      </c>
      <c r="J32">
        <f>IF(I32="","",IF(I32&gt;=MAXIFS($I$2:$I$5001,$B$2:$B$5001,B32,$A$2:$A$5001,"&lt;="&amp;A32),"PR",""))</f>
        <v/>
      </c>
    </row>
    <row r="33">
      <c r="A33" s="7" t="n"/>
      <c r="H33" s="11">
        <f>IF(OR(D33="",E33=""),"",D33*E33)</f>
        <v/>
      </c>
      <c r="I33" s="8">
        <f>IF(OR(D33="",E33=""),"",E33*(1+D33/30))</f>
        <v/>
      </c>
      <c r="J33">
        <f>IF(I33="","",IF(I33&gt;=MAXIFS($I$2:$I$5001,$B$2:$B$5001,B33,$A$2:$A$5001,"&lt;="&amp;A33),"PR",""))</f>
        <v/>
      </c>
    </row>
    <row r="34">
      <c r="A34" s="7" t="n"/>
      <c r="H34" s="11">
        <f>IF(OR(D34="",E34=""),"",D34*E34)</f>
        <v/>
      </c>
      <c r="I34" s="8">
        <f>IF(OR(D34="",E34=""),"",E34*(1+D34/30))</f>
        <v/>
      </c>
      <c r="J34">
        <f>IF(I34="","",IF(I34&gt;=MAXIFS($I$2:$I$5001,$B$2:$B$5001,B34,$A$2:$A$5001,"&lt;="&amp;A34),"PR",""))</f>
        <v/>
      </c>
    </row>
    <row r="35">
      <c r="A35" s="7" t="n"/>
      <c r="H35" s="11">
        <f>IF(OR(D35="",E35=""),"",D35*E35)</f>
        <v/>
      </c>
      <c r="I35" s="8">
        <f>IF(OR(D35="",E35=""),"",E35*(1+D35/30))</f>
        <v/>
      </c>
      <c r="J35">
        <f>IF(I35="","",IF(I35&gt;=MAXIFS($I$2:$I$5001,$B$2:$B$5001,B35,$A$2:$A$5001,"&lt;="&amp;A35),"PR",""))</f>
        <v/>
      </c>
    </row>
    <row r="36">
      <c r="A36" s="7" t="n"/>
      <c r="H36" s="11">
        <f>IF(OR(D36="",E36=""),"",D36*E36)</f>
        <v/>
      </c>
      <c r="I36" s="8">
        <f>IF(OR(D36="",E36=""),"",E36*(1+D36/30))</f>
        <v/>
      </c>
      <c r="J36">
        <f>IF(I36="","",IF(I36&gt;=MAXIFS($I$2:$I$5001,$B$2:$B$5001,B36,$A$2:$A$5001,"&lt;="&amp;A36),"PR",""))</f>
        <v/>
      </c>
    </row>
    <row r="37">
      <c r="A37" s="7" t="n"/>
      <c r="H37" s="11">
        <f>IF(OR(D37="",E37=""),"",D37*E37)</f>
        <v/>
      </c>
      <c r="I37" s="8">
        <f>IF(OR(D37="",E37=""),"",E37*(1+D37/30))</f>
        <v/>
      </c>
      <c r="J37">
        <f>IF(I37="","",IF(I37&gt;=MAXIFS($I$2:$I$5001,$B$2:$B$5001,B37,$A$2:$A$5001,"&lt;="&amp;A37),"PR",""))</f>
        <v/>
      </c>
    </row>
    <row r="38">
      <c r="A38" s="7" t="n"/>
      <c r="H38" s="11">
        <f>IF(OR(D38="",E38=""),"",D38*E38)</f>
        <v/>
      </c>
      <c r="I38" s="8">
        <f>IF(OR(D38="",E38=""),"",E38*(1+D38/30))</f>
        <v/>
      </c>
      <c r="J38">
        <f>IF(I38="","",IF(I38&gt;=MAXIFS($I$2:$I$5001,$B$2:$B$5001,B38,$A$2:$A$5001,"&lt;="&amp;A38),"PR",""))</f>
        <v/>
      </c>
    </row>
    <row r="39">
      <c r="A39" s="7" t="n"/>
      <c r="H39" s="11">
        <f>IF(OR(D39="",E39=""),"",D39*E39)</f>
        <v/>
      </c>
      <c r="I39" s="8">
        <f>IF(OR(D39="",E39=""),"",E39*(1+D39/30))</f>
        <v/>
      </c>
      <c r="J39">
        <f>IF(I39="","",IF(I39&gt;=MAXIFS($I$2:$I$5001,$B$2:$B$5001,B39,$A$2:$A$5001,"&lt;="&amp;A39),"PR",""))</f>
        <v/>
      </c>
    </row>
    <row r="40">
      <c r="A40" s="7" t="n"/>
      <c r="H40" s="11">
        <f>IF(OR(D40="",E40=""),"",D40*E40)</f>
        <v/>
      </c>
      <c r="I40" s="8">
        <f>IF(OR(D40="",E40=""),"",E40*(1+D40/30))</f>
        <v/>
      </c>
      <c r="J40">
        <f>IF(I40="","",IF(I40&gt;=MAXIFS($I$2:$I$5001,$B$2:$B$5001,B40,$A$2:$A$5001,"&lt;="&amp;A40),"PR",""))</f>
        <v/>
      </c>
    </row>
    <row r="41">
      <c r="A41" s="7" t="n"/>
      <c r="H41" s="11">
        <f>IF(OR(D41="",E41=""),"",D41*E41)</f>
        <v/>
      </c>
      <c r="I41" s="8">
        <f>IF(OR(D41="",E41=""),"",E41*(1+D41/30))</f>
        <v/>
      </c>
      <c r="J41">
        <f>IF(I41="","",IF(I41&gt;=MAXIFS($I$2:$I$5001,$B$2:$B$5001,B41,$A$2:$A$5001,"&lt;="&amp;A41),"PR",""))</f>
        <v/>
      </c>
    </row>
    <row r="42">
      <c r="A42" s="7" t="n"/>
      <c r="H42" s="11">
        <f>IF(OR(D42="",E42=""),"",D42*E42)</f>
        <v/>
      </c>
      <c r="I42" s="8">
        <f>IF(OR(D42="",E42=""),"",E42*(1+D42/30))</f>
        <v/>
      </c>
      <c r="J42">
        <f>IF(I42="","",IF(I42&gt;=MAXIFS($I$2:$I$5001,$B$2:$B$5001,B42,$A$2:$A$5001,"&lt;="&amp;A42),"PR",""))</f>
        <v/>
      </c>
    </row>
    <row r="43">
      <c r="A43" s="7" t="n"/>
      <c r="H43" s="11">
        <f>IF(OR(D43="",E43=""),"",D43*E43)</f>
        <v/>
      </c>
      <c r="I43" s="8">
        <f>IF(OR(D43="",E43=""),"",E43*(1+D43/30))</f>
        <v/>
      </c>
      <c r="J43">
        <f>IF(I43="","",IF(I43&gt;=MAXIFS($I$2:$I$5001,$B$2:$B$5001,B43,$A$2:$A$5001,"&lt;="&amp;A43),"PR",""))</f>
        <v/>
      </c>
    </row>
    <row r="44">
      <c r="A44" s="7" t="n"/>
      <c r="H44" s="11">
        <f>IF(OR(D44="",E44=""),"",D44*E44)</f>
        <v/>
      </c>
      <c r="I44" s="8">
        <f>IF(OR(D44="",E44=""),"",E44*(1+D44/30))</f>
        <v/>
      </c>
      <c r="J44">
        <f>IF(I44="","",IF(I44&gt;=MAXIFS($I$2:$I$5001,$B$2:$B$5001,B44,$A$2:$A$5001,"&lt;="&amp;A44),"PR",""))</f>
        <v/>
      </c>
    </row>
    <row r="45">
      <c r="A45" s="7" t="n"/>
      <c r="H45" s="11">
        <f>IF(OR(D45="",E45=""),"",D45*E45)</f>
        <v/>
      </c>
      <c r="I45" s="8">
        <f>IF(OR(D45="",E45=""),"",E45*(1+D45/30))</f>
        <v/>
      </c>
      <c r="J45">
        <f>IF(I45="","",IF(I45&gt;=MAXIFS($I$2:$I$5001,$B$2:$B$5001,B45,$A$2:$A$5001,"&lt;="&amp;A45),"PR",""))</f>
        <v/>
      </c>
    </row>
    <row r="46">
      <c r="A46" s="7" t="n"/>
      <c r="H46" s="11">
        <f>IF(OR(D46="",E46=""),"",D46*E46)</f>
        <v/>
      </c>
      <c r="I46" s="8">
        <f>IF(OR(D46="",E46=""),"",E46*(1+D46/30))</f>
        <v/>
      </c>
      <c r="J46">
        <f>IF(I46="","",IF(I46&gt;=MAXIFS($I$2:$I$5001,$B$2:$B$5001,B46,$A$2:$A$5001,"&lt;="&amp;A46),"PR",""))</f>
        <v/>
      </c>
    </row>
    <row r="47">
      <c r="A47" s="7" t="n"/>
      <c r="H47" s="11">
        <f>IF(OR(D47="",E47=""),"",D47*E47)</f>
        <v/>
      </c>
      <c r="I47" s="8">
        <f>IF(OR(D47="",E47=""),"",E47*(1+D47/30))</f>
        <v/>
      </c>
      <c r="J47">
        <f>IF(I47="","",IF(I47&gt;=MAXIFS($I$2:$I$5001,$B$2:$B$5001,B47,$A$2:$A$5001,"&lt;="&amp;A47),"PR",""))</f>
        <v/>
      </c>
    </row>
    <row r="48">
      <c r="A48" s="7" t="n"/>
      <c r="H48" s="11">
        <f>IF(OR(D48="",E48=""),"",D48*E48)</f>
        <v/>
      </c>
      <c r="I48" s="8">
        <f>IF(OR(D48="",E48=""),"",E48*(1+D48/30))</f>
        <v/>
      </c>
      <c r="J48">
        <f>IF(I48="","",IF(I48&gt;=MAXIFS($I$2:$I$5001,$B$2:$B$5001,B48,$A$2:$A$5001,"&lt;="&amp;A48),"PR",""))</f>
        <v/>
      </c>
    </row>
    <row r="49">
      <c r="A49" s="7" t="n"/>
      <c r="H49" s="11">
        <f>IF(OR(D49="",E49=""),"",D49*E49)</f>
        <v/>
      </c>
      <c r="I49" s="8">
        <f>IF(OR(D49="",E49=""),"",E49*(1+D49/30))</f>
        <v/>
      </c>
      <c r="J49">
        <f>IF(I49="","",IF(I49&gt;=MAXIFS($I$2:$I$5001,$B$2:$B$5001,B49,$A$2:$A$5001,"&lt;="&amp;A49),"PR",""))</f>
        <v/>
      </c>
    </row>
    <row r="50">
      <c r="A50" s="7" t="n"/>
      <c r="H50" s="11">
        <f>IF(OR(D50="",E50=""),"",D50*E50)</f>
        <v/>
      </c>
      <c r="I50" s="8">
        <f>IF(OR(D50="",E50=""),"",E50*(1+D50/30))</f>
        <v/>
      </c>
      <c r="J50">
        <f>IF(I50="","",IF(I50&gt;=MAXIFS($I$2:$I$5001,$B$2:$B$5001,B50,$A$2:$A$5001,"&lt;="&amp;A50),"PR",""))</f>
        <v/>
      </c>
    </row>
    <row r="51">
      <c r="A51" s="7" t="n"/>
      <c r="H51" s="11">
        <f>IF(OR(D51="",E51=""),"",D51*E51)</f>
        <v/>
      </c>
      <c r="I51" s="8">
        <f>IF(OR(D51="",E51=""),"",E51*(1+D51/30))</f>
        <v/>
      </c>
      <c r="J51">
        <f>IF(I51="","",IF(I51&gt;=MAXIFS($I$2:$I$5001,$B$2:$B$5001,B51,$A$2:$A$5001,"&lt;="&amp;A51),"PR",""))</f>
        <v/>
      </c>
    </row>
    <row r="52">
      <c r="A52" s="7" t="n"/>
      <c r="H52" s="11">
        <f>IF(OR(D52="",E52=""),"",D52*E52)</f>
        <v/>
      </c>
      <c r="I52" s="8">
        <f>IF(OR(D52="",E52=""),"",E52*(1+D52/30))</f>
        <v/>
      </c>
      <c r="J52">
        <f>IF(I52="","",IF(I52&gt;=MAXIFS($I$2:$I$5001,$B$2:$B$5001,B52,$A$2:$A$5001,"&lt;="&amp;A52),"PR",""))</f>
        <v/>
      </c>
    </row>
    <row r="53">
      <c r="A53" s="7" t="n"/>
      <c r="H53" s="11">
        <f>IF(OR(D53="",E53=""),"",D53*E53)</f>
        <v/>
      </c>
      <c r="I53" s="8">
        <f>IF(OR(D53="",E53=""),"",E53*(1+D53/30))</f>
        <v/>
      </c>
      <c r="J53">
        <f>IF(I53="","",IF(I53&gt;=MAXIFS($I$2:$I$5001,$B$2:$B$5001,B53,$A$2:$A$5001,"&lt;="&amp;A53),"PR",""))</f>
        <v/>
      </c>
    </row>
    <row r="54">
      <c r="A54" s="7" t="n"/>
      <c r="H54" s="11">
        <f>IF(OR(D54="",E54=""),"",D54*E54)</f>
        <v/>
      </c>
      <c r="I54" s="8">
        <f>IF(OR(D54="",E54=""),"",E54*(1+D54/30))</f>
        <v/>
      </c>
      <c r="J54">
        <f>IF(I54="","",IF(I54&gt;=MAXIFS($I$2:$I$5001,$B$2:$B$5001,B54,$A$2:$A$5001,"&lt;="&amp;A54),"PR",""))</f>
        <v/>
      </c>
    </row>
    <row r="55">
      <c r="A55" s="7" t="n"/>
      <c r="H55" s="11">
        <f>IF(OR(D55="",E55=""),"",D55*E55)</f>
        <v/>
      </c>
      <c r="I55" s="8">
        <f>IF(OR(D55="",E55=""),"",E55*(1+D55/30))</f>
        <v/>
      </c>
      <c r="J55">
        <f>IF(I55="","",IF(I55&gt;=MAXIFS($I$2:$I$5001,$B$2:$B$5001,B55,$A$2:$A$5001,"&lt;="&amp;A55),"PR",""))</f>
        <v/>
      </c>
    </row>
    <row r="56">
      <c r="A56" s="7" t="n"/>
      <c r="H56" s="11">
        <f>IF(OR(D56="",E56=""),"",D56*E56)</f>
        <v/>
      </c>
      <c r="I56" s="8">
        <f>IF(OR(D56="",E56=""),"",E56*(1+D56/30))</f>
        <v/>
      </c>
      <c r="J56">
        <f>IF(I56="","",IF(I56&gt;=MAXIFS($I$2:$I$5001,$B$2:$B$5001,B56,$A$2:$A$5001,"&lt;="&amp;A56),"PR",""))</f>
        <v/>
      </c>
    </row>
    <row r="57">
      <c r="A57" s="7" t="n"/>
      <c r="H57" s="11">
        <f>IF(OR(D57="",E57=""),"",D57*E57)</f>
        <v/>
      </c>
      <c r="I57" s="8">
        <f>IF(OR(D57="",E57=""),"",E57*(1+D57/30))</f>
        <v/>
      </c>
      <c r="J57">
        <f>IF(I57="","",IF(I57&gt;=MAXIFS($I$2:$I$5001,$B$2:$B$5001,B57,$A$2:$A$5001,"&lt;="&amp;A57),"PR",""))</f>
        <v/>
      </c>
    </row>
    <row r="58">
      <c r="A58" s="7" t="n"/>
      <c r="H58" s="11">
        <f>IF(OR(D58="",E58=""),"",D58*E58)</f>
        <v/>
      </c>
      <c r="I58" s="8">
        <f>IF(OR(D58="",E58=""),"",E58*(1+D58/30))</f>
        <v/>
      </c>
      <c r="J58">
        <f>IF(I58="","",IF(I58&gt;=MAXIFS($I$2:$I$5001,$B$2:$B$5001,B58,$A$2:$A$5001,"&lt;="&amp;A58),"PR",""))</f>
        <v/>
      </c>
    </row>
    <row r="59">
      <c r="A59" s="7" t="n"/>
      <c r="H59" s="11">
        <f>IF(OR(D59="",E59=""),"",D59*E59)</f>
        <v/>
      </c>
      <c r="I59" s="8">
        <f>IF(OR(D59="",E59=""),"",E59*(1+D59/30))</f>
        <v/>
      </c>
      <c r="J59">
        <f>IF(I59="","",IF(I59&gt;=MAXIFS($I$2:$I$5001,$B$2:$B$5001,B59,$A$2:$A$5001,"&lt;="&amp;A59),"PR",""))</f>
        <v/>
      </c>
    </row>
    <row r="60">
      <c r="A60" s="7" t="n"/>
      <c r="H60" s="11">
        <f>IF(OR(D60="",E60=""),"",D60*E60)</f>
        <v/>
      </c>
      <c r="I60" s="8">
        <f>IF(OR(D60="",E60=""),"",E60*(1+D60/30))</f>
        <v/>
      </c>
      <c r="J60">
        <f>IF(I60="","",IF(I60&gt;=MAXIFS($I$2:$I$5001,$B$2:$B$5001,B60,$A$2:$A$5001,"&lt;="&amp;A60),"PR",""))</f>
        <v/>
      </c>
    </row>
    <row r="61">
      <c r="A61" s="7" t="n"/>
      <c r="H61" s="11">
        <f>IF(OR(D61="",E61=""),"",D61*E61)</f>
        <v/>
      </c>
      <c r="I61" s="8">
        <f>IF(OR(D61="",E61=""),"",E61*(1+D61/30))</f>
        <v/>
      </c>
      <c r="J61">
        <f>IF(I61="","",IF(I61&gt;=MAXIFS($I$2:$I$5001,$B$2:$B$5001,B61,$A$2:$A$5001,"&lt;="&amp;A61),"PR",""))</f>
        <v/>
      </c>
    </row>
    <row r="62">
      <c r="A62" s="7" t="n"/>
      <c r="H62" s="11">
        <f>IF(OR(D62="",E62=""),"",D62*E62)</f>
        <v/>
      </c>
      <c r="I62" s="8">
        <f>IF(OR(D62="",E62=""),"",E62*(1+D62/30))</f>
        <v/>
      </c>
      <c r="J62">
        <f>IF(I62="","",IF(I62&gt;=MAXIFS($I$2:$I$5001,$B$2:$B$5001,B62,$A$2:$A$5001,"&lt;="&amp;A62),"PR",""))</f>
        <v/>
      </c>
    </row>
    <row r="63">
      <c r="A63" s="7" t="n"/>
      <c r="H63" s="11">
        <f>IF(OR(D63="",E63=""),"",D63*E63)</f>
        <v/>
      </c>
      <c r="I63" s="8">
        <f>IF(OR(D63="",E63=""),"",E63*(1+D63/30))</f>
        <v/>
      </c>
      <c r="J63">
        <f>IF(I63="","",IF(I63&gt;=MAXIFS($I$2:$I$5001,$B$2:$B$5001,B63,$A$2:$A$5001,"&lt;="&amp;A63),"PR",""))</f>
        <v/>
      </c>
    </row>
    <row r="64">
      <c r="A64" s="7" t="n"/>
      <c r="H64" s="11">
        <f>IF(OR(D64="",E64=""),"",D64*E64)</f>
        <v/>
      </c>
      <c r="I64" s="8">
        <f>IF(OR(D64="",E64=""),"",E64*(1+D64/30))</f>
        <v/>
      </c>
      <c r="J64">
        <f>IF(I64="","",IF(I64&gt;=MAXIFS($I$2:$I$5001,$B$2:$B$5001,B64,$A$2:$A$5001,"&lt;="&amp;A64),"PR",""))</f>
        <v/>
      </c>
    </row>
    <row r="65">
      <c r="A65" s="7" t="n"/>
      <c r="H65" s="11">
        <f>IF(OR(D65="",E65=""),"",D65*E65)</f>
        <v/>
      </c>
      <c r="I65" s="8">
        <f>IF(OR(D65="",E65=""),"",E65*(1+D65/30))</f>
        <v/>
      </c>
      <c r="J65">
        <f>IF(I65="","",IF(I65&gt;=MAXIFS($I$2:$I$5001,$B$2:$B$5001,B65,$A$2:$A$5001,"&lt;="&amp;A65),"PR",""))</f>
        <v/>
      </c>
    </row>
    <row r="66">
      <c r="A66" s="7" t="n"/>
      <c r="H66" s="11">
        <f>IF(OR(D66="",E66=""),"",D66*E66)</f>
        <v/>
      </c>
      <c r="I66" s="8">
        <f>IF(OR(D66="",E66=""),"",E66*(1+D66/30))</f>
        <v/>
      </c>
      <c r="J66">
        <f>IF(I66="","",IF(I66&gt;=MAXIFS($I$2:$I$5001,$B$2:$B$5001,B66,$A$2:$A$5001,"&lt;="&amp;A66),"PR",""))</f>
        <v/>
      </c>
    </row>
    <row r="67">
      <c r="A67" s="7" t="n"/>
      <c r="H67" s="11">
        <f>IF(OR(D67="",E67=""),"",D67*E67)</f>
        <v/>
      </c>
      <c r="I67" s="8">
        <f>IF(OR(D67="",E67=""),"",E67*(1+D67/30))</f>
        <v/>
      </c>
      <c r="J67">
        <f>IF(I67="","",IF(I67&gt;=MAXIFS($I$2:$I$5001,$B$2:$B$5001,B67,$A$2:$A$5001,"&lt;="&amp;A67),"PR",""))</f>
        <v/>
      </c>
    </row>
    <row r="68">
      <c r="A68" s="7" t="n"/>
      <c r="H68" s="11">
        <f>IF(OR(D68="",E68=""),"",D68*E68)</f>
        <v/>
      </c>
      <c r="I68" s="8">
        <f>IF(OR(D68="",E68=""),"",E68*(1+D68/30))</f>
        <v/>
      </c>
      <c r="J68">
        <f>IF(I68="","",IF(I68&gt;=MAXIFS($I$2:$I$5001,$B$2:$B$5001,B68,$A$2:$A$5001,"&lt;="&amp;A68),"PR",""))</f>
        <v/>
      </c>
    </row>
    <row r="69">
      <c r="A69" s="7" t="n"/>
      <c r="H69" s="11">
        <f>IF(OR(D69="",E69=""),"",D69*E69)</f>
        <v/>
      </c>
      <c r="I69" s="8">
        <f>IF(OR(D69="",E69=""),"",E69*(1+D69/30))</f>
        <v/>
      </c>
      <c r="J69">
        <f>IF(I69="","",IF(I69&gt;=MAXIFS($I$2:$I$5001,$B$2:$B$5001,B69,$A$2:$A$5001,"&lt;="&amp;A69),"PR",""))</f>
        <v/>
      </c>
    </row>
    <row r="70">
      <c r="A70" s="7" t="n"/>
      <c r="H70" s="11">
        <f>IF(OR(D70="",E70=""),"",D70*E70)</f>
        <v/>
      </c>
      <c r="I70" s="8">
        <f>IF(OR(D70="",E70=""),"",E70*(1+D70/30))</f>
        <v/>
      </c>
      <c r="J70">
        <f>IF(I70="","",IF(I70&gt;=MAXIFS($I$2:$I$5001,$B$2:$B$5001,B70,$A$2:$A$5001,"&lt;="&amp;A70),"PR",""))</f>
        <v/>
      </c>
    </row>
    <row r="71">
      <c r="A71" s="7" t="n"/>
      <c r="H71" s="11">
        <f>IF(OR(D71="",E71=""),"",D71*E71)</f>
        <v/>
      </c>
      <c r="I71" s="8">
        <f>IF(OR(D71="",E71=""),"",E71*(1+D71/30))</f>
        <v/>
      </c>
      <c r="J71">
        <f>IF(I71="","",IF(I71&gt;=MAXIFS($I$2:$I$5001,$B$2:$B$5001,B71,$A$2:$A$5001,"&lt;="&amp;A71),"PR",""))</f>
        <v/>
      </c>
    </row>
    <row r="72">
      <c r="A72" s="7" t="n"/>
      <c r="H72" s="11">
        <f>IF(OR(D72="",E72=""),"",D72*E72)</f>
        <v/>
      </c>
      <c r="I72" s="8">
        <f>IF(OR(D72="",E72=""),"",E72*(1+D72/30))</f>
        <v/>
      </c>
      <c r="J72">
        <f>IF(I72="","",IF(I72&gt;=MAXIFS($I$2:$I$5001,$B$2:$B$5001,B72,$A$2:$A$5001,"&lt;="&amp;A72),"PR",""))</f>
        <v/>
      </c>
    </row>
    <row r="73">
      <c r="A73" s="7" t="n"/>
      <c r="H73" s="11">
        <f>IF(OR(D73="",E73=""),"",D73*E73)</f>
        <v/>
      </c>
      <c r="I73" s="8">
        <f>IF(OR(D73="",E73=""),"",E73*(1+D73/30))</f>
        <v/>
      </c>
      <c r="J73">
        <f>IF(I73="","",IF(I73&gt;=MAXIFS($I$2:$I$5001,$B$2:$B$5001,B73,$A$2:$A$5001,"&lt;="&amp;A73),"PR",""))</f>
        <v/>
      </c>
    </row>
    <row r="74">
      <c r="A74" s="7" t="n"/>
      <c r="H74" s="11">
        <f>IF(OR(D74="",E74=""),"",D74*E74)</f>
        <v/>
      </c>
      <c r="I74" s="8">
        <f>IF(OR(D74="",E74=""),"",E74*(1+D74/30))</f>
        <v/>
      </c>
      <c r="J74">
        <f>IF(I74="","",IF(I74&gt;=MAXIFS($I$2:$I$5001,$B$2:$B$5001,B74,$A$2:$A$5001,"&lt;="&amp;A74),"PR",""))</f>
        <v/>
      </c>
    </row>
    <row r="75">
      <c r="A75" s="7" t="n"/>
      <c r="H75" s="11">
        <f>IF(OR(D75="",E75=""),"",D75*E75)</f>
        <v/>
      </c>
      <c r="I75" s="8">
        <f>IF(OR(D75="",E75=""),"",E75*(1+D75/30))</f>
        <v/>
      </c>
      <c r="J75">
        <f>IF(I75="","",IF(I75&gt;=MAXIFS($I$2:$I$5001,$B$2:$B$5001,B75,$A$2:$A$5001,"&lt;="&amp;A75),"PR",""))</f>
        <v/>
      </c>
    </row>
    <row r="76">
      <c r="A76" s="7" t="n"/>
      <c r="H76" s="11">
        <f>IF(OR(D76="",E76=""),"",D76*E76)</f>
        <v/>
      </c>
      <c r="I76" s="8">
        <f>IF(OR(D76="",E76=""),"",E76*(1+D76/30))</f>
        <v/>
      </c>
      <c r="J76">
        <f>IF(I76="","",IF(I76&gt;=MAXIFS($I$2:$I$5001,$B$2:$B$5001,B76,$A$2:$A$5001,"&lt;="&amp;A76),"PR",""))</f>
        <v/>
      </c>
    </row>
    <row r="77">
      <c r="A77" s="7" t="n"/>
      <c r="H77" s="11">
        <f>IF(OR(D77="",E77=""),"",D77*E77)</f>
        <v/>
      </c>
      <c r="I77" s="8">
        <f>IF(OR(D77="",E77=""),"",E77*(1+D77/30))</f>
        <v/>
      </c>
      <c r="J77">
        <f>IF(I77="","",IF(I77&gt;=MAXIFS($I$2:$I$5001,$B$2:$B$5001,B77,$A$2:$A$5001,"&lt;="&amp;A77),"PR",""))</f>
        <v/>
      </c>
    </row>
    <row r="78">
      <c r="A78" s="7" t="n"/>
      <c r="H78" s="11">
        <f>IF(OR(D78="",E78=""),"",D78*E78)</f>
        <v/>
      </c>
      <c r="I78" s="8">
        <f>IF(OR(D78="",E78=""),"",E78*(1+D78/30))</f>
        <v/>
      </c>
      <c r="J78">
        <f>IF(I78="","",IF(I78&gt;=MAXIFS($I$2:$I$5001,$B$2:$B$5001,B78,$A$2:$A$5001,"&lt;="&amp;A78),"PR",""))</f>
        <v/>
      </c>
    </row>
    <row r="79">
      <c r="A79" s="7" t="n"/>
      <c r="H79" s="11">
        <f>IF(OR(D79="",E79=""),"",D79*E79)</f>
        <v/>
      </c>
      <c r="I79" s="8">
        <f>IF(OR(D79="",E79=""),"",E79*(1+D79/30))</f>
        <v/>
      </c>
      <c r="J79">
        <f>IF(I79="","",IF(I79&gt;=MAXIFS($I$2:$I$5001,$B$2:$B$5001,B79,$A$2:$A$5001,"&lt;="&amp;A79),"PR",""))</f>
        <v/>
      </c>
    </row>
    <row r="80">
      <c r="A80" s="7" t="n"/>
      <c r="H80" s="11">
        <f>IF(OR(D80="",E80=""),"",D80*E80)</f>
        <v/>
      </c>
      <c r="I80" s="8">
        <f>IF(OR(D80="",E80=""),"",E80*(1+D80/30))</f>
        <v/>
      </c>
      <c r="J80">
        <f>IF(I80="","",IF(I80&gt;=MAXIFS($I$2:$I$5001,$B$2:$B$5001,B80,$A$2:$A$5001,"&lt;="&amp;A80),"PR",""))</f>
        <v/>
      </c>
    </row>
    <row r="81">
      <c r="A81" s="7" t="n"/>
      <c r="H81" s="11">
        <f>IF(OR(D81="",E81=""),"",D81*E81)</f>
        <v/>
      </c>
      <c r="I81" s="8">
        <f>IF(OR(D81="",E81=""),"",E81*(1+D81/30))</f>
        <v/>
      </c>
      <c r="J81">
        <f>IF(I81="","",IF(I81&gt;=MAXIFS($I$2:$I$5001,$B$2:$B$5001,B81,$A$2:$A$5001,"&lt;="&amp;A81),"PR",""))</f>
        <v/>
      </c>
    </row>
    <row r="82">
      <c r="A82" s="7" t="n"/>
      <c r="H82" s="11">
        <f>IF(OR(D82="",E82=""),"",D82*E82)</f>
        <v/>
      </c>
      <c r="I82" s="8">
        <f>IF(OR(D82="",E82=""),"",E82*(1+D82/30))</f>
        <v/>
      </c>
      <c r="J82">
        <f>IF(I82="","",IF(I82&gt;=MAXIFS($I$2:$I$5001,$B$2:$B$5001,B82,$A$2:$A$5001,"&lt;="&amp;A82),"PR",""))</f>
        <v/>
      </c>
    </row>
    <row r="83">
      <c r="A83" s="7" t="n"/>
      <c r="H83" s="11">
        <f>IF(OR(D83="",E83=""),"",D83*E83)</f>
        <v/>
      </c>
      <c r="I83" s="8">
        <f>IF(OR(D83="",E83=""),"",E83*(1+D83/30))</f>
        <v/>
      </c>
      <c r="J83">
        <f>IF(I83="","",IF(I83&gt;=MAXIFS($I$2:$I$5001,$B$2:$B$5001,B83,$A$2:$A$5001,"&lt;="&amp;A83),"PR",""))</f>
        <v/>
      </c>
    </row>
    <row r="84">
      <c r="A84" s="7" t="n"/>
      <c r="H84" s="11">
        <f>IF(OR(D84="",E84=""),"",D84*E84)</f>
        <v/>
      </c>
      <c r="I84" s="8">
        <f>IF(OR(D84="",E84=""),"",E84*(1+D84/30))</f>
        <v/>
      </c>
      <c r="J84">
        <f>IF(I84="","",IF(I84&gt;=MAXIFS($I$2:$I$5001,$B$2:$B$5001,B84,$A$2:$A$5001,"&lt;="&amp;A84),"PR",""))</f>
        <v/>
      </c>
    </row>
    <row r="85">
      <c r="A85" s="7" t="n"/>
      <c r="H85" s="11">
        <f>IF(OR(D85="",E85=""),"",D85*E85)</f>
        <v/>
      </c>
      <c r="I85" s="8">
        <f>IF(OR(D85="",E85=""),"",E85*(1+D85/30))</f>
        <v/>
      </c>
      <c r="J85">
        <f>IF(I85="","",IF(I85&gt;=MAXIFS($I$2:$I$5001,$B$2:$B$5001,B85,$A$2:$A$5001,"&lt;="&amp;A85),"PR",""))</f>
        <v/>
      </c>
    </row>
    <row r="86">
      <c r="A86" s="7" t="n"/>
      <c r="H86" s="11">
        <f>IF(OR(D86="",E86=""),"",D86*E86)</f>
        <v/>
      </c>
      <c r="I86" s="8">
        <f>IF(OR(D86="",E86=""),"",E86*(1+D86/30))</f>
        <v/>
      </c>
      <c r="J86">
        <f>IF(I86="","",IF(I86&gt;=MAXIFS($I$2:$I$5001,$B$2:$B$5001,B86,$A$2:$A$5001,"&lt;="&amp;A86),"PR",""))</f>
        <v/>
      </c>
    </row>
    <row r="87">
      <c r="A87" s="7" t="n"/>
      <c r="H87" s="11">
        <f>IF(OR(D87="",E87=""),"",D87*E87)</f>
        <v/>
      </c>
      <c r="I87" s="8">
        <f>IF(OR(D87="",E87=""),"",E87*(1+D87/30))</f>
        <v/>
      </c>
      <c r="J87">
        <f>IF(I87="","",IF(I87&gt;=MAXIFS($I$2:$I$5001,$B$2:$B$5001,B87,$A$2:$A$5001,"&lt;="&amp;A87),"PR",""))</f>
        <v/>
      </c>
    </row>
    <row r="88">
      <c r="A88" s="7" t="n"/>
      <c r="H88" s="11">
        <f>IF(OR(D88="",E88=""),"",D88*E88)</f>
        <v/>
      </c>
      <c r="I88" s="8">
        <f>IF(OR(D88="",E88=""),"",E88*(1+D88/30))</f>
        <v/>
      </c>
      <c r="J88">
        <f>IF(I88="","",IF(I88&gt;=MAXIFS($I$2:$I$5001,$B$2:$B$5001,B88,$A$2:$A$5001,"&lt;="&amp;A88),"PR",""))</f>
        <v/>
      </c>
    </row>
    <row r="89">
      <c r="A89" s="7" t="n"/>
      <c r="H89" s="11">
        <f>IF(OR(D89="",E89=""),"",D89*E89)</f>
        <v/>
      </c>
      <c r="I89" s="8">
        <f>IF(OR(D89="",E89=""),"",E89*(1+D89/30))</f>
        <v/>
      </c>
      <c r="J89">
        <f>IF(I89="","",IF(I89&gt;=MAXIFS($I$2:$I$5001,$B$2:$B$5001,B89,$A$2:$A$5001,"&lt;="&amp;A89),"PR",""))</f>
        <v/>
      </c>
    </row>
    <row r="90">
      <c r="A90" s="7" t="n"/>
      <c r="H90" s="11">
        <f>IF(OR(D90="",E90=""),"",D90*E90)</f>
        <v/>
      </c>
      <c r="I90" s="8">
        <f>IF(OR(D90="",E90=""),"",E90*(1+D90/30))</f>
        <v/>
      </c>
      <c r="J90">
        <f>IF(I90="","",IF(I90&gt;=MAXIFS($I$2:$I$5001,$B$2:$B$5001,B90,$A$2:$A$5001,"&lt;="&amp;A90),"PR",""))</f>
        <v/>
      </c>
    </row>
    <row r="91">
      <c r="A91" s="7" t="n"/>
      <c r="H91" s="11">
        <f>IF(OR(D91="",E91=""),"",D91*E91)</f>
        <v/>
      </c>
      <c r="I91" s="8">
        <f>IF(OR(D91="",E91=""),"",E91*(1+D91/30))</f>
        <v/>
      </c>
      <c r="J91">
        <f>IF(I91="","",IF(I91&gt;=MAXIFS($I$2:$I$5001,$B$2:$B$5001,B91,$A$2:$A$5001,"&lt;="&amp;A91),"PR",""))</f>
        <v/>
      </c>
    </row>
    <row r="92">
      <c r="A92" s="7" t="n"/>
      <c r="H92" s="11">
        <f>IF(OR(D92="",E92=""),"",D92*E92)</f>
        <v/>
      </c>
      <c r="I92" s="8">
        <f>IF(OR(D92="",E92=""),"",E92*(1+D92/30))</f>
        <v/>
      </c>
      <c r="J92">
        <f>IF(I92="","",IF(I92&gt;=MAXIFS($I$2:$I$5001,$B$2:$B$5001,B92,$A$2:$A$5001,"&lt;="&amp;A92),"PR",""))</f>
        <v/>
      </c>
    </row>
    <row r="93">
      <c r="A93" s="7" t="n"/>
      <c r="H93" s="11">
        <f>IF(OR(D93="",E93=""),"",D93*E93)</f>
        <v/>
      </c>
      <c r="I93" s="8">
        <f>IF(OR(D93="",E93=""),"",E93*(1+D93/30))</f>
        <v/>
      </c>
      <c r="J93">
        <f>IF(I93="","",IF(I93&gt;=MAXIFS($I$2:$I$5001,$B$2:$B$5001,B93,$A$2:$A$5001,"&lt;="&amp;A93),"PR",""))</f>
        <v/>
      </c>
    </row>
    <row r="94">
      <c r="A94" s="7" t="n"/>
      <c r="H94" s="11">
        <f>IF(OR(D94="",E94=""),"",D94*E94)</f>
        <v/>
      </c>
      <c r="I94" s="8">
        <f>IF(OR(D94="",E94=""),"",E94*(1+D94/30))</f>
        <v/>
      </c>
      <c r="J94">
        <f>IF(I94="","",IF(I94&gt;=MAXIFS($I$2:$I$5001,$B$2:$B$5001,B94,$A$2:$A$5001,"&lt;="&amp;A94),"PR",""))</f>
        <v/>
      </c>
    </row>
    <row r="95">
      <c r="A95" s="7" t="n"/>
      <c r="H95" s="11">
        <f>IF(OR(D95="",E95=""),"",D95*E95)</f>
        <v/>
      </c>
      <c r="I95" s="8">
        <f>IF(OR(D95="",E95=""),"",E95*(1+D95/30))</f>
        <v/>
      </c>
      <c r="J95">
        <f>IF(I95="","",IF(I95&gt;=MAXIFS($I$2:$I$5001,$B$2:$B$5001,B95,$A$2:$A$5001,"&lt;="&amp;A95),"PR",""))</f>
        <v/>
      </c>
    </row>
    <row r="96">
      <c r="A96" s="7" t="n"/>
      <c r="H96" s="11">
        <f>IF(OR(D96="",E96=""),"",D96*E96)</f>
        <v/>
      </c>
      <c r="I96" s="8">
        <f>IF(OR(D96="",E96=""),"",E96*(1+D96/30))</f>
        <v/>
      </c>
      <c r="J96">
        <f>IF(I96="","",IF(I96&gt;=MAXIFS($I$2:$I$5001,$B$2:$B$5001,B96,$A$2:$A$5001,"&lt;="&amp;A96),"PR",""))</f>
        <v/>
      </c>
    </row>
    <row r="97">
      <c r="A97" s="7" t="n"/>
      <c r="H97" s="11">
        <f>IF(OR(D97="",E97=""),"",D97*E97)</f>
        <v/>
      </c>
      <c r="I97" s="8">
        <f>IF(OR(D97="",E97=""),"",E97*(1+D97/30))</f>
        <v/>
      </c>
      <c r="J97">
        <f>IF(I97="","",IF(I97&gt;=MAXIFS($I$2:$I$5001,$B$2:$B$5001,B97,$A$2:$A$5001,"&lt;="&amp;A97),"PR",""))</f>
        <v/>
      </c>
    </row>
    <row r="98">
      <c r="A98" s="7" t="n"/>
      <c r="H98" s="11">
        <f>IF(OR(D98="",E98=""),"",D98*E98)</f>
        <v/>
      </c>
      <c r="I98" s="8">
        <f>IF(OR(D98="",E98=""),"",E98*(1+D98/30))</f>
        <v/>
      </c>
      <c r="J98">
        <f>IF(I98="","",IF(I98&gt;=MAXIFS($I$2:$I$5001,$B$2:$B$5001,B98,$A$2:$A$5001,"&lt;="&amp;A98),"PR",""))</f>
        <v/>
      </c>
    </row>
    <row r="99">
      <c r="A99" s="7" t="n"/>
      <c r="H99" s="11">
        <f>IF(OR(D99="",E99=""),"",D99*E99)</f>
        <v/>
      </c>
      <c r="I99" s="8">
        <f>IF(OR(D99="",E99=""),"",E99*(1+D99/30))</f>
        <v/>
      </c>
      <c r="J99">
        <f>IF(I99="","",IF(I99&gt;=MAXIFS($I$2:$I$5001,$B$2:$B$5001,B99,$A$2:$A$5001,"&lt;="&amp;A99),"PR",""))</f>
        <v/>
      </c>
    </row>
    <row r="100">
      <c r="A100" s="7" t="n"/>
      <c r="H100" s="11">
        <f>IF(OR(D100="",E100=""),"",D100*E100)</f>
        <v/>
      </c>
      <c r="I100" s="8">
        <f>IF(OR(D100="",E100=""),"",E100*(1+D100/30))</f>
        <v/>
      </c>
      <c r="J100">
        <f>IF(I100="","",IF(I100&gt;=MAXIFS($I$2:$I$5001,$B$2:$B$5001,B100,$A$2:$A$5001,"&lt;="&amp;A100),"PR",""))</f>
        <v/>
      </c>
    </row>
    <row r="101">
      <c r="A101" s="7" t="n"/>
      <c r="H101" s="11">
        <f>IF(OR(D101="",E101=""),"",D101*E101)</f>
        <v/>
      </c>
      <c r="I101" s="8">
        <f>IF(OR(D101="",E101=""),"",E101*(1+D101/30))</f>
        <v/>
      </c>
      <c r="J101">
        <f>IF(I101="","",IF(I101&gt;=MAXIFS($I$2:$I$5001,$B$2:$B$5001,B101,$A$2:$A$5001,"&lt;="&amp;A101),"PR",""))</f>
        <v/>
      </c>
    </row>
    <row r="102">
      <c r="A102" s="7" t="n"/>
      <c r="H102" s="11">
        <f>IF(OR(D102="",E102=""),"",D102*E102)</f>
        <v/>
      </c>
      <c r="I102" s="8">
        <f>IF(OR(D102="",E102=""),"",E102*(1+D102/30))</f>
        <v/>
      </c>
      <c r="J102">
        <f>IF(I102="","",IF(I102&gt;=MAXIFS($I$2:$I$5001,$B$2:$B$5001,B102,$A$2:$A$5001,"&lt;="&amp;A102),"PR",""))</f>
        <v/>
      </c>
    </row>
    <row r="103">
      <c r="A103" s="7" t="n"/>
      <c r="H103" s="11">
        <f>IF(OR(D103="",E103=""),"",D103*E103)</f>
        <v/>
      </c>
      <c r="I103" s="8">
        <f>IF(OR(D103="",E103=""),"",E103*(1+D103/30))</f>
        <v/>
      </c>
      <c r="J103">
        <f>IF(I103="","",IF(I103&gt;=MAXIFS($I$2:$I$5001,$B$2:$B$5001,B103,$A$2:$A$5001,"&lt;="&amp;A103),"PR",""))</f>
        <v/>
      </c>
    </row>
    <row r="104">
      <c r="A104" s="7" t="n"/>
      <c r="H104" s="11">
        <f>IF(OR(D104="",E104=""),"",D104*E104)</f>
        <v/>
      </c>
      <c r="I104" s="8">
        <f>IF(OR(D104="",E104=""),"",E104*(1+D104/30))</f>
        <v/>
      </c>
      <c r="J104">
        <f>IF(I104="","",IF(I104&gt;=MAXIFS($I$2:$I$5001,$B$2:$B$5001,B104,$A$2:$A$5001,"&lt;="&amp;A104),"PR",""))</f>
        <v/>
      </c>
    </row>
    <row r="105">
      <c r="A105" s="7" t="n"/>
      <c r="H105" s="11">
        <f>IF(OR(D105="",E105=""),"",D105*E105)</f>
        <v/>
      </c>
      <c r="I105" s="8">
        <f>IF(OR(D105="",E105=""),"",E105*(1+D105/30))</f>
        <v/>
      </c>
      <c r="J105">
        <f>IF(I105="","",IF(I105&gt;=MAXIFS($I$2:$I$5001,$B$2:$B$5001,B105,$A$2:$A$5001,"&lt;="&amp;A105),"PR",""))</f>
        <v/>
      </c>
    </row>
    <row r="106">
      <c r="A106" s="7" t="n"/>
      <c r="H106" s="11">
        <f>IF(OR(D106="",E106=""),"",D106*E106)</f>
        <v/>
      </c>
      <c r="I106" s="8">
        <f>IF(OR(D106="",E106=""),"",E106*(1+D106/30))</f>
        <v/>
      </c>
      <c r="J106">
        <f>IF(I106="","",IF(I106&gt;=MAXIFS($I$2:$I$5001,$B$2:$B$5001,B106,$A$2:$A$5001,"&lt;="&amp;A106),"PR",""))</f>
        <v/>
      </c>
    </row>
    <row r="107">
      <c r="A107" s="7" t="n"/>
      <c r="H107" s="11">
        <f>IF(OR(D107="",E107=""),"",D107*E107)</f>
        <v/>
      </c>
      <c r="I107" s="8">
        <f>IF(OR(D107="",E107=""),"",E107*(1+D107/30))</f>
        <v/>
      </c>
      <c r="J107">
        <f>IF(I107="","",IF(I107&gt;=MAXIFS($I$2:$I$5001,$B$2:$B$5001,B107,$A$2:$A$5001,"&lt;="&amp;A107),"PR",""))</f>
        <v/>
      </c>
    </row>
    <row r="108">
      <c r="A108" s="7" t="n"/>
      <c r="H108" s="11">
        <f>IF(OR(D108="",E108=""),"",D108*E108)</f>
        <v/>
      </c>
      <c r="I108" s="8">
        <f>IF(OR(D108="",E108=""),"",E108*(1+D108/30))</f>
        <v/>
      </c>
      <c r="J108">
        <f>IF(I108="","",IF(I108&gt;=MAXIFS($I$2:$I$5001,$B$2:$B$5001,B108,$A$2:$A$5001,"&lt;="&amp;A108),"PR",""))</f>
        <v/>
      </c>
    </row>
    <row r="109">
      <c r="A109" s="7" t="n"/>
      <c r="H109" s="11">
        <f>IF(OR(D109="",E109=""),"",D109*E109)</f>
        <v/>
      </c>
      <c r="I109" s="8">
        <f>IF(OR(D109="",E109=""),"",E109*(1+D109/30))</f>
        <v/>
      </c>
      <c r="J109">
        <f>IF(I109="","",IF(I109&gt;=MAXIFS($I$2:$I$5001,$B$2:$B$5001,B109,$A$2:$A$5001,"&lt;="&amp;A109),"PR",""))</f>
        <v/>
      </c>
    </row>
    <row r="110">
      <c r="A110" s="7" t="n"/>
      <c r="H110" s="11">
        <f>IF(OR(D110="",E110=""),"",D110*E110)</f>
        <v/>
      </c>
      <c r="I110" s="8">
        <f>IF(OR(D110="",E110=""),"",E110*(1+D110/30))</f>
        <v/>
      </c>
      <c r="J110">
        <f>IF(I110="","",IF(I110&gt;=MAXIFS($I$2:$I$5001,$B$2:$B$5001,B110,$A$2:$A$5001,"&lt;="&amp;A110),"PR",""))</f>
        <v/>
      </c>
    </row>
    <row r="111">
      <c r="A111" s="7" t="n"/>
      <c r="H111" s="11">
        <f>IF(OR(D111="",E111=""),"",D111*E111)</f>
        <v/>
      </c>
      <c r="I111" s="8">
        <f>IF(OR(D111="",E111=""),"",E111*(1+D111/30))</f>
        <v/>
      </c>
      <c r="J111">
        <f>IF(I111="","",IF(I111&gt;=MAXIFS($I$2:$I$5001,$B$2:$B$5001,B111,$A$2:$A$5001,"&lt;="&amp;A111),"PR",""))</f>
        <v/>
      </c>
    </row>
    <row r="112">
      <c r="A112" s="7" t="n"/>
      <c r="H112" s="11">
        <f>IF(OR(D112="",E112=""),"",D112*E112)</f>
        <v/>
      </c>
      <c r="I112" s="8">
        <f>IF(OR(D112="",E112=""),"",E112*(1+D112/30))</f>
        <v/>
      </c>
      <c r="J112">
        <f>IF(I112="","",IF(I112&gt;=MAXIFS($I$2:$I$5001,$B$2:$B$5001,B112,$A$2:$A$5001,"&lt;="&amp;A112),"PR",""))</f>
        <v/>
      </c>
    </row>
    <row r="113">
      <c r="A113" s="7" t="n"/>
      <c r="H113" s="11">
        <f>IF(OR(D113="",E113=""),"",D113*E113)</f>
        <v/>
      </c>
      <c r="I113" s="8">
        <f>IF(OR(D113="",E113=""),"",E113*(1+D113/30))</f>
        <v/>
      </c>
      <c r="J113">
        <f>IF(I113="","",IF(I113&gt;=MAXIFS($I$2:$I$5001,$B$2:$B$5001,B113,$A$2:$A$5001,"&lt;="&amp;A113),"PR",""))</f>
        <v/>
      </c>
    </row>
    <row r="114">
      <c r="A114" s="7" t="n"/>
      <c r="H114" s="11">
        <f>IF(OR(D114="",E114=""),"",D114*E114)</f>
        <v/>
      </c>
      <c r="I114" s="8">
        <f>IF(OR(D114="",E114=""),"",E114*(1+D114/30))</f>
        <v/>
      </c>
      <c r="J114">
        <f>IF(I114="","",IF(I114&gt;=MAXIFS($I$2:$I$5001,$B$2:$B$5001,B114,$A$2:$A$5001,"&lt;="&amp;A114),"PR",""))</f>
        <v/>
      </c>
    </row>
    <row r="115">
      <c r="A115" s="7" t="n"/>
      <c r="H115" s="11">
        <f>IF(OR(D115="",E115=""),"",D115*E115)</f>
        <v/>
      </c>
      <c r="I115" s="8">
        <f>IF(OR(D115="",E115=""),"",E115*(1+D115/30))</f>
        <v/>
      </c>
      <c r="J115">
        <f>IF(I115="","",IF(I115&gt;=MAXIFS($I$2:$I$5001,$B$2:$B$5001,B115,$A$2:$A$5001,"&lt;="&amp;A115),"PR",""))</f>
        <v/>
      </c>
    </row>
    <row r="116">
      <c r="A116" s="7" t="n"/>
      <c r="H116" s="11">
        <f>IF(OR(D116="",E116=""),"",D116*E116)</f>
        <v/>
      </c>
      <c r="I116" s="8">
        <f>IF(OR(D116="",E116=""),"",E116*(1+D116/30))</f>
        <v/>
      </c>
      <c r="J116">
        <f>IF(I116="","",IF(I116&gt;=MAXIFS($I$2:$I$5001,$B$2:$B$5001,B116,$A$2:$A$5001,"&lt;="&amp;A116),"PR",""))</f>
        <v/>
      </c>
    </row>
    <row r="117">
      <c r="A117" s="7" t="n"/>
      <c r="H117" s="11">
        <f>IF(OR(D117="",E117=""),"",D117*E117)</f>
        <v/>
      </c>
      <c r="I117" s="8">
        <f>IF(OR(D117="",E117=""),"",E117*(1+D117/30))</f>
        <v/>
      </c>
      <c r="J117">
        <f>IF(I117="","",IF(I117&gt;=MAXIFS($I$2:$I$5001,$B$2:$B$5001,B117,$A$2:$A$5001,"&lt;="&amp;A117),"PR",""))</f>
        <v/>
      </c>
    </row>
    <row r="118">
      <c r="A118" s="7" t="n"/>
      <c r="H118" s="11">
        <f>IF(OR(D118="",E118=""),"",D118*E118)</f>
        <v/>
      </c>
      <c r="I118" s="8">
        <f>IF(OR(D118="",E118=""),"",E118*(1+D118/30))</f>
        <v/>
      </c>
      <c r="J118">
        <f>IF(I118="","",IF(I118&gt;=MAXIFS($I$2:$I$5001,$B$2:$B$5001,B118,$A$2:$A$5001,"&lt;="&amp;A118),"PR",""))</f>
        <v/>
      </c>
    </row>
    <row r="119">
      <c r="A119" s="7" t="n"/>
      <c r="H119" s="11">
        <f>IF(OR(D119="",E119=""),"",D119*E119)</f>
        <v/>
      </c>
      <c r="I119" s="8">
        <f>IF(OR(D119="",E119=""),"",E119*(1+D119/30))</f>
        <v/>
      </c>
      <c r="J119">
        <f>IF(I119="","",IF(I119&gt;=MAXIFS($I$2:$I$5001,$B$2:$B$5001,B119,$A$2:$A$5001,"&lt;="&amp;A119),"PR",""))</f>
        <v/>
      </c>
    </row>
    <row r="120">
      <c r="A120" s="7" t="n"/>
      <c r="H120" s="11">
        <f>IF(OR(D120="",E120=""),"",D120*E120)</f>
        <v/>
      </c>
      <c r="I120" s="8">
        <f>IF(OR(D120="",E120=""),"",E120*(1+D120/30))</f>
        <v/>
      </c>
      <c r="J120">
        <f>IF(I120="","",IF(I120&gt;=MAXIFS($I$2:$I$5001,$B$2:$B$5001,B120,$A$2:$A$5001,"&lt;="&amp;A120),"PR",""))</f>
        <v/>
      </c>
    </row>
    <row r="121">
      <c r="A121" s="7" t="n"/>
      <c r="H121" s="11">
        <f>IF(OR(D121="",E121=""),"",D121*E121)</f>
        <v/>
      </c>
      <c r="I121" s="8">
        <f>IF(OR(D121="",E121=""),"",E121*(1+D121/30))</f>
        <v/>
      </c>
      <c r="J121">
        <f>IF(I121="","",IF(I121&gt;=MAXIFS($I$2:$I$5001,$B$2:$B$5001,B121,$A$2:$A$5001,"&lt;="&amp;A121),"PR",""))</f>
        <v/>
      </c>
    </row>
    <row r="122">
      <c r="A122" s="7" t="n"/>
      <c r="H122" s="11">
        <f>IF(OR(D122="",E122=""),"",D122*E122)</f>
        <v/>
      </c>
      <c r="I122" s="8">
        <f>IF(OR(D122="",E122=""),"",E122*(1+D122/30))</f>
        <v/>
      </c>
      <c r="J122">
        <f>IF(I122="","",IF(I122&gt;=MAXIFS($I$2:$I$5001,$B$2:$B$5001,B122,$A$2:$A$5001,"&lt;="&amp;A122),"PR",""))</f>
        <v/>
      </c>
    </row>
    <row r="123">
      <c r="A123" s="7" t="n"/>
      <c r="H123" s="11">
        <f>IF(OR(D123="",E123=""),"",D123*E123)</f>
        <v/>
      </c>
      <c r="I123" s="8">
        <f>IF(OR(D123="",E123=""),"",E123*(1+D123/30))</f>
        <v/>
      </c>
      <c r="J123">
        <f>IF(I123="","",IF(I123&gt;=MAXIFS($I$2:$I$5001,$B$2:$B$5001,B123,$A$2:$A$5001,"&lt;="&amp;A123),"PR",""))</f>
        <v/>
      </c>
    </row>
    <row r="124">
      <c r="A124" s="7" t="n"/>
      <c r="H124" s="11">
        <f>IF(OR(D124="",E124=""),"",D124*E124)</f>
        <v/>
      </c>
      <c r="I124" s="8">
        <f>IF(OR(D124="",E124=""),"",E124*(1+D124/30))</f>
        <v/>
      </c>
      <c r="J124">
        <f>IF(I124="","",IF(I124&gt;=MAXIFS($I$2:$I$5001,$B$2:$B$5001,B124,$A$2:$A$5001,"&lt;="&amp;A124),"PR",""))</f>
        <v/>
      </c>
    </row>
    <row r="125">
      <c r="A125" s="7" t="n"/>
      <c r="H125" s="11">
        <f>IF(OR(D125="",E125=""),"",D125*E125)</f>
        <v/>
      </c>
      <c r="I125" s="8">
        <f>IF(OR(D125="",E125=""),"",E125*(1+D125/30))</f>
        <v/>
      </c>
      <c r="J125">
        <f>IF(I125="","",IF(I125&gt;=MAXIFS($I$2:$I$5001,$B$2:$B$5001,B125,$A$2:$A$5001,"&lt;="&amp;A125),"PR",""))</f>
        <v/>
      </c>
    </row>
    <row r="126">
      <c r="A126" s="7" t="n"/>
      <c r="H126" s="11">
        <f>IF(OR(D126="",E126=""),"",D126*E126)</f>
        <v/>
      </c>
      <c r="I126" s="8">
        <f>IF(OR(D126="",E126=""),"",E126*(1+D126/30))</f>
        <v/>
      </c>
      <c r="J126">
        <f>IF(I126="","",IF(I126&gt;=MAXIFS($I$2:$I$5001,$B$2:$B$5001,B126,$A$2:$A$5001,"&lt;="&amp;A126),"PR",""))</f>
        <v/>
      </c>
    </row>
    <row r="127">
      <c r="A127" s="7" t="n"/>
      <c r="H127" s="11">
        <f>IF(OR(D127="",E127=""),"",D127*E127)</f>
        <v/>
      </c>
      <c r="I127" s="8">
        <f>IF(OR(D127="",E127=""),"",E127*(1+D127/30))</f>
        <v/>
      </c>
      <c r="J127">
        <f>IF(I127="","",IF(I127&gt;=MAXIFS($I$2:$I$5001,$B$2:$B$5001,B127,$A$2:$A$5001,"&lt;="&amp;A127),"PR",""))</f>
        <v/>
      </c>
    </row>
    <row r="128">
      <c r="A128" s="7" t="n"/>
      <c r="H128" s="11">
        <f>IF(OR(D128="",E128=""),"",D128*E128)</f>
        <v/>
      </c>
      <c r="I128" s="8">
        <f>IF(OR(D128="",E128=""),"",E128*(1+D128/30))</f>
        <v/>
      </c>
      <c r="J128">
        <f>IF(I128="","",IF(I128&gt;=MAXIFS($I$2:$I$5001,$B$2:$B$5001,B128,$A$2:$A$5001,"&lt;="&amp;A128),"PR",""))</f>
        <v/>
      </c>
    </row>
    <row r="129">
      <c r="A129" s="7" t="n"/>
      <c r="H129" s="11">
        <f>IF(OR(D129="",E129=""),"",D129*E129)</f>
        <v/>
      </c>
      <c r="I129" s="8">
        <f>IF(OR(D129="",E129=""),"",E129*(1+D129/30))</f>
        <v/>
      </c>
      <c r="J129">
        <f>IF(I129="","",IF(I129&gt;=MAXIFS($I$2:$I$5001,$B$2:$B$5001,B129,$A$2:$A$5001,"&lt;="&amp;A129),"PR",""))</f>
        <v/>
      </c>
    </row>
    <row r="130">
      <c r="A130" s="7" t="n"/>
      <c r="H130" s="11">
        <f>IF(OR(D130="",E130=""),"",D130*E130)</f>
        <v/>
      </c>
      <c r="I130" s="8">
        <f>IF(OR(D130="",E130=""),"",E130*(1+D130/30))</f>
        <v/>
      </c>
      <c r="J130">
        <f>IF(I130="","",IF(I130&gt;=MAXIFS($I$2:$I$5001,$B$2:$B$5001,B130,$A$2:$A$5001,"&lt;="&amp;A130),"PR",""))</f>
        <v/>
      </c>
    </row>
    <row r="131">
      <c r="A131" s="7" t="n"/>
      <c r="H131" s="11">
        <f>IF(OR(D131="",E131=""),"",D131*E131)</f>
        <v/>
      </c>
      <c r="I131" s="8">
        <f>IF(OR(D131="",E131=""),"",E131*(1+D131/30))</f>
        <v/>
      </c>
      <c r="J131">
        <f>IF(I131="","",IF(I131&gt;=MAXIFS($I$2:$I$5001,$B$2:$B$5001,B131,$A$2:$A$5001,"&lt;="&amp;A131),"PR",""))</f>
        <v/>
      </c>
    </row>
    <row r="132">
      <c r="A132" s="7" t="n"/>
      <c r="H132" s="11">
        <f>IF(OR(D132="",E132=""),"",D132*E132)</f>
        <v/>
      </c>
      <c r="I132" s="8">
        <f>IF(OR(D132="",E132=""),"",E132*(1+D132/30))</f>
        <v/>
      </c>
      <c r="J132">
        <f>IF(I132="","",IF(I132&gt;=MAXIFS($I$2:$I$5001,$B$2:$B$5001,B132,$A$2:$A$5001,"&lt;="&amp;A132),"PR",""))</f>
        <v/>
      </c>
    </row>
    <row r="133">
      <c r="A133" s="7" t="n"/>
      <c r="H133" s="11">
        <f>IF(OR(D133="",E133=""),"",D133*E133)</f>
        <v/>
      </c>
      <c r="I133" s="8">
        <f>IF(OR(D133="",E133=""),"",E133*(1+D133/30))</f>
        <v/>
      </c>
      <c r="J133">
        <f>IF(I133="","",IF(I133&gt;=MAXIFS($I$2:$I$5001,$B$2:$B$5001,B133,$A$2:$A$5001,"&lt;="&amp;A133),"PR",""))</f>
        <v/>
      </c>
    </row>
    <row r="134">
      <c r="A134" s="7" t="n"/>
      <c r="H134" s="11">
        <f>IF(OR(D134="",E134=""),"",D134*E134)</f>
        <v/>
      </c>
      <c r="I134" s="8">
        <f>IF(OR(D134="",E134=""),"",E134*(1+D134/30))</f>
        <v/>
      </c>
      <c r="J134">
        <f>IF(I134="","",IF(I134&gt;=MAXIFS($I$2:$I$5001,$B$2:$B$5001,B134,$A$2:$A$5001,"&lt;="&amp;A134),"PR",""))</f>
        <v/>
      </c>
    </row>
    <row r="135">
      <c r="A135" s="7" t="n"/>
      <c r="H135" s="11">
        <f>IF(OR(D135="",E135=""),"",D135*E135)</f>
        <v/>
      </c>
      <c r="I135" s="8">
        <f>IF(OR(D135="",E135=""),"",E135*(1+D135/30))</f>
        <v/>
      </c>
      <c r="J135">
        <f>IF(I135="","",IF(I135&gt;=MAXIFS($I$2:$I$5001,$B$2:$B$5001,B135,$A$2:$A$5001,"&lt;="&amp;A135),"PR",""))</f>
        <v/>
      </c>
    </row>
    <row r="136">
      <c r="A136" s="7" t="n"/>
      <c r="H136" s="11">
        <f>IF(OR(D136="",E136=""),"",D136*E136)</f>
        <v/>
      </c>
      <c r="I136" s="8">
        <f>IF(OR(D136="",E136=""),"",E136*(1+D136/30))</f>
        <v/>
      </c>
      <c r="J136">
        <f>IF(I136="","",IF(I136&gt;=MAXIFS($I$2:$I$5001,$B$2:$B$5001,B136,$A$2:$A$5001,"&lt;="&amp;A136),"PR",""))</f>
        <v/>
      </c>
    </row>
    <row r="137">
      <c r="A137" s="7" t="n"/>
      <c r="H137" s="11">
        <f>IF(OR(D137="",E137=""),"",D137*E137)</f>
        <v/>
      </c>
      <c r="I137" s="8">
        <f>IF(OR(D137="",E137=""),"",E137*(1+D137/30))</f>
        <v/>
      </c>
      <c r="J137">
        <f>IF(I137="","",IF(I137&gt;=MAXIFS($I$2:$I$5001,$B$2:$B$5001,B137,$A$2:$A$5001,"&lt;="&amp;A137),"PR",""))</f>
        <v/>
      </c>
    </row>
    <row r="138">
      <c r="A138" s="7" t="n"/>
      <c r="H138" s="11">
        <f>IF(OR(D138="",E138=""),"",D138*E138)</f>
        <v/>
      </c>
      <c r="I138" s="8">
        <f>IF(OR(D138="",E138=""),"",E138*(1+D138/30))</f>
        <v/>
      </c>
      <c r="J138">
        <f>IF(I138="","",IF(I138&gt;=MAXIFS($I$2:$I$5001,$B$2:$B$5001,B138,$A$2:$A$5001,"&lt;="&amp;A138),"PR",""))</f>
        <v/>
      </c>
    </row>
    <row r="139">
      <c r="A139" s="7" t="n"/>
      <c r="H139" s="11">
        <f>IF(OR(D139="",E139=""),"",D139*E139)</f>
        <v/>
      </c>
      <c r="I139" s="8">
        <f>IF(OR(D139="",E139=""),"",E139*(1+D139/30))</f>
        <v/>
      </c>
      <c r="J139">
        <f>IF(I139="","",IF(I139&gt;=MAXIFS($I$2:$I$5001,$B$2:$B$5001,B139,$A$2:$A$5001,"&lt;="&amp;A139),"PR",""))</f>
        <v/>
      </c>
    </row>
    <row r="140">
      <c r="A140" s="7" t="n"/>
      <c r="H140" s="11">
        <f>IF(OR(D140="",E140=""),"",D140*E140)</f>
        <v/>
      </c>
      <c r="I140" s="8">
        <f>IF(OR(D140="",E140=""),"",E140*(1+D140/30))</f>
        <v/>
      </c>
      <c r="J140">
        <f>IF(I140="","",IF(I140&gt;=MAXIFS($I$2:$I$5001,$B$2:$B$5001,B140,$A$2:$A$5001,"&lt;="&amp;A140),"PR",""))</f>
        <v/>
      </c>
    </row>
    <row r="141">
      <c r="A141" s="7" t="n"/>
      <c r="H141" s="11">
        <f>IF(OR(D141="",E141=""),"",D141*E141)</f>
        <v/>
      </c>
      <c r="I141" s="8">
        <f>IF(OR(D141="",E141=""),"",E141*(1+D141/30))</f>
        <v/>
      </c>
      <c r="J141">
        <f>IF(I141="","",IF(I141&gt;=MAXIFS($I$2:$I$5001,$B$2:$B$5001,B141,$A$2:$A$5001,"&lt;="&amp;A141),"PR",""))</f>
        <v/>
      </c>
    </row>
    <row r="142">
      <c r="A142" s="7" t="n"/>
      <c r="H142" s="11">
        <f>IF(OR(D142="",E142=""),"",D142*E142)</f>
        <v/>
      </c>
      <c r="I142" s="8">
        <f>IF(OR(D142="",E142=""),"",E142*(1+D142/30))</f>
        <v/>
      </c>
      <c r="J142">
        <f>IF(I142="","",IF(I142&gt;=MAXIFS($I$2:$I$5001,$B$2:$B$5001,B142,$A$2:$A$5001,"&lt;="&amp;A142),"PR",""))</f>
        <v/>
      </c>
    </row>
    <row r="143">
      <c r="A143" s="7" t="n"/>
      <c r="H143" s="11">
        <f>IF(OR(D143="",E143=""),"",D143*E143)</f>
        <v/>
      </c>
      <c r="I143" s="8">
        <f>IF(OR(D143="",E143=""),"",E143*(1+D143/30))</f>
        <v/>
      </c>
      <c r="J143">
        <f>IF(I143="","",IF(I143&gt;=MAXIFS($I$2:$I$5001,$B$2:$B$5001,B143,$A$2:$A$5001,"&lt;="&amp;A143),"PR",""))</f>
        <v/>
      </c>
    </row>
    <row r="144">
      <c r="A144" s="7" t="n"/>
      <c r="H144" s="11">
        <f>IF(OR(D144="",E144=""),"",D144*E144)</f>
        <v/>
      </c>
      <c r="I144" s="8">
        <f>IF(OR(D144="",E144=""),"",E144*(1+D144/30))</f>
        <v/>
      </c>
      <c r="J144">
        <f>IF(I144="","",IF(I144&gt;=MAXIFS($I$2:$I$5001,$B$2:$B$5001,B144,$A$2:$A$5001,"&lt;="&amp;A144),"PR",""))</f>
        <v/>
      </c>
    </row>
    <row r="145">
      <c r="A145" s="7" t="n"/>
      <c r="H145" s="11">
        <f>IF(OR(D145="",E145=""),"",D145*E145)</f>
        <v/>
      </c>
      <c r="I145" s="8">
        <f>IF(OR(D145="",E145=""),"",E145*(1+D145/30))</f>
        <v/>
      </c>
      <c r="J145">
        <f>IF(I145="","",IF(I145&gt;=MAXIFS($I$2:$I$5001,$B$2:$B$5001,B145,$A$2:$A$5001,"&lt;="&amp;A145),"PR",""))</f>
        <v/>
      </c>
    </row>
    <row r="146">
      <c r="A146" s="7" t="n"/>
      <c r="H146" s="11">
        <f>IF(OR(D146="",E146=""),"",D146*E146)</f>
        <v/>
      </c>
      <c r="I146" s="8">
        <f>IF(OR(D146="",E146=""),"",E146*(1+D146/30))</f>
        <v/>
      </c>
      <c r="J146">
        <f>IF(I146="","",IF(I146&gt;=MAXIFS($I$2:$I$5001,$B$2:$B$5001,B146,$A$2:$A$5001,"&lt;="&amp;A146),"PR",""))</f>
        <v/>
      </c>
    </row>
    <row r="147">
      <c r="A147" s="7" t="n"/>
      <c r="H147" s="11">
        <f>IF(OR(D147="",E147=""),"",D147*E147)</f>
        <v/>
      </c>
      <c r="I147" s="8">
        <f>IF(OR(D147="",E147=""),"",E147*(1+D147/30))</f>
        <v/>
      </c>
      <c r="J147">
        <f>IF(I147="","",IF(I147&gt;=MAXIFS($I$2:$I$5001,$B$2:$B$5001,B147,$A$2:$A$5001,"&lt;="&amp;A147),"PR",""))</f>
        <v/>
      </c>
    </row>
    <row r="148">
      <c r="A148" s="7" t="n"/>
      <c r="H148" s="11">
        <f>IF(OR(D148="",E148=""),"",D148*E148)</f>
        <v/>
      </c>
      <c r="I148" s="8">
        <f>IF(OR(D148="",E148=""),"",E148*(1+D148/30))</f>
        <v/>
      </c>
      <c r="J148">
        <f>IF(I148="","",IF(I148&gt;=MAXIFS($I$2:$I$5001,$B$2:$B$5001,B148,$A$2:$A$5001,"&lt;="&amp;A148),"PR",""))</f>
        <v/>
      </c>
    </row>
    <row r="149">
      <c r="A149" s="7" t="n"/>
      <c r="H149" s="11">
        <f>IF(OR(D149="",E149=""),"",D149*E149)</f>
        <v/>
      </c>
      <c r="I149" s="8">
        <f>IF(OR(D149="",E149=""),"",E149*(1+D149/30))</f>
        <v/>
      </c>
      <c r="J149">
        <f>IF(I149="","",IF(I149&gt;=MAXIFS($I$2:$I$5001,$B$2:$B$5001,B149,$A$2:$A$5001,"&lt;="&amp;A149),"PR",""))</f>
        <v/>
      </c>
    </row>
    <row r="150">
      <c r="A150" s="7" t="n"/>
      <c r="H150" s="11">
        <f>IF(OR(D150="",E150=""),"",D150*E150)</f>
        <v/>
      </c>
      <c r="I150" s="8">
        <f>IF(OR(D150="",E150=""),"",E150*(1+D150/30))</f>
        <v/>
      </c>
      <c r="J150">
        <f>IF(I150="","",IF(I150&gt;=MAXIFS($I$2:$I$5001,$B$2:$B$5001,B150,$A$2:$A$5001,"&lt;="&amp;A150),"PR",""))</f>
        <v/>
      </c>
    </row>
    <row r="151">
      <c r="A151" s="7" t="n"/>
      <c r="H151" s="11">
        <f>IF(OR(D151="",E151=""),"",D151*E151)</f>
        <v/>
      </c>
      <c r="I151" s="8">
        <f>IF(OR(D151="",E151=""),"",E151*(1+D151/30))</f>
        <v/>
      </c>
      <c r="J151">
        <f>IF(I151="","",IF(I151&gt;=MAXIFS($I$2:$I$5001,$B$2:$B$5001,B151,$A$2:$A$5001,"&lt;="&amp;A151),"PR",""))</f>
        <v/>
      </c>
    </row>
    <row r="152">
      <c r="A152" s="7" t="n"/>
      <c r="H152" s="11">
        <f>IF(OR(D152="",E152=""),"",D152*E152)</f>
        <v/>
      </c>
      <c r="I152" s="8">
        <f>IF(OR(D152="",E152=""),"",E152*(1+D152/30))</f>
        <v/>
      </c>
      <c r="J152">
        <f>IF(I152="","",IF(I152&gt;=MAXIFS($I$2:$I$5001,$B$2:$B$5001,B152,$A$2:$A$5001,"&lt;="&amp;A152),"PR",""))</f>
        <v/>
      </c>
    </row>
    <row r="153">
      <c r="A153" s="7" t="n"/>
      <c r="H153" s="11">
        <f>IF(OR(D153="",E153=""),"",D153*E153)</f>
        <v/>
      </c>
      <c r="I153" s="8">
        <f>IF(OR(D153="",E153=""),"",E153*(1+D153/30))</f>
        <v/>
      </c>
      <c r="J153">
        <f>IF(I153="","",IF(I153&gt;=MAXIFS($I$2:$I$5001,$B$2:$B$5001,B153,$A$2:$A$5001,"&lt;="&amp;A153),"PR",""))</f>
        <v/>
      </c>
    </row>
    <row r="154">
      <c r="A154" s="7" t="n"/>
      <c r="H154" s="11">
        <f>IF(OR(D154="",E154=""),"",D154*E154)</f>
        <v/>
      </c>
      <c r="I154" s="8">
        <f>IF(OR(D154="",E154=""),"",E154*(1+D154/30))</f>
        <v/>
      </c>
      <c r="J154">
        <f>IF(I154="","",IF(I154&gt;=MAXIFS($I$2:$I$5001,$B$2:$B$5001,B154,$A$2:$A$5001,"&lt;="&amp;A154),"PR",""))</f>
        <v/>
      </c>
    </row>
    <row r="155">
      <c r="A155" s="7" t="n"/>
      <c r="H155" s="11">
        <f>IF(OR(D155="",E155=""),"",D155*E155)</f>
        <v/>
      </c>
      <c r="I155" s="8">
        <f>IF(OR(D155="",E155=""),"",E155*(1+D155/30))</f>
        <v/>
      </c>
      <c r="J155">
        <f>IF(I155="","",IF(I155&gt;=MAXIFS($I$2:$I$5001,$B$2:$B$5001,B155,$A$2:$A$5001,"&lt;="&amp;A155),"PR",""))</f>
        <v/>
      </c>
    </row>
    <row r="156">
      <c r="A156" s="7" t="n"/>
      <c r="H156" s="11">
        <f>IF(OR(D156="",E156=""),"",D156*E156)</f>
        <v/>
      </c>
      <c r="I156" s="8">
        <f>IF(OR(D156="",E156=""),"",E156*(1+D156/30))</f>
        <v/>
      </c>
      <c r="J156">
        <f>IF(I156="","",IF(I156&gt;=MAXIFS($I$2:$I$5001,$B$2:$B$5001,B156,$A$2:$A$5001,"&lt;="&amp;A156),"PR",""))</f>
        <v/>
      </c>
    </row>
    <row r="157">
      <c r="A157" s="7" t="n"/>
      <c r="H157" s="11">
        <f>IF(OR(D157="",E157=""),"",D157*E157)</f>
        <v/>
      </c>
      <c r="I157" s="8">
        <f>IF(OR(D157="",E157=""),"",E157*(1+D157/30))</f>
        <v/>
      </c>
      <c r="J157">
        <f>IF(I157="","",IF(I157&gt;=MAXIFS($I$2:$I$5001,$B$2:$B$5001,B157,$A$2:$A$5001,"&lt;="&amp;A157),"PR",""))</f>
        <v/>
      </c>
    </row>
    <row r="158">
      <c r="A158" s="7" t="n"/>
      <c r="H158" s="11">
        <f>IF(OR(D158="",E158=""),"",D158*E158)</f>
        <v/>
      </c>
      <c r="I158" s="8">
        <f>IF(OR(D158="",E158=""),"",E158*(1+D158/30))</f>
        <v/>
      </c>
      <c r="J158">
        <f>IF(I158="","",IF(I158&gt;=MAXIFS($I$2:$I$5001,$B$2:$B$5001,B158,$A$2:$A$5001,"&lt;="&amp;A158),"PR",""))</f>
        <v/>
      </c>
    </row>
    <row r="159">
      <c r="A159" s="7" t="n"/>
      <c r="H159" s="11">
        <f>IF(OR(D159="",E159=""),"",D159*E159)</f>
        <v/>
      </c>
      <c r="I159" s="8">
        <f>IF(OR(D159="",E159=""),"",E159*(1+D159/30))</f>
        <v/>
      </c>
      <c r="J159">
        <f>IF(I159="","",IF(I159&gt;=MAXIFS($I$2:$I$5001,$B$2:$B$5001,B159,$A$2:$A$5001,"&lt;="&amp;A159),"PR",""))</f>
        <v/>
      </c>
    </row>
    <row r="160">
      <c r="A160" s="7" t="n"/>
      <c r="H160" s="11">
        <f>IF(OR(D160="",E160=""),"",D160*E160)</f>
        <v/>
      </c>
      <c r="I160" s="8">
        <f>IF(OR(D160="",E160=""),"",E160*(1+D160/30))</f>
        <v/>
      </c>
      <c r="J160">
        <f>IF(I160="","",IF(I160&gt;=MAXIFS($I$2:$I$5001,$B$2:$B$5001,B160,$A$2:$A$5001,"&lt;="&amp;A160),"PR",""))</f>
        <v/>
      </c>
    </row>
    <row r="161">
      <c r="A161" s="7" t="n"/>
      <c r="H161" s="11">
        <f>IF(OR(D161="",E161=""),"",D161*E161)</f>
        <v/>
      </c>
      <c r="I161" s="8">
        <f>IF(OR(D161="",E161=""),"",E161*(1+D161/30))</f>
        <v/>
      </c>
      <c r="J161">
        <f>IF(I161="","",IF(I161&gt;=MAXIFS($I$2:$I$5001,$B$2:$B$5001,B161,$A$2:$A$5001,"&lt;="&amp;A161),"PR",""))</f>
        <v/>
      </c>
    </row>
    <row r="162">
      <c r="A162" s="7" t="n"/>
      <c r="H162" s="11">
        <f>IF(OR(D162="",E162=""),"",D162*E162)</f>
        <v/>
      </c>
      <c r="I162" s="8">
        <f>IF(OR(D162="",E162=""),"",E162*(1+D162/30))</f>
        <v/>
      </c>
      <c r="J162">
        <f>IF(I162="","",IF(I162&gt;=MAXIFS($I$2:$I$5001,$B$2:$B$5001,B162,$A$2:$A$5001,"&lt;="&amp;A162),"PR",""))</f>
        <v/>
      </c>
    </row>
    <row r="163">
      <c r="A163" s="7" t="n"/>
      <c r="H163" s="11">
        <f>IF(OR(D163="",E163=""),"",D163*E163)</f>
        <v/>
      </c>
      <c r="I163" s="8">
        <f>IF(OR(D163="",E163=""),"",E163*(1+D163/30))</f>
        <v/>
      </c>
      <c r="J163">
        <f>IF(I163="","",IF(I163&gt;=MAXIFS($I$2:$I$5001,$B$2:$B$5001,B163,$A$2:$A$5001,"&lt;="&amp;A163),"PR",""))</f>
        <v/>
      </c>
    </row>
    <row r="164">
      <c r="A164" s="7" t="n"/>
      <c r="H164" s="11">
        <f>IF(OR(D164="",E164=""),"",D164*E164)</f>
        <v/>
      </c>
      <c r="I164" s="8">
        <f>IF(OR(D164="",E164=""),"",E164*(1+D164/30))</f>
        <v/>
      </c>
      <c r="J164">
        <f>IF(I164="","",IF(I164&gt;=MAXIFS($I$2:$I$5001,$B$2:$B$5001,B164,$A$2:$A$5001,"&lt;="&amp;A164),"PR",""))</f>
        <v/>
      </c>
    </row>
    <row r="165">
      <c r="A165" s="7" t="n"/>
      <c r="H165" s="11">
        <f>IF(OR(D165="",E165=""),"",D165*E165)</f>
        <v/>
      </c>
      <c r="I165" s="8">
        <f>IF(OR(D165="",E165=""),"",E165*(1+D165/30))</f>
        <v/>
      </c>
      <c r="J165">
        <f>IF(I165="","",IF(I165&gt;=MAXIFS($I$2:$I$5001,$B$2:$B$5001,B165,$A$2:$A$5001,"&lt;="&amp;A165),"PR",""))</f>
        <v/>
      </c>
    </row>
    <row r="166">
      <c r="A166" s="7" t="n"/>
      <c r="H166" s="11">
        <f>IF(OR(D166="",E166=""),"",D166*E166)</f>
        <v/>
      </c>
      <c r="I166" s="8">
        <f>IF(OR(D166="",E166=""),"",E166*(1+D166/30))</f>
        <v/>
      </c>
      <c r="J166">
        <f>IF(I166="","",IF(I166&gt;=MAXIFS($I$2:$I$5001,$B$2:$B$5001,B166,$A$2:$A$5001,"&lt;="&amp;A166),"PR",""))</f>
        <v/>
      </c>
    </row>
    <row r="167">
      <c r="A167" s="7" t="n"/>
      <c r="H167" s="11">
        <f>IF(OR(D167="",E167=""),"",D167*E167)</f>
        <v/>
      </c>
      <c r="I167" s="8">
        <f>IF(OR(D167="",E167=""),"",E167*(1+D167/30))</f>
        <v/>
      </c>
      <c r="J167">
        <f>IF(I167="","",IF(I167&gt;=MAXIFS($I$2:$I$5001,$B$2:$B$5001,B167,$A$2:$A$5001,"&lt;="&amp;A167),"PR",""))</f>
        <v/>
      </c>
    </row>
    <row r="168">
      <c r="A168" s="7" t="n"/>
      <c r="H168" s="11">
        <f>IF(OR(D168="",E168=""),"",D168*E168)</f>
        <v/>
      </c>
      <c r="I168" s="8">
        <f>IF(OR(D168="",E168=""),"",E168*(1+D168/30))</f>
        <v/>
      </c>
      <c r="J168">
        <f>IF(I168="","",IF(I168&gt;=MAXIFS($I$2:$I$5001,$B$2:$B$5001,B168,$A$2:$A$5001,"&lt;="&amp;A168),"PR",""))</f>
        <v/>
      </c>
    </row>
    <row r="169">
      <c r="A169" s="7" t="n"/>
      <c r="H169" s="11">
        <f>IF(OR(D169="",E169=""),"",D169*E169)</f>
        <v/>
      </c>
      <c r="I169" s="8">
        <f>IF(OR(D169="",E169=""),"",E169*(1+D169/30))</f>
        <v/>
      </c>
      <c r="J169">
        <f>IF(I169="","",IF(I169&gt;=MAXIFS($I$2:$I$5001,$B$2:$B$5001,B169,$A$2:$A$5001,"&lt;="&amp;A169),"PR",""))</f>
        <v/>
      </c>
    </row>
    <row r="170">
      <c r="A170" s="7" t="n"/>
      <c r="H170" s="11">
        <f>IF(OR(D170="",E170=""),"",D170*E170)</f>
        <v/>
      </c>
      <c r="I170" s="8">
        <f>IF(OR(D170="",E170=""),"",E170*(1+D170/30))</f>
        <v/>
      </c>
      <c r="J170">
        <f>IF(I170="","",IF(I170&gt;=MAXIFS($I$2:$I$5001,$B$2:$B$5001,B170,$A$2:$A$5001,"&lt;="&amp;A170),"PR",""))</f>
        <v/>
      </c>
    </row>
    <row r="171">
      <c r="A171" s="7" t="n"/>
      <c r="H171" s="11">
        <f>IF(OR(D171="",E171=""),"",D171*E171)</f>
        <v/>
      </c>
      <c r="I171" s="8">
        <f>IF(OR(D171="",E171=""),"",E171*(1+D171/30))</f>
        <v/>
      </c>
      <c r="J171">
        <f>IF(I171="","",IF(I171&gt;=MAXIFS($I$2:$I$5001,$B$2:$B$5001,B171,$A$2:$A$5001,"&lt;="&amp;A171),"PR",""))</f>
        <v/>
      </c>
    </row>
    <row r="172">
      <c r="A172" s="7" t="n"/>
      <c r="H172" s="11">
        <f>IF(OR(D172="",E172=""),"",D172*E172)</f>
        <v/>
      </c>
      <c r="I172" s="8">
        <f>IF(OR(D172="",E172=""),"",E172*(1+D172/30))</f>
        <v/>
      </c>
      <c r="J172">
        <f>IF(I172="","",IF(I172&gt;=MAXIFS($I$2:$I$5001,$B$2:$B$5001,B172,$A$2:$A$5001,"&lt;="&amp;A172),"PR",""))</f>
        <v/>
      </c>
    </row>
    <row r="173">
      <c r="A173" s="7" t="n"/>
      <c r="H173" s="11">
        <f>IF(OR(D173="",E173=""),"",D173*E173)</f>
        <v/>
      </c>
      <c r="I173" s="8">
        <f>IF(OR(D173="",E173=""),"",E173*(1+D173/30))</f>
        <v/>
      </c>
      <c r="J173">
        <f>IF(I173="","",IF(I173&gt;=MAXIFS($I$2:$I$5001,$B$2:$B$5001,B173,$A$2:$A$5001,"&lt;="&amp;A173),"PR",""))</f>
        <v/>
      </c>
    </row>
    <row r="174">
      <c r="A174" s="7" t="n"/>
      <c r="H174" s="11">
        <f>IF(OR(D174="",E174=""),"",D174*E174)</f>
        <v/>
      </c>
      <c r="I174" s="8">
        <f>IF(OR(D174="",E174=""),"",E174*(1+D174/30))</f>
        <v/>
      </c>
      <c r="J174">
        <f>IF(I174="","",IF(I174&gt;=MAXIFS($I$2:$I$5001,$B$2:$B$5001,B174,$A$2:$A$5001,"&lt;="&amp;A174),"PR",""))</f>
        <v/>
      </c>
    </row>
    <row r="175">
      <c r="A175" s="7" t="n"/>
      <c r="H175" s="11">
        <f>IF(OR(D175="",E175=""),"",D175*E175)</f>
        <v/>
      </c>
      <c r="I175" s="8">
        <f>IF(OR(D175="",E175=""),"",E175*(1+D175/30))</f>
        <v/>
      </c>
      <c r="J175">
        <f>IF(I175="","",IF(I175&gt;=MAXIFS($I$2:$I$5001,$B$2:$B$5001,B175,$A$2:$A$5001,"&lt;="&amp;A175),"PR",""))</f>
        <v/>
      </c>
    </row>
    <row r="176">
      <c r="A176" s="7" t="n"/>
      <c r="H176" s="11">
        <f>IF(OR(D176="",E176=""),"",D176*E176)</f>
        <v/>
      </c>
      <c r="I176" s="8">
        <f>IF(OR(D176="",E176=""),"",E176*(1+D176/30))</f>
        <v/>
      </c>
      <c r="J176">
        <f>IF(I176="","",IF(I176&gt;=MAXIFS($I$2:$I$5001,$B$2:$B$5001,B176,$A$2:$A$5001,"&lt;="&amp;A176),"PR",""))</f>
        <v/>
      </c>
    </row>
    <row r="177">
      <c r="A177" s="7" t="n"/>
      <c r="H177" s="11">
        <f>IF(OR(D177="",E177=""),"",D177*E177)</f>
        <v/>
      </c>
      <c r="I177" s="8">
        <f>IF(OR(D177="",E177=""),"",E177*(1+D177/30))</f>
        <v/>
      </c>
      <c r="J177">
        <f>IF(I177="","",IF(I177&gt;=MAXIFS($I$2:$I$5001,$B$2:$B$5001,B177,$A$2:$A$5001,"&lt;="&amp;A177),"PR",""))</f>
        <v/>
      </c>
    </row>
    <row r="178">
      <c r="A178" s="7" t="n"/>
      <c r="H178" s="11">
        <f>IF(OR(D178="",E178=""),"",D178*E178)</f>
        <v/>
      </c>
      <c r="I178" s="8">
        <f>IF(OR(D178="",E178=""),"",E178*(1+D178/30))</f>
        <v/>
      </c>
      <c r="J178">
        <f>IF(I178="","",IF(I178&gt;=MAXIFS($I$2:$I$5001,$B$2:$B$5001,B178,$A$2:$A$5001,"&lt;="&amp;A178),"PR",""))</f>
        <v/>
      </c>
    </row>
    <row r="179">
      <c r="A179" s="7" t="n"/>
      <c r="H179" s="11">
        <f>IF(OR(D179="",E179=""),"",D179*E179)</f>
        <v/>
      </c>
      <c r="I179" s="8">
        <f>IF(OR(D179="",E179=""),"",E179*(1+D179/30))</f>
        <v/>
      </c>
      <c r="J179">
        <f>IF(I179="","",IF(I179&gt;=MAXIFS($I$2:$I$5001,$B$2:$B$5001,B179,$A$2:$A$5001,"&lt;="&amp;A179),"PR",""))</f>
        <v/>
      </c>
    </row>
    <row r="180">
      <c r="A180" s="7" t="n"/>
      <c r="H180" s="11">
        <f>IF(OR(D180="",E180=""),"",D180*E180)</f>
        <v/>
      </c>
      <c r="I180" s="8">
        <f>IF(OR(D180="",E180=""),"",E180*(1+D180/30))</f>
        <v/>
      </c>
      <c r="J180">
        <f>IF(I180="","",IF(I180&gt;=MAXIFS($I$2:$I$5001,$B$2:$B$5001,B180,$A$2:$A$5001,"&lt;="&amp;A180),"PR",""))</f>
        <v/>
      </c>
    </row>
    <row r="181">
      <c r="A181" s="7" t="n"/>
      <c r="H181" s="11">
        <f>IF(OR(D181="",E181=""),"",D181*E181)</f>
        <v/>
      </c>
      <c r="I181" s="8">
        <f>IF(OR(D181="",E181=""),"",E181*(1+D181/30))</f>
        <v/>
      </c>
      <c r="J181">
        <f>IF(I181="","",IF(I181&gt;=MAXIFS($I$2:$I$5001,$B$2:$B$5001,B181,$A$2:$A$5001,"&lt;="&amp;A181),"PR",""))</f>
        <v/>
      </c>
    </row>
    <row r="182">
      <c r="A182" s="7" t="n"/>
      <c r="H182" s="11">
        <f>IF(OR(D182="",E182=""),"",D182*E182)</f>
        <v/>
      </c>
      <c r="I182" s="8">
        <f>IF(OR(D182="",E182=""),"",E182*(1+D182/30))</f>
        <v/>
      </c>
      <c r="J182">
        <f>IF(I182="","",IF(I182&gt;=MAXIFS($I$2:$I$5001,$B$2:$B$5001,B182,$A$2:$A$5001,"&lt;="&amp;A182),"PR",""))</f>
        <v/>
      </c>
    </row>
    <row r="183">
      <c r="A183" s="7" t="n"/>
      <c r="H183" s="11">
        <f>IF(OR(D183="",E183=""),"",D183*E183)</f>
        <v/>
      </c>
      <c r="I183" s="8">
        <f>IF(OR(D183="",E183=""),"",E183*(1+D183/30))</f>
        <v/>
      </c>
      <c r="J183">
        <f>IF(I183="","",IF(I183&gt;=MAXIFS($I$2:$I$5001,$B$2:$B$5001,B183,$A$2:$A$5001,"&lt;="&amp;A183),"PR",""))</f>
        <v/>
      </c>
    </row>
    <row r="184">
      <c r="A184" s="7" t="n"/>
      <c r="H184" s="11">
        <f>IF(OR(D184="",E184=""),"",D184*E184)</f>
        <v/>
      </c>
      <c r="I184" s="8">
        <f>IF(OR(D184="",E184=""),"",E184*(1+D184/30))</f>
        <v/>
      </c>
      <c r="J184">
        <f>IF(I184="","",IF(I184&gt;=MAXIFS($I$2:$I$5001,$B$2:$B$5001,B184,$A$2:$A$5001,"&lt;="&amp;A184),"PR",""))</f>
        <v/>
      </c>
    </row>
    <row r="185">
      <c r="A185" s="7" t="n"/>
      <c r="H185" s="11">
        <f>IF(OR(D185="",E185=""),"",D185*E185)</f>
        <v/>
      </c>
      <c r="I185" s="8">
        <f>IF(OR(D185="",E185=""),"",E185*(1+D185/30))</f>
        <v/>
      </c>
      <c r="J185">
        <f>IF(I185="","",IF(I185&gt;=MAXIFS($I$2:$I$5001,$B$2:$B$5001,B185,$A$2:$A$5001,"&lt;="&amp;A185),"PR",""))</f>
        <v/>
      </c>
    </row>
    <row r="186">
      <c r="A186" s="7" t="n"/>
      <c r="H186" s="11">
        <f>IF(OR(D186="",E186=""),"",D186*E186)</f>
        <v/>
      </c>
      <c r="I186" s="8">
        <f>IF(OR(D186="",E186=""),"",E186*(1+D186/30))</f>
        <v/>
      </c>
      <c r="J186">
        <f>IF(I186="","",IF(I186&gt;=MAXIFS($I$2:$I$5001,$B$2:$B$5001,B186,$A$2:$A$5001,"&lt;="&amp;A186),"PR",""))</f>
        <v/>
      </c>
    </row>
    <row r="187">
      <c r="A187" s="7" t="n"/>
      <c r="H187" s="11">
        <f>IF(OR(D187="",E187=""),"",D187*E187)</f>
        <v/>
      </c>
      <c r="I187" s="8">
        <f>IF(OR(D187="",E187=""),"",E187*(1+D187/30))</f>
        <v/>
      </c>
      <c r="J187">
        <f>IF(I187="","",IF(I187&gt;=MAXIFS($I$2:$I$5001,$B$2:$B$5001,B187,$A$2:$A$5001,"&lt;="&amp;A187),"PR",""))</f>
        <v/>
      </c>
    </row>
    <row r="188">
      <c r="A188" s="7" t="n"/>
      <c r="H188" s="11">
        <f>IF(OR(D188="",E188=""),"",D188*E188)</f>
        <v/>
      </c>
      <c r="I188" s="8">
        <f>IF(OR(D188="",E188=""),"",E188*(1+D188/30))</f>
        <v/>
      </c>
      <c r="J188">
        <f>IF(I188="","",IF(I188&gt;=MAXIFS($I$2:$I$5001,$B$2:$B$5001,B188,$A$2:$A$5001,"&lt;="&amp;A188),"PR",""))</f>
        <v/>
      </c>
    </row>
    <row r="189">
      <c r="A189" s="7" t="n"/>
      <c r="H189" s="11">
        <f>IF(OR(D189="",E189=""),"",D189*E189)</f>
        <v/>
      </c>
      <c r="I189" s="8">
        <f>IF(OR(D189="",E189=""),"",E189*(1+D189/30))</f>
        <v/>
      </c>
      <c r="J189">
        <f>IF(I189="","",IF(I189&gt;=MAXIFS($I$2:$I$5001,$B$2:$B$5001,B189,$A$2:$A$5001,"&lt;="&amp;A189),"PR",""))</f>
        <v/>
      </c>
    </row>
    <row r="190">
      <c r="A190" s="7" t="n"/>
      <c r="H190" s="11">
        <f>IF(OR(D190="",E190=""),"",D190*E190)</f>
        <v/>
      </c>
      <c r="I190" s="8">
        <f>IF(OR(D190="",E190=""),"",E190*(1+D190/30))</f>
        <v/>
      </c>
      <c r="J190">
        <f>IF(I190="","",IF(I190&gt;=MAXIFS($I$2:$I$5001,$B$2:$B$5001,B190,$A$2:$A$5001,"&lt;="&amp;A190),"PR",""))</f>
        <v/>
      </c>
    </row>
    <row r="191">
      <c r="A191" s="7" t="n"/>
      <c r="H191" s="11">
        <f>IF(OR(D191="",E191=""),"",D191*E191)</f>
        <v/>
      </c>
      <c r="I191" s="8">
        <f>IF(OR(D191="",E191=""),"",E191*(1+D191/30))</f>
        <v/>
      </c>
      <c r="J191">
        <f>IF(I191="","",IF(I191&gt;=MAXIFS($I$2:$I$5001,$B$2:$B$5001,B191,$A$2:$A$5001,"&lt;="&amp;A191),"PR",""))</f>
        <v/>
      </c>
    </row>
    <row r="192">
      <c r="A192" s="7" t="n"/>
      <c r="H192" s="11">
        <f>IF(OR(D192="",E192=""),"",D192*E192)</f>
        <v/>
      </c>
      <c r="I192" s="8">
        <f>IF(OR(D192="",E192=""),"",E192*(1+D192/30))</f>
        <v/>
      </c>
      <c r="J192">
        <f>IF(I192="","",IF(I192&gt;=MAXIFS($I$2:$I$5001,$B$2:$B$5001,B192,$A$2:$A$5001,"&lt;="&amp;A192),"PR",""))</f>
        <v/>
      </c>
    </row>
    <row r="193">
      <c r="A193" s="7" t="n"/>
      <c r="H193" s="11">
        <f>IF(OR(D193="",E193=""),"",D193*E193)</f>
        <v/>
      </c>
      <c r="I193" s="8">
        <f>IF(OR(D193="",E193=""),"",E193*(1+D193/30))</f>
        <v/>
      </c>
      <c r="J193">
        <f>IF(I193="","",IF(I193&gt;=MAXIFS($I$2:$I$5001,$B$2:$B$5001,B193,$A$2:$A$5001,"&lt;="&amp;A193),"PR",""))</f>
        <v/>
      </c>
    </row>
    <row r="194">
      <c r="A194" s="7" t="n"/>
      <c r="H194" s="11">
        <f>IF(OR(D194="",E194=""),"",D194*E194)</f>
        <v/>
      </c>
      <c r="I194" s="8">
        <f>IF(OR(D194="",E194=""),"",E194*(1+D194/30))</f>
        <v/>
      </c>
      <c r="J194">
        <f>IF(I194="","",IF(I194&gt;=MAXIFS($I$2:$I$5001,$B$2:$B$5001,B194,$A$2:$A$5001,"&lt;="&amp;A194),"PR",""))</f>
        <v/>
      </c>
    </row>
    <row r="195">
      <c r="A195" s="7" t="n"/>
      <c r="H195" s="11">
        <f>IF(OR(D195="",E195=""),"",D195*E195)</f>
        <v/>
      </c>
      <c r="I195" s="8">
        <f>IF(OR(D195="",E195=""),"",E195*(1+D195/30))</f>
        <v/>
      </c>
      <c r="J195">
        <f>IF(I195="","",IF(I195&gt;=MAXIFS($I$2:$I$5001,$B$2:$B$5001,B195,$A$2:$A$5001,"&lt;="&amp;A195),"PR",""))</f>
        <v/>
      </c>
    </row>
    <row r="196">
      <c r="A196" s="7" t="n"/>
      <c r="H196" s="11">
        <f>IF(OR(D196="",E196=""),"",D196*E196)</f>
        <v/>
      </c>
      <c r="I196" s="8">
        <f>IF(OR(D196="",E196=""),"",E196*(1+D196/30))</f>
        <v/>
      </c>
      <c r="J196">
        <f>IF(I196="","",IF(I196&gt;=MAXIFS($I$2:$I$5001,$B$2:$B$5001,B196,$A$2:$A$5001,"&lt;="&amp;A196),"PR",""))</f>
        <v/>
      </c>
    </row>
    <row r="197">
      <c r="A197" s="7" t="n"/>
      <c r="H197" s="11">
        <f>IF(OR(D197="",E197=""),"",D197*E197)</f>
        <v/>
      </c>
      <c r="I197" s="8">
        <f>IF(OR(D197="",E197=""),"",E197*(1+D197/30))</f>
        <v/>
      </c>
      <c r="J197">
        <f>IF(I197="","",IF(I197&gt;=MAXIFS($I$2:$I$5001,$B$2:$B$5001,B197,$A$2:$A$5001,"&lt;="&amp;A197),"PR",""))</f>
        <v/>
      </c>
    </row>
    <row r="198">
      <c r="A198" s="7" t="n"/>
      <c r="H198" s="11">
        <f>IF(OR(D198="",E198=""),"",D198*E198)</f>
        <v/>
      </c>
      <c r="I198" s="8">
        <f>IF(OR(D198="",E198=""),"",E198*(1+D198/30))</f>
        <v/>
      </c>
      <c r="J198">
        <f>IF(I198="","",IF(I198&gt;=MAXIFS($I$2:$I$5001,$B$2:$B$5001,B198,$A$2:$A$5001,"&lt;="&amp;A198),"PR",""))</f>
        <v/>
      </c>
    </row>
    <row r="199">
      <c r="A199" s="7" t="n"/>
      <c r="H199" s="11">
        <f>IF(OR(D199="",E199=""),"",D199*E199)</f>
        <v/>
      </c>
      <c r="I199" s="8">
        <f>IF(OR(D199="",E199=""),"",E199*(1+D199/30))</f>
        <v/>
      </c>
      <c r="J199">
        <f>IF(I199="","",IF(I199&gt;=MAXIFS($I$2:$I$5001,$B$2:$B$5001,B199,$A$2:$A$5001,"&lt;="&amp;A199),"PR",""))</f>
        <v/>
      </c>
    </row>
    <row r="200">
      <c r="A200" s="7" t="n"/>
      <c r="H200" s="11">
        <f>IF(OR(D200="",E200=""),"",D200*E200)</f>
        <v/>
      </c>
      <c r="I200" s="8">
        <f>IF(OR(D200="",E200=""),"",E200*(1+D200/30))</f>
        <v/>
      </c>
      <c r="J200">
        <f>IF(I200="","",IF(I200&gt;=MAXIFS($I$2:$I$5001,$B$2:$B$5001,B200,$A$2:$A$5001,"&lt;="&amp;A200),"PR",""))</f>
        <v/>
      </c>
    </row>
    <row r="201">
      <c r="A201" s="7" t="n"/>
      <c r="H201" s="11">
        <f>IF(OR(D201="",E201=""),"",D201*E201)</f>
        <v/>
      </c>
      <c r="I201" s="8">
        <f>IF(OR(D201="",E201=""),"",E201*(1+D201/30))</f>
        <v/>
      </c>
      <c r="J201">
        <f>IF(I201="","",IF(I201&gt;=MAXIFS($I$2:$I$5001,$B$2:$B$5001,B201,$A$2:$A$5001,"&lt;="&amp;A201),"PR",""))</f>
        <v/>
      </c>
    </row>
    <row r="202">
      <c r="A202" s="7" t="n"/>
      <c r="H202" s="11">
        <f>IF(OR(D202="",E202=""),"",D202*E202)</f>
        <v/>
      </c>
      <c r="I202" s="8">
        <f>IF(OR(D202="",E202=""),"",E202*(1+D202/30))</f>
        <v/>
      </c>
      <c r="J202">
        <f>IF(I202="","",IF(I202&gt;=MAXIFS($I$2:$I$5001,$B$2:$B$5001,B202,$A$2:$A$5001,"&lt;="&amp;A202),"PR",""))</f>
        <v/>
      </c>
    </row>
    <row r="203">
      <c r="A203" s="7" t="n"/>
      <c r="H203" s="11">
        <f>IF(OR(D203="",E203=""),"",D203*E203)</f>
        <v/>
      </c>
      <c r="I203" s="8">
        <f>IF(OR(D203="",E203=""),"",E203*(1+D203/30))</f>
        <v/>
      </c>
      <c r="J203">
        <f>IF(I203="","",IF(I203&gt;=MAXIFS($I$2:$I$5001,$B$2:$B$5001,B203,$A$2:$A$5001,"&lt;="&amp;A203),"PR",""))</f>
        <v/>
      </c>
    </row>
    <row r="204">
      <c r="A204" s="7" t="n"/>
      <c r="H204" s="11">
        <f>IF(OR(D204="",E204=""),"",D204*E204)</f>
        <v/>
      </c>
      <c r="I204" s="8">
        <f>IF(OR(D204="",E204=""),"",E204*(1+D204/30))</f>
        <v/>
      </c>
      <c r="J204">
        <f>IF(I204="","",IF(I204&gt;=MAXIFS($I$2:$I$5001,$B$2:$B$5001,B204,$A$2:$A$5001,"&lt;="&amp;A204),"PR",""))</f>
        <v/>
      </c>
    </row>
    <row r="205">
      <c r="A205" s="7" t="n"/>
      <c r="H205" s="11">
        <f>IF(OR(D205="",E205=""),"",D205*E205)</f>
        <v/>
      </c>
      <c r="I205" s="8">
        <f>IF(OR(D205="",E205=""),"",E205*(1+D205/30))</f>
        <v/>
      </c>
      <c r="J205">
        <f>IF(I205="","",IF(I205&gt;=MAXIFS($I$2:$I$5001,$B$2:$B$5001,B205,$A$2:$A$5001,"&lt;="&amp;A205),"PR",""))</f>
        <v/>
      </c>
    </row>
    <row r="206">
      <c r="A206" s="7" t="n"/>
      <c r="H206" s="11">
        <f>IF(OR(D206="",E206=""),"",D206*E206)</f>
        <v/>
      </c>
      <c r="I206" s="8">
        <f>IF(OR(D206="",E206=""),"",E206*(1+D206/30))</f>
        <v/>
      </c>
      <c r="J206">
        <f>IF(I206="","",IF(I206&gt;=MAXIFS($I$2:$I$5001,$B$2:$B$5001,B206,$A$2:$A$5001,"&lt;="&amp;A206),"PR",""))</f>
        <v/>
      </c>
    </row>
    <row r="207">
      <c r="A207" s="7" t="n"/>
      <c r="H207" s="11">
        <f>IF(OR(D207="",E207=""),"",D207*E207)</f>
        <v/>
      </c>
      <c r="I207" s="8">
        <f>IF(OR(D207="",E207=""),"",E207*(1+D207/30))</f>
        <v/>
      </c>
      <c r="J207">
        <f>IF(I207="","",IF(I207&gt;=MAXIFS($I$2:$I$5001,$B$2:$B$5001,B207,$A$2:$A$5001,"&lt;="&amp;A207),"PR",""))</f>
        <v/>
      </c>
    </row>
    <row r="208">
      <c r="A208" s="7" t="n"/>
      <c r="H208" s="11">
        <f>IF(OR(D208="",E208=""),"",D208*E208)</f>
        <v/>
      </c>
      <c r="I208" s="8">
        <f>IF(OR(D208="",E208=""),"",E208*(1+D208/30))</f>
        <v/>
      </c>
      <c r="J208">
        <f>IF(I208="","",IF(I208&gt;=MAXIFS($I$2:$I$5001,$B$2:$B$5001,B208,$A$2:$A$5001,"&lt;="&amp;A208),"PR",""))</f>
        <v/>
      </c>
    </row>
    <row r="209">
      <c r="A209" s="7" t="n"/>
      <c r="H209" s="11">
        <f>IF(OR(D209="",E209=""),"",D209*E209)</f>
        <v/>
      </c>
      <c r="I209" s="8">
        <f>IF(OR(D209="",E209=""),"",E209*(1+D209/30))</f>
        <v/>
      </c>
      <c r="J209">
        <f>IF(I209="","",IF(I209&gt;=MAXIFS($I$2:$I$5001,$B$2:$B$5001,B209,$A$2:$A$5001,"&lt;="&amp;A209),"PR",""))</f>
        <v/>
      </c>
    </row>
    <row r="210">
      <c r="A210" s="7" t="n"/>
      <c r="H210" s="11">
        <f>IF(OR(D210="",E210=""),"",D210*E210)</f>
        <v/>
      </c>
      <c r="I210" s="8">
        <f>IF(OR(D210="",E210=""),"",E210*(1+D210/30))</f>
        <v/>
      </c>
      <c r="J210">
        <f>IF(I210="","",IF(I210&gt;=MAXIFS($I$2:$I$5001,$B$2:$B$5001,B210,$A$2:$A$5001,"&lt;="&amp;A210),"PR",""))</f>
        <v/>
      </c>
    </row>
    <row r="211">
      <c r="A211" s="7" t="n"/>
      <c r="H211" s="11">
        <f>IF(OR(D211="",E211=""),"",D211*E211)</f>
        <v/>
      </c>
      <c r="I211" s="8">
        <f>IF(OR(D211="",E211=""),"",E211*(1+D211/30))</f>
        <v/>
      </c>
      <c r="J211">
        <f>IF(I211="","",IF(I211&gt;=MAXIFS($I$2:$I$5001,$B$2:$B$5001,B211,$A$2:$A$5001,"&lt;="&amp;A211),"PR",""))</f>
        <v/>
      </c>
    </row>
    <row r="212">
      <c r="A212" s="7" t="n"/>
      <c r="H212" s="11">
        <f>IF(OR(D212="",E212=""),"",D212*E212)</f>
        <v/>
      </c>
      <c r="I212" s="8">
        <f>IF(OR(D212="",E212=""),"",E212*(1+D212/30))</f>
        <v/>
      </c>
      <c r="J212">
        <f>IF(I212="","",IF(I212&gt;=MAXIFS($I$2:$I$5001,$B$2:$B$5001,B212,$A$2:$A$5001,"&lt;="&amp;A212),"PR",""))</f>
        <v/>
      </c>
    </row>
    <row r="213">
      <c r="A213" s="7" t="n"/>
      <c r="H213" s="11">
        <f>IF(OR(D213="",E213=""),"",D213*E213)</f>
        <v/>
      </c>
      <c r="I213" s="8">
        <f>IF(OR(D213="",E213=""),"",E213*(1+D213/30))</f>
        <v/>
      </c>
      <c r="J213">
        <f>IF(I213="","",IF(I213&gt;=MAXIFS($I$2:$I$5001,$B$2:$B$5001,B213,$A$2:$A$5001,"&lt;="&amp;A213),"PR",""))</f>
        <v/>
      </c>
    </row>
    <row r="214">
      <c r="A214" s="7" t="n"/>
      <c r="H214" s="11">
        <f>IF(OR(D214="",E214=""),"",D214*E214)</f>
        <v/>
      </c>
      <c r="I214" s="8">
        <f>IF(OR(D214="",E214=""),"",E214*(1+D214/30))</f>
        <v/>
      </c>
      <c r="J214">
        <f>IF(I214="","",IF(I214&gt;=MAXIFS($I$2:$I$5001,$B$2:$B$5001,B214,$A$2:$A$5001,"&lt;="&amp;A214),"PR",""))</f>
        <v/>
      </c>
    </row>
    <row r="215">
      <c r="A215" s="7" t="n"/>
      <c r="H215" s="11">
        <f>IF(OR(D215="",E215=""),"",D215*E215)</f>
        <v/>
      </c>
      <c r="I215" s="8">
        <f>IF(OR(D215="",E215=""),"",E215*(1+D215/30))</f>
        <v/>
      </c>
      <c r="J215">
        <f>IF(I215="","",IF(I215&gt;=MAXIFS($I$2:$I$5001,$B$2:$B$5001,B215,$A$2:$A$5001,"&lt;="&amp;A215),"PR",""))</f>
        <v/>
      </c>
    </row>
    <row r="216">
      <c r="A216" s="7" t="n"/>
      <c r="H216" s="11">
        <f>IF(OR(D216="",E216=""),"",D216*E216)</f>
        <v/>
      </c>
      <c r="I216" s="8">
        <f>IF(OR(D216="",E216=""),"",E216*(1+D216/30))</f>
        <v/>
      </c>
      <c r="J216">
        <f>IF(I216="","",IF(I216&gt;=MAXIFS($I$2:$I$5001,$B$2:$B$5001,B216,$A$2:$A$5001,"&lt;="&amp;A216),"PR",""))</f>
        <v/>
      </c>
    </row>
    <row r="217">
      <c r="A217" s="7" t="n"/>
      <c r="H217" s="11">
        <f>IF(OR(D217="",E217=""),"",D217*E217)</f>
        <v/>
      </c>
      <c r="I217" s="8">
        <f>IF(OR(D217="",E217=""),"",E217*(1+D217/30))</f>
        <v/>
      </c>
      <c r="J217">
        <f>IF(I217="","",IF(I217&gt;=MAXIFS($I$2:$I$5001,$B$2:$B$5001,B217,$A$2:$A$5001,"&lt;="&amp;A217),"PR",""))</f>
        <v/>
      </c>
    </row>
    <row r="218">
      <c r="A218" s="7" t="n"/>
      <c r="H218" s="11">
        <f>IF(OR(D218="",E218=""),"",D218*E218)</f>
        <v/>
      </c>
      <c r="I218" s="8">
        <f>IF(OR(D218="",E218=""),"",E218*(1+D218/30))</f>
        <v/>
      </c>
      <c r="J218">
        <f>IF(I218="","",IF(I218&gt;=MAXIFS($I$2:$I$5001,$B$2:$B$5001,B218,$A$2:$A$5001,"&lt;="&amp;A218),"PR",""))</f>
        <v/>
      </c>
    </row>
    <row r="219">
      <c r="A219" s="7" t="n"/>
      <c r="H219" s="11">
        <f>IF(OR(D219="",E219=""),"",D219*E219)</f>
        <v/>
      </c>
      <c r="I219" s="8">
        <f>IF(OR(D219="",E219=""),"",E219*(1+D219/30))</f>
        <v/>
      </c>
      <c r="J219">
        <f>IF(I219="","",IF(I219&gt;=MAXIFS($I$2:$I$5001,$B$2:$B$5001,B219,$A$2:$A$5001,"&lt;="&amp;A219),"PR",""))</f>
        <v/>
      </c>
    </row>
    <row r="220">
      <c r="A220" s="7" t="n"/>
      <c r="H220" s="11">
        <f>IF(OR(D220="",E220=""),"",D220*E220)</f>
        <v/>
      </c>
      <c r="I220" s="8">
        <f>IF(OR(D220="",E220=""),"",E220*(1+D220/30))</f>
        <v/>
      </c>
      <c r="J220">
        <f>IF(I220="","",IF(I220&gt;=MAXIFS($I$2:$I$5001,$B$2:$B$5001,B220,$A$2:$A$5001,"&lt;="&amp;A220),"PR",""))</f>
        <v/>
      </c>
    </row>
    <row r="221">
      <c r="A221" s="7" t="n"/>
      <c r="H221" s="11">
        <f>IF(OR(D221="",E221=""),"",D221*E221)</f>
        <v/>
      </c>
      <c r="I221" s="8">
        <f>IF(OR(D221="",E221=""),"",E221*(1+D221/30))</f>
        <v/>
      </c>
      <c r="J221">
        <f>IF(I221="","",IF(I221&gt;=MAXIFS($I$2:$I$5001,$B$2:$B$5001,B221,$A$2:$A$5001,"&lt;="&amp;A221),"PR",""))</f>
        <v/>
      </c>
    </row>
    <row r="222">
      <c r="A222" s="7" t="n"/>
      <c r="H222" s="11">
        <f>IF(OR(D222="",E222=""),"",D222*E222)</f>
        <v/>
      </c>
      <c r="I222" s="8">
        <f>IF(OR(D222="",E222=""),"",E222*(1+D222/30))</f>
        <v/>
      </c>
      <c r="J222">
        <f>IF(I222="","",IF(I222&gt;=MAXIFS($I$2:$I$5001,$B$2:$B$5001,B222,$A$2:$A$5001,"&lt;="&amp;A222),"PR",""))</f>
        <v/>
      </c>
    </row>
    <row r="223">
      <c r="A223" s="7" t="n"/>
      <c r="H223" s="11">
        <f>IF(OR(D223="",E223=""),"",D223*E223)</f>
        <v/>
      </c>
      <c r="I223" s="8">
        <f>IF(OR(D223="",E223=""),"",E223*(1+D223/30))</f>
        <v/>
      </c>
      <c r="J223">
        <f>IF(I223="","",IF(I223&gt;=MAXIFS($I$2:$I$5001,$B$2:$B$5001,B223,$A$2:$A$5001,"&lt;="&amp;A223),"PR",""))</f>
        <v/>
      </c>
    </row>
    <row r="224">
      <c r="A224" s="7" t="n"/>
      <c r="H224" s="11">
        <f>IF(OR(D224="",E224=""),"",D224*E224)</f>
        <v/>
      </c>
      <c r="I224" s="8">
        <f>IF(OR(D224="",E224=""),"",E224*(1+D224/30))</f>
        <v/>
      </c>
      <c r="J224">
        <f>IF(I224="","",IF(I224&gt;=MAXIFS($I$2:$I$5001,$B$2:$B$5001,B224,$A$2:$A$5001,"&lt;="&amp;A224),"PR",""))</f>
        <v/>
      </c>
    </row>
    <row r="225">
      <c r="A225" s="7" t="n"/>
      <c r="H225" s="11">
        <f>IF(OR(D225="",E225=""),"",D225*E225)</f>
        <v/>
      </c>
      <c r="I225" s="8">
        <f>IF(OR(D225="",E225=""),"",E225*(1+D225/30))</f>
        <v/>
      </c>
      <c r="J225">
        <f>IF(I225="","",IF(I225&gt;=MAXIFS($I$2:$I$5001,$B$2:$B$5001,B225,$A$2:$A$5001,"&lt;="&amp;A225),"PR",""))</f>
        <v/>
      </c>
    </row>
    <row r="226">
      <c r="A226" s="7" t="n"/>
      <c r="H226" s="11">
        <f>IF(OR(D226="",E226=""),"",D226*E226)</f>
        <v/>
      </c>
      <c r="I226" s="8">
        <f>IF(OR(D226="",E226=""),"",E226*(1+D226/30))</f>
        <v/>
      </c>
      <c r="J226">
        <f>IF(I226="","",IF(I226&gt;=MAXIFS($I$2:$I$5001,$B$2:$B$5001,B226,$A$2:$A$5001,"&lt;="&amp;A226),"PR",""))</f>
        <v/>
      </c>
    </row>
    <row r="227">
      <c r="A227" s="7" t="n"/>
      <c r="H227" s="11">
        <f>IF(OR(D227="",E227=""),"",D227*E227)</f>
        <v/>
      </c>
      <c r="I227" s="8">
        <f>IF(OR(D227="",E227=""),"",E227*(1+D227/30))</f>
        <v/>
      </c>
      <c r="J227">
        <f>IF(I227="","",IF(I227&gt;=MAXIFS($I$2:$I$5001,$B$2:$B$5001,B227,$A$2:$A$5001,"&lt;="&amp;A227),"PR",""))</f>
        <v/>
      </c>
    </row>
    <row r="228">
      <c r="A228" s="7" t="n"/>
      <c r="H228" s="11">
        <f>IF(OR(D228="",E228=""),"",D228*E228)</f>
        <v/>
      </c>
      <c r="I228" s="8">
        <f>IF(OR(D228="",E228=""),"",E228*(1+D228/30))</f>
        <v/>
      </c>
      <c r="J228">
        <f>IF(I228="","",IF(I228&gt;=MAXIFS($I$2:$I$5001,$B$2:$B$5001,B228,$A$2:$A$5001,"&lt;="&amp;A228),"PR",""))</f>
        <v/>
      </c>
    </row>
    <row r="229">
      <c r="A229" s="7" t="n"/>
      <c r="H229" s="11">
        <f>IF(OR(D229="",E229=""),"",D229*E229)</f>
        <v/>
      </c>
      <c r="I229" s="8">
        <f>IF(OR(D229="",E229=""),"",E229*(1+D229/30))</f>
        <v/>
      </c>
      <c r="J229">
        <f>IF(I229="","",IF(I229&gt;=MAXIFS($I$2:$I$5001,$B$2:$B$5001,B229,$A$2:$A$5001,"&lt;="&amp;A229),"PR",""))</f>
        <v/>
      </c>
    </row>
    <row r="230">
      <c r="A230" s="7" t="n"/>
      <c r="H230" s="11">
        <f>IF(OR(D230="",E230=""),"",D230*E230)</f>
        <v/>
      </c>
      <c r="I230" s="8">
        <f>IF(OR(D230="",E230=""),"",E230*(1+D230/30))</f>
        <v/>
      </c>
      <c r="J230">
        <f>IF(I230="","",IF(I230&gt;=MAXIFS($I$2:$I$5001,$B$2:$B$5001,B230,$A$2:$A$5001,"&lt;="&amp;A230),"PR",""))</f>
        <v/>
      </c>
    </row>
    <row r="231">
      <c r="A231" s="7" t="n"/>
      <c r="H231" s="11">
        <f>IF(OR(D231="",E231=""),"",D231*E231)</f>
        <v/>
      </c>
      <c r="I231" s="8">
        <f>IF(OR(D231="",E231=""),"",E231*(1+D231/30))</f>
        <v/>
      </c>
      <c r="J231">
        <f>IF(I231="","",IF(I231&gt;=MAXIFS($I$2:$I$5001,$B$2:$B$5001,B231,$A$2:$A$5001,"&lt;="&amp;A231),"PR",""))</f>
        <v/>
      </c>
    </row>
    <row r="232">
      <c r="A232" s="7" t="n"/>
      <c r="H232" s="11">
        <f>IF(OR(D232="",E232=""),"",D232*E232)</f>
        <v/>
      </c>
      <c r="I232" s="8">
        <f>IF(OR(D232="",E232=""),"",E232*(1+D232/30))</f>
        <v/>
      </c>
      <c r="J232">
        <f>IF(I232="","",IF(I232&gt;=MAXIFS($I$2:$I$5001,$B$2:$B$5001,B232,$A$2:$A$5001,"&lt;="&amp;A232),"PR",""))</f>
        <v/>
      </c>
    </row>
    <row r="233">
      <c r="A233" s="7" t="n"/>
      <c r="H233" s="11">
        <f>IF(OR(D233="",E233=""),"",D233*E233)</f>
        <v/>
      </c>
      <c r="I233" s="8">
        <f>IF(OR(D233="",E233=""),"",E233*(1+D233/30))</f>
        <v/>
      </c>
      <c r="J233">
        <f>IF(I233="","",IF(I233&gt;=MAXIFS($I$2:$I$5001,$B$2:$B$5001,B233,$A$2:$A$5001,"&lt;="&amp;A233),"PR",""))</f>
        <v/>
      </c>
    </row>
    <row r="234">
      <c r="A234" s="7" t="n"/>
      <c r="H234" s="11">
        <f>IF(OR(D234="",E234=""),"",D234*E234)</f>
        <v/>
      </c>
      <c r="I234" s="8">
        <f>IF(OR(D234="",E234=""),"",E234*(1+D234/30))</f>
        <v/>
      </c>
      <c r="J234">
        <f>IF(I234="","",IF(I234&gt;=MAXIFS($I$2:$I$5001,$B$2:$B$5001,B234,$A$2:$A$5001,"&lt;="&amp;A234),"PR",""))</f>
        <v/>
      </c>
    </row>
    <row r="235">
      <c r="A235" s="7" t="n"/>
      <c r="H235" s="11">
        <f>IF(OR(D235="",E235=""),"",D235*E235)</f>
        <v/>
      </c>
      <c r="I235" s="8">
        <f>IF(OR(D235="",E235=""),"",E235*(1+D235/30))</f>
        <v/>
      </c>
      <c r="J235">
        <f>IF(I235="","",IF(I235&gt;=MAXIFS($I$2:$I$5001,$B$2:$B$5001,B235,$A$2:$A$5001,"&lt;="&amp;A235),"PR",""))</f>
        <v/>
      </c>
    </row>
    <row r="236">
      <c r="A236" s="7" t="n"/>
      <c r="H236" s="11">
        <f>IF(OR(D236="",E236=""),"",D236*E236)</f>
        <v/>
      </c>
      <c r="I236" s="8">
        <f>IF(OR(D236="",E236=""),"",E236*(1+D236/30))</f>
        <v/>
      </c>
      <c r="J236">
        <f>IF(I236="","",IF(I236&gt;=MAXIFS($I$2:$I$5001,$B$2:$B$5001,B236,$A$2:$A$5001,"&lt;="&amp;A236),"PR",""))</f>
        <v/>
      </c>
    </row>
    <row r="237">
      <c r="A237" s="7" t="n"/>
      <c r="H237" s="11">
        <f>IF(OR(D237="",E237=""),"",D237*E237)</f>
        <v/>
      </c>
      <c r="I237" s="8">
        <f>IF(OR(D237="",E237=""),"",E237*(1+D237/30))</f>
        <v/>
      </c>
      <c r="J237">
        <f>IF(I237="","",IF(I237&gt;=MAXIFS($I$2:$I$5001,$B$2:$B$5001,B237,$A$2:$A$5001,"&lt;="&amp;A237),"PR",""))</f>
        <v/>
      </c>
    </row>
    <row r="238">
      <c r="A238" s="7" t="n"/>
      <c r="H238" s="11">
        <f>IF(OR(D238="",E238=""),"",D238*E238)</f>
        <v/>
      </c>
      <c r="I238" s="8">
        <f>IF(OR(D238="",E238=""),"",E238*(1+D238/30))</f>
        <v/>
      </c>
      <c r="J238">
        <f>IF(I238="","",IF(I238&gt;=MAXIFS($I$2:$I$5001,$B$2:$B$5001,B238,$A$2:$A$5001,"&lt;="&amp;A238),"PR",""))</f>
        <v/>
      </c>
    </row>
    <row r="239">
      <c r="A239" s="7" t="n"/>
      <c r="H239" s="11">
        <f>IF(OR(D239="",E239=""),"",D239*E239)</f>
        <v/>
      </c>
      <c r="I239" s="8">
        <f>IF(OR(D239="",E239=""),"",E239*(1+D239/30))</f>
        <v/>
      </c>
      <c r="J239">
        <f>IF(I239="","",IF(I239&gt;=MAXIFS($I$2:$I$5001,$B$2:$B$5001,B239,$A$2:$A$5001,"&lt;="&amp;A239),"PR",""))</f>
        <v/>
      </c>
    </row>
    <row r="240">
      <c r="A240" s="7" t="n"/>
      <c r="H240" s="11">
        <f>IF(OR(D240="",E240=""),"",D240*E240)</f>
        <v/>
      </c>
      <c r="I240" s="8">
        <f>IF(OR(D240="",E240=""),"",E240*(1+D240/30))</f>
        <v/>
      </c>
      <c r="J240">
        <f>IF(I240="","",IF(I240&gt;=MAXIFS($I$2:$I$5001,$B$2:$B$5001,B240,$A$2:$A$5001,"&lt;="&amp;A240),"PR",""))</f>
        <v/>
      </c>
    </row>
    <row r="241">
      <c r="A241" s="7" t="n"/>
      <c r="H241" s="11">
        <f>IF(OR(D241="",E241=""),"",D241*E241)</f>
        <v/>
      </c>
      <c r="I241" s="8">
        <f>IF(OR(D241="",E241=""),"",E241*(1+D241/30))</f>
        <v/>
      </c>
      <c r="J241">
        <f>IF(I241="","",IF(I241&gt;=MAXIFS($I$2:$I$5001,$B$2:$B$5001,B241,$A$2:$A$5001,"&lt;="&amp;A241),"PR",""))</f>
        <v/>
      </c>
    </row>
    <row r="242">
      <c r="A242" s="7" t="n"/>
      <c r="H242" s="11">
        <f>IF(OR(D242="",E242=""),"",D242*E242)</f>
        <v/>
      </c>
      <c r="I242" s="8">
        <f>IF(OR(D242="",E242=""),"",E242*(1+D242/30))</f>
        <v/>
      </c>
      <c r="J242">
        <f>IF(I242="","",IF(I242&gt;=MAXIFS($I$2:$I$5001,$B$2:$B$5001,B242,$A$2:$A$5001,"&lt;="&amp;A242),"PR",""))</f>
        <v/>
      </c>
    </row>
    <row r="243">
      <c r="A243" s="7" t="n"/>
      <c r="H243" s="11">
        <f>IF(OR(D243="",E243=""),"",D243*E243)</f>
        <v/>
      </c>
      <c r="I243" s="8">
        <f>IF(OR(D243="",E243=""),"",E243*(1+D243/30))</f>
        <v/>
      </c>
      <c r="J243">
        <f>IF(I243="","",IF(I243&gt;=MAXIFS($I$2:$I$5001,$B$2:$B$5001,B243,$A$2:$A$5001,"&lt;="&amp;A243),"PR",""))</f>
        <v/>
      </c>
    </row>
    <row r="244">
      <c r="A244" s="7" t="n"/>
      <c r="H244" s="11">
        <f>IF(OR(D244="",E244=""),"",D244*E244)</f>
        <v/>
      </c>
      <c r="I244" s="8">
        <f>IF(OR(D244="",E244=""),"",E244*(1+D244/30))</f>
        <v/>
      </c>
      <c r="J244">
        <f>IF(I244="","",IF(I244&gt;=MAXIFS($I$2:$I$5001,$B$2:$B$5001,B244,$A$2:$A$5001,"&lt;="&amp;A244),"PR",""))</f>
        <v/>
      </c>
    </row>
    <row r="245">
      <c r="A245" s="7" t="n"/>
      <c r="H245" s="11">
        <f>IF(OR(D245="",E245=""),"",D245*E245)</f>
        <v/>
      </c>
      <c r="I245" s="8">
        <f>IF(OR(D245="",E245=""),"",E245*(1+D245/30))</f>
        <v/>
      </c>
      <c r="J245">
        <f>IF(I245="","",IF(I245&gt;=MAXIFS($I$2:$I$5001,$B$2:$B$5001,B245,$A$2:$A$5001,"&lt;="&amp;A245),"PR",""))</f>
        <v/>
      </c>
    </row>
    <row r="246">
      <c r="A246" s="7" t="n"/>
      <c r="H246" s="11">
        <f>IF(OR(D246="",E246=""),"",D246*E246)</f>
        <v/>
      </c>
      <c r="I246" s="8">
        <f>IF(OR(D246="",E246=""),"",E246*(1+D246/30))</f>
        <v/>
      </c>
      <c r="J246">
        <f>IF(I246="","",IF(I246&gt;=MAXIFS($I$2:$I$5001,$B$2:$B$5001,B246,$A$2:$A$5001,"&lt;="&amp;A246),"PR",""))</f>
        <v/>
      </c>
    </row>
    <row r="247">
      <c r="A247" s="7" t="n"/>
      <c r="H247" s="11">
        <f>IF(OR(D247="",E247=""),"",D247*E247)</f>
        <v/>
      </c>
      <c r="I247" s="8">
        <f>IF(OR(D247="",E247=""),"",E247*(1+D247/30))</f>
        <v/>
      </c>
      <c r="J247">
        <f>IF(I247="","",IF(I247&gt;=MAXIFS($I$2:$I$5001,$B$2:$B$5001,B247,$A$2:$A$5001,"&lt;="&amp;A247),"PR",""))</f>
        <v/>
      </c>
    </row>
    <row r="248">
      <c r="A248" s="7" t="n"/>
      <c r="H248" s="11">
        <f>IF(OR(D248="",E248=""),"",D248*E248)</f>
        <v/>
      </c>
      <c r="I248" s="8">
        <f>IF(OR(D248="",E248=""),"",E248*(1+D248/30))</f>
        <v/>
      </c>
      <c r="J248">
        <f>IF(I248="","",IF(I248&gt;=MAXIFS($I$2:$I$5001,$B$2:$B$5001,B248,$A$2:$A$5001,"&lt;="&amp;A248),"PR",""))</f>
        <v/>
      </c>
    </row>
    <row r="249">
      <c r="A249" s="7" t="n"/>
      <c r="H249" s="11">
        <f>IF(OR(D249="",E249=""),"",D249*E249)</f>
        <v/>
      </c>
      <c r="I249" s="8">
        <f>IF(OR(D249="",E249=""),"",E249*(1+D249/30))</f>
        <v/>
      </c>
      <c r="J249">
        <f>IF(I249="","",IF(I249&gt;=MAXIFS($I$2:$I$5001,$B$2:$B$5001,B249,$A$2:$A$5001,"&lt;="&amp;A249),"PR",""))</f>
        <v/>
      </c>
    </row>
    <row r="250">
      <c r="A250" s="7" t="n"/>
      <c r="H250" s="11">
        <f>IF(OR(D250="",E250=""),"",D250*E250)</f>
        <v/>
      </c>
      <c r="I250" s="8">
        <f>IF(OR(D250="",E250=""),"",E250*(1+D250/30))</f>
        <v/>
      </c>
      <c r="J250">
        <f>IF(I250="","",IF(I250&gt;=MAXIFS($I$2:$I$5001,$B$2:$B$5001,B250,$A$2:$A$5001,"&lt;="&amp;A250),"PR",""))</f>
        <v/>
      </c>
    </row>
    <row r="251">
      <c r="A251" s="7" t="n"/>
      <c r="H251" s="11">
        <f>IF(OR(D251="",E251=""),"",D251*E251)</f>
        <v/>
      </c>
      <c r="I251" s="8">
        <f>IF(OR(D251="",E251=""),"",E251*(1+D251/30))</f>
        <v/>
      </c>
      <c r="J251">
        <f>IF(I251="","",IF(I251&gt;=MAXIFS($I$2:$I$5001,$B$2:$B$5001,B251,$A$2:$A$5001,"&lt;="&amp;A251),"PR",""))</f>
        <v/>
      </c>
    </row>
    <row r="252">
      <c r="A252" s="7" t="n"/>
      <c r="H252" s="11">
        <f>IF(OR(D252="",E252=""),"",D252*E252)</f>
        <v/>
      </c>
      <c r="I252" s="8">
        <f>IF(OR(D252="",E252=""),"",E252*(1+D252/30))</f>
        <v/>
      </c>
      <c r="J252">
        <f>IF(I252="","",IF(I252&gt;=MAXIFS($I$2:$I$5001,$B$2:$B$5001,B252,$A$2:$A$5001,"&lt;="&amp;A252),"PR",""))</f>
        <v/>
      </c>
    </row>
    <row r="253">
      <c r="A253" s="7" t="n"/>
      <c r="H253" s="11">
        <f>IF(OR(D253="",E253=""),"",D253*E253)</f>
        <v/>
      </c>
      <c r="I253" s="8">
        <f>IF(OR(D253="",E253=""),"",E253*(1+D253/30))</f>
        <v/>
      </c>
      <c r="J253">
        <f>IF(I253="","",IF(I253&gt;=MAXIFS($I$2:$I$5001,$B$2:$B$5001,B253,$A$2:$A$5001,"&lt;="&amp;A253),"PR",""))</f>
        <v/>
      </c>
    </row>
    <row r="254">
      <c r="A254" s="7" t="n"/>
      <c r="H254" s="11">
        <f>IF(OR(D254="",E254=""),"",D254*E254)</f>
        <v/>
      </c>
      <c r="I254" s="8">
        <f>IF(OR(D254="",E254=""),"",E254*(1+D254/30))</f>
        <v/>
      </c>
      <c r="J254">
        <f>IF(I254="","",IF(I254&gt;=MAXIFS($I$2:$I$5001,$B$2:$B$5001,B254,$A$2:$A$5001,"&lt;="&amp;A254),"PR",""))</f>
        <v/>
      </c>
    </row>
    <row r="255">
      <c r="A255" s="7" t="n"/>
      <c r="H255" s="11">
        <f>IF(OR(D255="",E255=""),"",D255*E255)</f>
        <v/>
      </c>
      <c r="I255" s="8">
        <f>IF(OR(D255="",E255=""),"",E255*(1+D255/30))</f>
        <v/>
      </c>
      <c r="J255">
        <f>IF(I255="","",IF(I255&gt;=MAXIFS($I$2:$I$5001,$B$2:$B$5001,B255,$A$2:$A$5001,"&lt;="&amp;A255),"PR",""))</f>
        <v/>
      </c>
    </row>
    <row r="256">
      <c r="A256" s="7" t="n"/>
      <c r="H256" s="11">
        <f>IF(OR(D256="",E256=""),"",D256*E256)</f>
        <v/>
      </c>
      <c r="I256" s="8">
        <f>IF(OR(D256="",E256=""),"",E256*(1+D256/30))</f>
        <v/>
      </c>
      <c r="J256">
        <f>IF(I256="","",IF(I256&gt;=MAXIFS($I$2:$I$5001,$B$2:$B$5001,B256,$A$2:$A$5001,"&lt;="&amp;A256),"PR",""))</f>
        <v/>
      </c>
    </row>
    <row r="257">
      <c r="A257" s="7" t="n"/>
      <c r="H257" s="11">
        <f>IF(OR(D257="",E257=""),"",D257*E257)</f>
        <v/>
      </c>
      <c r="I257" s="8">
        <f>IF(OR(D257="",E257=""),"",E257*(1+D257/30))</f>
        <v/>
      </c>
      <c r="J257">
        <f>IF(I257="","",IF(I257&gt;=MAXIFS($I$2:$I$5001,$B$2:$B$5001,B257,$A$2:$A$5001,"&lt;="&amp;A257),"PR",""))</f>
        <v/>
      </c>
    </row>
    <row r="258">
      <c r="A258" s="7" t="n"/>
      <c r="H258" s="11">
        <f>IF(OR(D258="",E258=""),"",D258*E258)</f>
        <v/>
      </c>
      <c r="I258" s="8">
        <f>IF(OR(D258="",E258=""),"",E258*(1+D258/30))</f>
        <v/>
      </c>
      <c r="J258">
        <f>IF(I258="","",IF(I258&gt;=MAXIFS($I$2:$I$5001,$B$2:$B$5001,B258,$A$2:$A$5001,"&lt;="&amp;A258),"PR",""))</f>
        <v/>
      </c>
    </row>
    <row r="259">
      <c r="A259" s="7" t="n"/>
      <c r="H259" s="11">
        <f>IF(OR(D259="",E259=""),"",D259*E259)</f>
        <v/>
      </c>
      <c r="I259" s="8">
        <f>IF(OR(D259="",E259=""),"",E259*(1+D259/30))</f>
        <v/>
      </c>
      <c r="J259">
        <f>IF(I259="","",IF(I259&gt;=MAXIFS($I$2:$I$5001,$B$2:$B$5001,B259,$A$2:$A$5001,"&lt;="&amp;A259),"PR",""))</f>
        <v/>
      </c>
    </row>
    <row r="260">
      <c r="A260" s="7" t="n"/>
      <c r="H260" s="11">
        <f>IF(OR(D260="",E260=""),"",D260*E260)</f>
        <v/>
      </c>
      <c r="I260" s="8">
        <f>IF(OR(D260="",E260=""),"",E260*(1+D260/30))</f>
        <v/>
      </c>
      <c r="J260">
        <f>IF(I260="","",IF(I260&gt;=MAXIFS($I$2:$I$5001,$B$2:$B$5001,B260,$A$2:$A$5001,"&lt;="&amp;A260),"PR",""))</f>
        <v/>
      </c>
    </row>
    <row r="261">
      <c r="A261" s="7" t="n"/>
      <c r="H261" s="11">
        <f>IF(OR(D261="",E261=""),"",D261*E261)</f>
        <v/>
      </c>
      <c r="I261" s="8">
        <f>IF(OR(D261="",E261=""),"",E261*(1+D261/30))</f>
        <v/>
      </c>
      <c r="J261">
        <f>IF(I261="","",IF(I261&gt;=MAXIFS($I$2:$I$5001,$B$2:$B$5001,B261,$A$2:$A$5001,"&lt;="&amp;A261),"PR",""))</f>
        <v/>
      </c>
    </row>
    <row r="262">
      <c r="A262" s="7" t="n"/>
      <c r="H262" s="11">
        <f>IF(OR(D262="",E262=""),"",D262*E262)</f>
        <v/>
      </c>
      <c r="I262" s="8">
        <f>IF(OR(D262="",E262=""),"",E262*(1+D262/30))</f>
        <v/>
      </c>
      <c r="J262">
        <f>IF(I262="","",IF(I262&gt;=MAXIFS($I$2:$I$5001,$B$2:$B$5001,B262,$A$2:$A$5001,"&lt;="&amp;A262),"PR",""))</f>
        <v/>
      </c>
    </row>
    <row r="263">
      <c r="A263" s="7" t="n"/>
      <c r="H263" s="11">
        <f>IF(OR(D263="",E263=""),"",D263*E263)</f>
        <v/>
      </c>
      <c r="I263" s="8">
        <f>IF(OR(D263="",E263=""),"",E263*(1+D263/30))</f>
        <v/>
      </c>
      <c r="J263">
        <f>IF(I263="","",IF(I263&gt;=MAXIFS($I$2:$I$5001,$B$2:$B$5001,B263,$A$2:$A$5001,"&lt;="&amp;A263),"PR",""))</f>
        <v/>
      </c>
    </row>
    <row r="264">
      <c r="A264" s="7" t="n"/>
      <c r="H264" s="11">
        <f>IF(OR(D264="",E264=""),"",D264*E264)</f>
        <v/>
      </c>
      <c r="I264" s="8">
        <f>IF(OR(D264="",E264=""),"",E264*(1+D264/30))</f>
        <v/>
      </c>
      <c r="J264">
        <f>IF(I264="","",IF(I264&gt;=MAXIFS($I$2:$I$5001,$B$2:$B$5001,B264,$A$2:$A$5001,"&lt;="&amp;A264),"PR",""))</f>
        <v/>
      </c>
    </row>
    <row r="265">
      <c r="A265" s="7" t="n"/>
      <c r="H265" s="11">
        <f>IF(OR(D265="",E265=""),"",D265*E265)</f>
        <v/>
      </c>
      <c r="I265" s="8">
        <f>IF(OR(D265="",E265=""),"",E265*(1+D265/30))</f>
        <v/>
      </c>
      <c r="J265">
        <f>IF(I265="","",IF(I265&gt;=MAXIFS($I$2:$I$5001,$B$2:$B$5001,B265,$A$2:$A$5001,"&lt;="&amp;A265),"PR",""))</f>
        <v/>
      </c>
    </row>
    <row r="266">
      <c r="A266" s="7" t="n"/>
      <c r="H266" s="11">
        <f>IF(OR(D266="",E266=""),"",D266*E266)</f>
        <v/>
      </c>
      <c r="I266" s="8">
        <f>IF(OR(D266="",E266=""),"",E266*(1+D266/30))</f>
        <v/>
      </c>
      <c r="J266">
        <f>IF(I266="","",IF(I266&gt;=MAXIFS($I$2:$I$5001,$B$2:$B$5001,B266,$A$2:$A$5001,"&lt;="&amp;A266),"PR",""))</f>
        <v/>
      </c>
    </row>
    <row r="267">
      <c r="A267" s="7" t="n"/>
      <c r="H267" s="11">
        <f>IF(OR(D267="",E267=""),"",D267*E267)</f>
        <v/>
      </c>
      <c r="I267" s="8">
        <f>IF(OR(D267="",E267=""),"",E267*(1+D267/30))</f>
        <v/>
      </c>
      <c r="J267">
        <f>IF(I267="","",IF(I267&gt;=MAXIFS($I$2:$I$5001,$B$2:$B$5001,B267,$A$2:$A$5001,"&lt;="&amp;A267),"PR",""))</f>
        <v/>
      </c>
    </row>
    <row r="268">
      <c r="A268" s="7" t="n"/>
      <c r="H268" s="11">
        <f>IF(OR(D268="",E268=""),"",D268*E268)</f>
        <v/>
      </c>
      <c r="I268" s="8">
        <f>IF(OR(D268="",E268=""),"",E268*(1+D268/30))</f>
        <v/>
      </c>
      <c r="J268">
        <f>IF(I268="","",IF(I268&gt;=MAXIFS($I$2:$I$5001,$B$2:$B$5001,B268,$A$2:$A$5001,"&lt;="&amp;A268),"PR",""))</f>
        <v/>
      </c>
    </row>
    <row r="269">
      <c r="A269" s="7" t="n"/>
      <c r="H269" s="11">
        <f>IF(OR(D269="",E269=""),"",D269*E269)</f>
        <v/>
      </c>
      <c r="I269" s="8">
        <f>IF(OR(D269="",E269=""),"",E269*(1+D269/30))</f>
        <v/>
      </c>
      <c r="J269">
        <f>IF(I269="","",IF(I269&gt;=MAXIFS($I$2:$I$5001,$B$2:$B$5001,B269,$A$2:$A$5001,"&lt;="&amp;A269),"PR",""))</f>
        <v/>
      </c>
    </row>
    <row r="270">
      <c r="A270" s="7" t="n"/>
      <c r="H270" s="11">
        <f>IF(OR(D270="",E270=""),"",D270*E270)</f>
        <v/>
      </c>
      <c r="I270" s="8">
        <f>IF(OR(D270="",E270=""),"",E270*(1+D270/30))</f>
        <v/>
      </c>
      <c r="J270">
        <f>IF(I270="","",IF(I270&gt;=MAXIFS($I$2:$I$5001,$B$2:$B$5001,B270,$A$2:$A$5001,"&lt;="&amp;A270),"PR",""))</f>
        <v/>
      </c>
    </row>
    <row r="271">
      <c r="A271" s="7" t="n"/>
      <c r="H271" s="11">
        <f>IF(OR(D271="",E271=""),"",D271*E271)</f>
        <v/>
      </c>
      <c r="I271" s="8">
        <f>IF(OR(D271="",E271=""),"",E271*(1+D271/30))</f>
        <v/>
      </c>
      <c r="J271">
        <f>IF(I271="","",IF(I271&gt;=MAXIFS($I$2:$I$5001,$B$2:$B$5001,B271,$A$2:$A$5001,"&lt;="&amp;A271),"PR",""))</f>
        <v/>
      </c>
    </row>
    <row r="272">
      <c r="A272" s="7" t="n"/>
      <c r="H272" s="11">
        <f>IF(OR(D272="",E272=""),"",D272*E272)</f>
        <v/>
      </c>
      <c r="I272" s="8">
        <f>IF(OR(D272="",E272=""),"",E272*(1+D272/30))</f>
        <v/>
      </c>
      <c r="J272">
        <f>IF(I272="","",IF(I272&gt;=MAXIFS($I$2:$I$5001,$B$2:$B$5001,B272,$A$2:$A$5001,"&lt;="&amp;A272),"PR",""))</f>
        <v/>
      </c>
    </row>
    <row r="273">
      <c r="A273" s="7" t="n"/>
      <c r="H273" s="11">
        <f>IF(OR(D273="",E273=""),"",D273*E273)</f>
        <v/>
      </c>
      <c r="I273" s="8">
        <f>IF(OR(D273="",E273=""),"",E273*(1+D273/30))</f>
        <v/>
      </c>
      <c r="J273">
        <f>IF(I273="","",IF(I273&gt;=MAXIFS($I$2:$I$5001,$B$2:$B$5001,B273,$A$2:$A$5001,"&lt;="&amp;A273),"PR",""))</f>
        <v/>
      </c>
    </row>
    <row r="274">
      <c r="A274" s="7" t="n"/>
      <c r="H274" s="11">
        <f>IF(OR(D274="",E274=""),"",D274*E274)</f>
        <v/>
      </c>
      <c r="I274" s="8">
        <f>IF(OR(D274="",E274=""),"",E274*(1+D274/30))</f>
        <v/>
      </c>
      <c r="J274">
        <f>IF(I274="","",IF(I274&gt;=MAXIFS($I$2:$I$5001,$B$2:$B$5001,B274,$A$2:$A$5001,"&lt;="&amp;A274),"PR",""))</f>
        <v/>
      </c>
    </row>
    <row r="275">
      <c r="A275" s="7" t="n"/>
      <c r="H275" s="11">
        <f>IF(OR(D275="",E275=""),"",D275*E275)</f>
        <v/>
      </c>
      <c r="I275" s="8">
        <f>IF(OR(D275="",E275=""),"",E275*(1+D275/30))</f>
        <v/>
      </c>
      <c r="J275">
        <f>IF(I275="","",IF(I275&gt;=MAXIFS($I$2:$I$5001,$B$2:$B$5001,B275,$A$2:$A$5001,"&lt;="&amp;A275),"PR",""))</f>
        <v/>
      </c>
    </row>
    <row r="276">
      <c r="A276" s="7" t="n"/>
      <c r="H276" s="11">
        <f>IF(OR(D276="",E276=""),"",D276*E276)</f>
        <v/>
      </c>
      <c r="I276" s="8">
        <f>IF(OR(D276="",E276=""),"",E276*(1+D276/30))</f>
        <v/>
      </c>
      <c r="J276">
        <f>IF(I276="","",IF(I276&gt;=MAXIFS($I$2:$I$5001,$B$2:$B$5001,B276,$A$2:$A$5001,"&lt;="&amp;A276),"PR",""))</f>
        <v/>
      </c>
    </row>
    <row r="277">
      <c r="A277" s="7" t="n"/>
      <c r="H277" s="11">
        <f>IF(OR(D277="",E277=""),"",D277*E277)</f>
        <v/>
      </c>
      <c r="I277" s="8">
        <f>IF(OR(D277="",E277=""),"",E277*(1+D277/30))</f>
        <v/>
      </c>
      <c r="J277">
        <f>IF(I277="","",IF(I277&gt;=MAXIFS($I$2:$I$5001,$B$2:$B$5001,B277,$A$2:$A$5001,"&lt;="&amp;A277),"PR",""))</f>
        <v/>
      </c>
    </row>
    <row r="278">
      <c r="A278" s="7" t="n"/>
      <c r="H278" s="11">
        <f>IF(OR(D278="",E278=""),"",D278*E278)</f>
        <v/>
      </c>
      <c r="I278" s="8">
        <f>IF(OR(D278="",E278=""),"",E278*(1+D278/30))</f>
        <v/>
      </c>
      <c r="J278">
        <f>IF(I278="","",IF(I278&gt;=MAXIFS($I$2:$I$5001,$B$2:$B$5001,B278,$A$2:$A$5001,"&lt;="&amp;A278),"PR",""))</f>
        <v/>
      </c>
    </row>
    <row r="279">
      <c r="A279" s="7" t="n"/>
      <c r="H279" s="11">
        <f>IF(OR(D279="",E279=""),"",D279*E279)</f>
        <v/>
      </c>
      <c r="I279" s="8">
        <f>IF(OR(D279="",E279=""),"",E279*(1+D279/30))</f>
        <v/>
      </c>
      <c r="J279">
        <f>IF(I279="","",IF(I279&gt;=MAXIFS($I$2:$I$5001,$B$2:$B$5001,B279,$A$2:$A$5001,"&lt;="&amp;A279),"PR",""))</f>
        <v/>
      </c>
    </row>
    <row r="280">
      <c r="A280" s="7" t="n"/>
      <c r="H280" s="11">
        <f>IF(OR(D280="",E280=""),"",D280*E280)</f>
        <v/>
      </c>
      <c r="I280" s="8">
        <f>IF(OR(D280="",E280=""),"",E280*(1+D280/30))</f>
        <v/>
      </c>
      <c r="J280">
        <f>IF(I280="","",IF(I280&gt;=MAXIFS($I$2:$I$5001,$B$2:$B$5001,B280,$A$2:$A$5001,"&lt;="&amp;A280),"PR",""))</f>
        <v/>
      </c>
    </row>
    <row r="281">
      <c r="A281" s="7" t="n"/>
      <c r="H281" s="11">
        <f>IF(OR(D281="",E281=""),"",D281*E281)</f>
        <v/>
      </c>
      <c r="I281" s="8">
        <f>IF(OR(D281="",E281=""),"",E281*(1+D281/30))</f>
        <v/>
      </c>
      <c r="J281">
        <f>IF(I281="","",IF(I281&gt;=MAXIFS($I$2:$I$5001,$B$2:$B$5001,B281,$A$2:$A$5001,"&lt;="&amp;A281),"PR",""))</f>
        <v/>
      </c>
    </row>
    <row r="282">
      <c r="A282" s="7" t="n"/>
      <c r="H282" s="11">
        <f>IF(OR(D282="",E282=""),"",D282*E282)</f>
        <v/>
      </c>
      <c r="I282" s="8">
        <f>IF(OR(D282="",E282=""),"",E282*(1+D282/30))</f>
        <v/>
      </c>
      <c r="J282">
        <f>IF(I282="","",IF(I282&gt;=MAXIFS($I$2:$I$5001,$B$2:$B$5001,B282,$A$2:$A$5001,"&lt;="&amp;A282),"PR",""))</f>
        <v/>
      </c>
    </row>
    <row r="283">
      <c r="A283" s="7" t="n"/>
      <c r="H283" s="11">
        <f>IF(OR(D283="",E283=""),"",D283*E283)</f>
        <v/>
      </c>
      <c r="I283" s="8">
        <f>IF(OR(D283="",E283=""),"",E283*(1+D283/30))</f>
        <v/>
      </c>
      <c r="J283">
        <f>IF(I283="","",IF(I283&gt;=MAXIFS($I$2:$I$5001,$B$2:$B$5001,B283,$A$2:$A$5001,"&lt;="&amp;A283),"PR",""))</f>
        <v/>
      </c>
    </row>
    <row r="284">
      <c r="A284" s="7" t="n"/>
      <c r="H284" s="11">
        <f>IF(OR(D284="",E284=""),"",D284*E284)</f>
        <v/>
      </c>
      <c r="I284" s="8">
        <f>IF(OR(D284="",E284=""),"",E284*(1+D284/30))</f>
        <v/>
      </c>
      <c r="J284">
        <f>IF(I284="","",IF(I284&gt;=MAXIFS($I$2:$I$5001,$B$2:$B$5001,B284,$A$2:$A$5001,"&lt;="&amp;A284),"PR",""))</f>
        <v/>
      </c>
    </row>
    <row r="285">
      <c r="A285" s="7" t="n"/>
      <c r="H285" s="11">
        <f>IF(OR(D285="",E285=""),"",D285*E285)</f>
        <v/>
      </c>
      <c r="I285" s="8">
        <f>IF(OR(D285="",E285=""),"",E285*(1+D285/30))</f>
        <v/>
      </c>
      <c r="J285">
        <f>IF(I285="","",IF(I285&gt;=MAXIFS($I$2:$I$5001,$B$2:$B$5001,B285,$A$2:$A$5001,"&lt;="&amp;A285),"PR",""))</f>
        <v/>
      </c>
    </row>
    <row r="286">
      <c r="A286" s="7" t="n"/>
      <c r="H286" s="11">
        <f>IF(OR(D286="",E286=""),"",D286*E286)</f>
        <v/>
      </c>
      <c r="I286" s="8">
        <f>IF(OR(D286="",E286=""),"",E286*(1+D286/30))</f>
        <v/>
      </c>
      <c r="J286">
        <f>IF(I286="","",IF(I286&gt;=MAXIFS($I$2:$I$5001,$B$2:$B$5001,B286,$A$2:$A$5001,"&lt;="&amp;A286),"PR",""))</f>
        <v/>
      </c>
    </row>
    <row r="287">
      <c r="A287" s="7" t="n"/>
      <c r="H287" s="11">
        <f>IF(OR(D287="",E287=""),"",D287*E287)</f>
        <v/>
      </c>
      <c r="I287" s="8">
        <f>IF(OR(D287="",E287=""),"",E287*(1+D287/30))</f>
        <v/>
      </c>
      <c r="J287">
        <f>IF(I287="","",IF(I287&gt;=MAXIFS($I$2:$I$5001,$B$2:$B$5001,B287,$A$2:$A$5001,"&lt;="&amp;A287),"PR",""))</f>
        <v/>
      </c>
    </row>
    <row r="288">
      <c r="A288" s="7" t="n"/>
      <c r="H288" s="11">
        <f>IF(OR(D288="",E288=""),"",D288*E288)</f>
        <v/>
      </c>
      <c r="I288" s="8">
        <f>IF(OR(D288="",E288=""),"",E288*(1+D288/30))</f>
        <v/>
      </c>
      <c r="J288">
        <f>IF(I288="","",IF(I288&gt;=MAXIFS($I$2:$I$5001,$B$2:$B$5001,B288,$A$2:$A$5001,"&lt;="&amp;A288),"PR",""))</f>
        <v/>
      </c>
    </row>
    <row r="289">
      <c r="A289" s="7" t="n"/>
      <c r="H289" s="11">
        <f>IF(OR(D289="",E289=""),"",D289*E289)</f>
        <v/>
      </c>
      <c r="I289" s="8">
        <f>IF(OR(D289="",E289=""),"",E289*(1+D289/30))</f>
        <v/>
      </c>
      <c r="J289">
        <f>IF(I289="","",IF(I289&gt;=MAXIFS($I$2:$I$5001,$B$2:$B$5001,B289,$A$2:$A$5001,"&lt;="&amp;A289),"PR",""))</f>
        <v/>
      </c>
    </row>
    <row r="290">
      <c r="A290" s="7" t="n"/>
      <c r="H290" s="11">
        <f>IF(OR(D290="",E290=""),"",D290*E290)</f>
        <v/>
      </c>
      <c r="I290" s="8">
        <f>IF(OR(D290="",E290=""),"",E290*(1+D290/30))</f>
        <v/>
      </c>
      <c r="J290">
        <f>IF(I290="","",IF(I290&gt;=MAXIFS($I$2:$I$5001,$B$2:$B$5001,B290,$A$2:$A$5001,"&lt;="&amp;A290),"PR",""))</f>
        <v/>
      </c>
    </row>
    <row r="291">
      <c r="A291" s="7" t="n"/>
      <c r="H291" s="11">
        <f>IF(OR(D291="",E291=""),"",D291*E291)</f>
        <v/>
      </c>
      <c r="I291" s="8">
        <f>IF(OR(D291="",E291=""),"",E291*(1+D291/30))</f>
        <v/>
      </c>
      <c r="J291">
        <f>IF(I291="","",IF(I291&gt;=MAXIFS($I$2:$I$5001,$B$2:$B$5001,B291,$A$2:$A$5001,"&lt;="&amp;A291),"PR",""))</f>
        <v/>
      </c>
    </row>
    <row r="292">
      <c r="A292" s="7" t="n"/>
      <c r="H292" s="11">
        <f>IF(OR(D292="",E292=""),"",D292*E292)</f>
        <v/>
      </c>
      <c r="I292" s="8">
        <f>IF(OR(D292="",E292=""),"",E292*(1+D292/30))</f>
        <v/>
      </c>
      <c r="J292">
        <f>IF(I292="","",IF(I292&gt;=MAXIFS($I$2:$I$5001,$B$2:$B$5001,B292,$A$2:$A$5001,"&lt;="&amp;A292),"PR",""))</f>
        <v/>
      </c>
    </row>
    <row r="293">
      <c r="A293" s="7" t="n"/>
      <c r="H293" s="11">
        <f>IF(OR(D293="",E293=""),"",D293*E293)</f>
        <v/>
      </c>
      <c r="I293" s="8">
        <f>IF(OR(D293="",E293=""),"",E293*(1+D293/30))</f>
        <v/>
      </c>
      <c r="J293">
        <f>IF(I293="","",IF(I293&gt;=MAXIFS($I$2:$I$5001,$B$2:$B$5001,B293,$A$2:$A$5001,"&lt;="&amp;A293),"PR",""))</f>
        <v/>
      </c>
    </row>
    <row r="294">
      <c r="A294" s="7" t="n"/>
      <c r="H294" s="11">
        <f>IF(OR(D294="",E294=""),"",D294*E294)</f>
        <v/>
      </c>
      <c r="I294" s="8">
        <f>IF(OR(D294="",E294=""),"",E294*(1+D294/30))</f>
        <v/>
      </c>
      <c r="J294">
        <f>IF(I294="","",IF(I294&gt;=MAXIFS($I$2:$I$5001,$B$2:$B$5001,B294,$A$2:$A$5001,"&lt;="&amp;A294),"PR",""))</f>
        <v/>
      </c>
    </row>
    <row r="295">
      <c r="A295" s="7" t="n"/>
      <c r="H295" s="11">
        <f>IF(OR(D295="",E295=""),"",D295*E295)</f>
        <v/>
      </c>
      <c r="I295" s="8">
        <f>IF(OR(D295="",E295=""),"",E295*(1+D295/30))</f>
        <v/>
      </c>
      <c r="J295">
        <f>IF(I295="","",IF(I295&gt;=MAXIFS($I$2:$I$5001,$B$2:$B$5001,B295,$A$2:$A$5001,"&lt;="&amp;A295),"PR",""))</f>
        <v/>
      </c>
    </row>
    <row r="296">
      <c r="A296" s="7" t="n"/>
      <c r="H296" s="11">
        <f>IF(OR(D296="",E296=""),"",D296*E296)</f>
        <v/>
      </c>
      <c r="I296" s="8">
        <f>IF(OR(D296="",E296=""),"",E296*(1+D296/30))</f>
        <v/>
      </c>
      <c r="J296">
        <f>IF(I296="","",IF(I296&gt;=MAXIFS($I$2:$I$5001,$B$2:$B$5001,B296,$A$2:$A$5001,"&lt;="&amp;A296),"PR",""))</f>
        <v/>
      </c>
    </row>
    <row r="297">
      <c r="A297" s="7" t="n"/>
      <c r="H297" s="11">
        <f>IF(OR(D297="",E297=""),"",D297*E297)</f>
        <v/>
      </c>
      <c r="I297" s="8">
        <f>IF(OR(D297="",E297=""),"",E297*(1+D297/30))</f>
        <v/>
      </c>
      <c r="J297">
        <f>IF(I297="","",IF(I297&gt;=MAXIFS($I$2:$I$5001,$B$2:$B$5001,B297,$A$2:$A$5001,"&lt;="&amp;A297),"PR",""))</f>
        <v/>
      </c>
    </row>
    <row r="298">
      <c r="A298" s="7" t="n"/>
      <c r="H298" s="11">
        <f>IF(OR(D298="",E298=""),"",D298*E298)</f>
        <v/>
      </c>
      <c r="I298" s="8">
        <f>IF(OR(D298="",E298=""),"",E298*(1+D298/30))</f>
        <v/>
      </c>
      <c r="J298">
        <f>IF(I298="","",IF(I298&gt;=MAXIFS($I$2:$I$5001,$B$2:$B$5001,B298,$A$2:$A$5001,"&lt;="&amp;A298),"PR",""))</f>
        <v/>
      </c>
    </row>
    <row r="299">
      <c r="A299" s="7" t="n"/>
      <c r="H299" s="11">
        <f>IF(OR(D299="",E299=""),"",D299*E299)</f>
        <v/>
      </c>
      <c r="I299" s="8">
        <f>IF(OR(D299="",E299=""),"",E299*(1+D299/30))</f>
        <v/>
      </c>
      <c r="J299">
        <f>IF(I299="","",IF(I299&gt;=MAXIFS($I$2:$I$5001,$B$2:$B$5001,B299,$A$2:$A$5001,"&lt;="&amp;A299),"PR",""))</f>
        <v/>
      </c>
    </row>
    <row r="300">
      <c r="A300" s="7" t="n"/>
      <c r="H300" s="11">
        <f>IF(OR(D300="",E300=""),"",D300*E300)</f>
        <v/>
      </c>
      <c r="I300" s="8">
        <f>IF(OR(D300="",E300=""),"",E300*(1+D300/30))</f>
        <v/>
      </c>
      <c r="J300">
        <f>IF(I300="","",IF(I300&gt;=MAXIFS($I$2:$I$5001,$B$2:$B$5001,B300,$A$2:$A$5001,"&lt;="&amp;A300),"PR",""))</f>
        <v/>
      </c>
    </row>
    <row r="301">
      <c r="A301" s="7" t="n"/>
      <c r="H301" s="11">
        <f>IF(OR(D301="",E301=""),"",D301*E301)</f>
        <v/>
      </c>
      <c r="I301" s="8">
        <f>IF(OR(D301="",E301=""),"",E301*(1+D301/30))</f>
        <v/>
      </c>
      <c r="J301">
        <f>IF(I301="","",IF(I301&gt;=MAXIFS($I$2:$I$5001,$B$2:$B$5001,B301,$A$2:$A$5001,"&lt;="&amp;A301),"PR",""))</f>
        <v/>
      </c>
    </row>
    <row r="302">
      <c r="A302" s="7" t="n"/>
      <c r="H302" s="11">
        <f>IF(OR(D302="",E302=""),"",D302*E302)</f>
        <v/>
      </c>
      <c r="I302" s="8">
        <f>IF(OR(D302="",E302=""),"",E302*(1+D302/30))</f>
        <v/>
      </c>
      <c r="J302">
        <f>IF(I302="","",IF(I302&gt;=MAXIFS($I$2:$I$5001,$B$2:$B$5001,B302,$A$2:$A$5001,"&lt;="&amp;A302),"PR",""))</f>
        <v/>
      </c>
    </row>
    <row r="303">
      <c r="A303" s="7" t="n"/>
      <c r="H303" s="11">
        <f>IF(OR(D303="",E303=""),"",D303*E303)</f>
        <v/>
      </c>
      <c r="I303" s="8">
        <f>IF(OR(D303="",E303=""),"",E303*(1+D303/30))</f>
        <v/>
      </c>
      <c r="J303">
        <f>IF(I303="","",IF(I303&gt;=MAXIFS($I$2:$I$5001,$B$2:$B$5001,B303,$A$2:$A$5001,"&lt;="&amp;A303),"PR",""))</f>
        <v/>
      </c>
    </row>
    <row r="304">
      <c r="A304" s="7" t="n"/>
      <c r="H304" s="11">
        <f>IF(OR(D304="",E304=""),"",D304*E304)</f>
        <v/>
      </c>
      <c r="I304" s="8">
        <f>IF(OR(D304="",E304=""),"",E304*(1+D304/30))</f>
        <v/>
      </c>
      <c r="J304">
        <f>IF(I304="","",IF(I304&gt;=MAXIFS($I$2:$I$5001,$B$2:$B$5001,B304,$A$2:$A$5001,"&lt;="&amp;A304),"PR",""))</f>
        <v/>
      </c>
    </row>
    <row r="305">
      <c r="A305" s="7" t="n"/>
      <c r="H305" s="11">
        <f>IF(OR(D305="",E305=""),"",D305*E305)</f>
        <v/>
      </c>
      <c r="I305" s="8">
        <f>IF(OR(D305="",E305=""),"",E305*(1+D305/30))</f>
        <v/>
      </c>
      <c r="J305">
        <f>IF(I305="","",IF(I305&gt;=MAXIFS($I$2:$I$5001,$B$2:$B$5001,B305,$A$2:$A$5001,"&lt;="&amp;A305),"PR",""))</f>
        <v/>
      </c>
    </row>
    <row r="306">
      <c r="A306" s="7" t="n"/>
      <c r="H306" s="11">
        <f>IF(OR(D306="",E306=""),"",D306*E306)</f>
        <v/>
      </c>
      <c r="I306" s="8">
        <f>IF(OR(D306="",E306=""),"",E306*(1+D306/30))</f>
        <v/>
      </c>
      <c r="J306">
        <f>IF(I306="","",IF(I306&gt;=MAXIFS($I$2:$I$5001,$B$2:$B$5001,B306,$A$2:$A$5001,"&lt;="&amp;A306),"PR",""))</f>
        <v/>
      </c>
    </row>
    <row r="307">
      <c r="A307" s="7" t="n"/>
      <c r="H307" s="11">
        <f>IF(OR(D307="",E307=""),"",D307*E307)</f>
        <v/>
      </c>
      <c r="I307" s="8">
        <f>IF(OR(D307="",E307=""),"",E307*(1+D307/30))</f>
        <v/>
      </c>
      <c r="J307">
        <f>IF(I307="","",IF(I307&gt;=MAXIFS($I$2:$I$5001,$B$2:$B$5001,B307,$A$2:$A$5001,"&lt;="&amp;A307),"PR",""))</f>
        <v/>
      </c>
    </row>
    <row r="308">
      <c r="A308" s="7" t="n"/>
      <c r="H308" s="11">
        <f>IF(OR(D308="",E308=""),"",D308*E308)</f>
        <v/>
      </c>
      <c r="I308" s="8">
        <f>IF(OR(D308="",E308=""),"",E308*(1+D308/30))</f>
        <v/>
      </c>
      <c r="J308">
        <f>IF(I308="","",IF(I308&gt;=MAXIFS($I$2:$I$5001,$B$2:$B$5001,B308,$A$2:$A$5001,"&lt;="&amp;A308),"PR",""))</f>
        <v/>
      </c>
    </row>
    <row r="309">
      <c r="A309" s="7" t="n"/>
      <c r="H309" s="11">
        <f>IF(OR(D309="",E309=""),"",D309*E309)</f>
        <v/>
      </c>
      <c r="I309" s="8">
        <f>IF(OR(D309="",E309=""),"",E309*(1+D309/30))</f>
        <v/>
      </c>
      <c r="J309">
        <f>IF(I309="","",IF(I309&gt;=MAXIFS($I$2:$I$5001,$B$2:$B$5001,B309,$A$2:$A$5001,"&lt;="&amp;A309),"PR",""))</f>
        <v/>
      </c>
    </row>
    <row r="310">
      <c r="A310" s="7" t="n"/>
      <c r="H310" s="11">
        <f>IF(OR(D310="",E310=""),"",D310*E310)</f>
        <v/>
      </c>
      <c r="I310" s="8">
        <f>IF(OR(D310="",E310=""),"",E310*(1+D310/30))</f>
        <v/>
      </c>
      <c r="J310">
        <f>IF(I310="","",IF(I310&gt;=MAXIFS($I$2:$I$5001,$B$2:$B$5001,B310,$A$2:$A$5001,"&lt;="&amp;A310),"PR",""))</f>
        <v/>
      </c>
    </row>
    <row r="311">
      <c r="A311" s="7" t="n"/>
      <c r="H311" s="11">
        <f>IF(OR(D311="",E311=""),"",D311*E311)</f>
        <v/>
      </c>
      <c r="I311" s="8">
        <f>IF(OR(D311="",E311=""),"",E311*(1+D311/30))</f>
        <v/>
      </c>
      <c r="J311">
        <f>IF(I311="","",IF(I311&gt;=MAXIFS($I$2:$I$5001,$B$2:$B$5001,B311,$A$2:$A$5001,"&lt;="&amp;A311),"PR",""))</f>
        <v/>
      </c>
    </row>
    <row r="312">
      <c r="A312" s="7" t="n"/>
      <c r="H312" s="11">
        <f>IF(OR(D312="",E312=""),"",D312*E312)</f>
        <v/>
      </c>
      <c r="I312" s="8">
        <f>IF(OR(D312="",E312=""),"",E312*(1+D312/30))</f>
        <v/>
      </c>
      <c r="J312">
        <f>IF(I312="","",IF(I312&gt;=MAXIFS($I$2:$I$5001,$B$2:$B$5001,B312,$A$2:$A$5001,"&lt;="&amp;A312),"PR",""))</f>
        <v/>
      </c>
    </row>
    <row r="313">
      <c r="A313" s="7" t="n"/>
      <c r="H313" s="11">
        <f>IF(OR(D313="",E313=""),"",D313*E313)</f>
        <v/>
      </c>
      <c r="I313" s="8">
        <f>IF(OR(D313="",E313=""),"",E313*(1+D313/30))</f>
        <v/>
      </c>
      <c r="J313">
        <f>IF(I313="","",IF(I313&gt;=MAXIFS($I$2:$I$5001,$B$2:$B$5001,B313,$A$2:$A$5001,"&lt;="&amp;A313),"PR",""))</f>
        <v/>
      </c>
    </row>
    <row r="314">
      <c r="A314" s="7" t="n"/>
      <c r="H314" s="11">
        <f>IF(OR(D314="",E314=""),"",D314*E314)</f>
        <v/>
      </c>
      <c r="I314" s="8">
        <f>IF(OR(D314="",E314=""),"",E314*(1+D314/30))</f>
        <v/>
      </c>
      <c r="J314">
        <f>IF(I314="","",IF(I314&gt;=MAXIFS($I$2:$I$5001,$B$2:$B$5001,B314,$A$2:$A$5001,"&lt;="&amp;A314),"PR",""))</f>
        <v/>
      </c>
    </row>
    <row r="315">
      <c r="A315" s="7" t="n"/>
      <c r="H315" s="11">
        <f>IF(OR(D315="",E315=""),"",D315*E315)</f>
        <v/>
      </c>
      <c r="I315" s="8">
        <f>IF(OR(D315="",E315=""),"",E315*(1+D315/30))</f>
        <v/>
      </c>
      <c r="J315">
        <f>IF(I315="","",IF(I315&gt;=MAXIFS($I$2:$I$5001,$B$2:$B$5001,B315,$A$2:$A$5001,"&lt;="&amp;A315),"PR",""))</f>
        <v/>
      </c>
    </row>
    <row r="316">
      <c r="A316" s="7" t="n"/>
      <c r="H316" s="11">
        <f>IF(OR(D316="",E316=""),"",D316*E316)</f>
        <v/>
      </c>
      <c r="I316" s="8">
        <f>IF(OR(D316="",E316=""),"",E316*(1+D316/30))</f>
        <v/>
      </c>
      <c r="J316">
        <f>IF(I316="","",IF(I316&gt;=MAXIFS($I$2:$I$5001,$B$2:$B$5001,B316,$A$2:$A$5001,"&lt;="&amp;A316),"PR",""))</f>
        <v/>
      </c>
    </row>
    <row r="317">
      <c r="A317" s="7" t="n"/>
      <c r="H317" s="11">
        <f>IF(OR(D317="",E317=""),"",D317*E317)</f>
        <v/>
      </c>
      <c r="I317" s="8">
        <f>IF(OR(D317="",E317=""),"",E317*(1+D317/30))</f>
        <v/>
      </c>
      <c r="J317">
        <f>IF(I317="","",IF(I317&gt;=MAXIFS($I$2:$I$5001,$B$2:$B$5001,B317,$A$2:$A$5001,"&lt;="&amp;A317),"PR",""))</f>
        <v/>
      </c>
    </row>
    <row r="318">
      <c r="A318" s="7" t="n"/>
      <c r="H318" s="11">
        <f>IF(OR(D318="",E318=""),"",D318*E318)</f>
        <v/>
      </c>
      <c r="I318" s="8">
        <f>IF(OR(D318="",E318=""),"",E318*(1+D318/30))</f>
        <v/>
      </c>
      <c r="J318">
        <f>IF(I318="","",IF(I318&gt;=MAXIFS($I$2:$I$5001,$B$2:$B$5001,B318,$A$2:$A$5001,"&lt;="&amp;A318),"PR",""))</f>
        <v/>
      </c>
    </row>
    <row r="319">
      <c r="A319" s="7" t="n"/>
      <c r="H319" s="11">
        <f>IF(OR(D319="",E319=""),"",D319*E319)</f>
        <v/>
      </c>
      <c r="I319" s="8">
        <f>IF(OR(D319="",E319=""),"",E319*(1+D319/30))</f>
        <v/>
      </c>
      <c r="J319">
        <f>IF(I319="","",IF(I319&gt;=MAXIFS($I$2:$I$5001,$B$2:$B$5001,B319,$A$2:$A$5001,"&lt;="&amp;A319),"PR",""))</f>
        <v/>
      </c>
    </row>
    <row r="320">
      <c r="A320" s="7" t="n"/>
      <c r="H320" s="11">
        <f>IF(OR(D320="",E320=""),"",D320*E320)</f>
        <v/>
      </c>
      <c r="I320" s="8">
        <f>IF(OR(D320="",E320=""),"",E320*(1+D320/30))</f>
        <v/>
      </c>
      <c r="J320">
        <f>IF(I320="","",IF(I320&gt;=MAXIFS($I$2:$I$5001,$B$2:$B$5001,B320,$A$2:$A$5001,"&lt;="&amp;A320),"PR",""))</f>
        <v/>
      </c>
    </row>
    <row r="321">
      <c r="A321" s="7" t="n"/>
      <c r="H321" s="11">
        <f>IF(OR(D321="",E321=""),"",D321*E321)</f>
        <v/>
      </c>
      <c r="I321" s="8">
        <f>IF(OR(D321="",E321=""),"",E321*(1+D321/30))</f>
        <v/>
      </c>
      <c r="J321">
        <f>IF(I321="","",IF(I321&gt;=MAXIFS($I$2:$I$5001,$B$2:$B$5001,B321,$A$2:$A$5001,"&lt;="&amp;A321),"PR",""))</f>
        <v/>
      </c>
    </row>
    <row r="322">
      <c r="A322" s="7" t="n"/>
      <c r="H322" s="11">
        <f>IF(OR(D322="",E322=""),"",D322*E322)</f>
        <v/>
      </c>
      <c r="I322" s="8">
        <f>IF(OR(D322="",E322=""),"",E322*(1+D322/30))</f>
        <v/>
      </c>
      <c r="J322">
        <f>IF(I322="","",IF(I322&gt;=MAXIFS($I$2:$I$5001,$B$2:$B$5001,B322,$A$2:$A$5001,"&lt;="&amp;A322),"PR",""))</f>
        <v/>
      </c>
    </row>
    <row r="323">
      <c r="A323" s="7" t="n"/>
      <c r="H323" s="11">
        <f>IF(OR(D323="",E323=""),"",D323*E323)</f>
        <v/>
      </c>
      <c r="I323" s="8">
        <f>IF(OR(D323="",E323=""),"",E323*(1+D323/30))</f>
        <v/>
      </c>
      <c r="J323">
        <f>IF(I323="","",IF(I323&gt;=MAXIFS($I$2:$I$5001,$B$2:$B$5001,B323,$A$2:$A$5001,"&lt;="&amp;A323),"PR",""))</f>
        <v/>
      </c>
    </row>
    <row r="324">
      <c r="A324" s="7" t="n"/>
      <c r="H324" s="11">
        <f>IF(OR(D324="",E324=""),"",D324*E324)</f>
        <v/>
      </c>
      <c r="I324" s="8">
        <f>IF(OR(D324="",E324=""),"",E324*(1+D324/30))</f>
        <v/>
      </c>
      <c r="J324">
        <f>IF(I324="","",IF(I324&gt;=MAXIFS($I$2:$I$5001,$B$2:$B$5001,B324,$A$2:$A$5001,"&lt;="&amp;A324),"PR",""))</f>
        <v/>
      </c>
    </row>
    <row r="325">
      <c r="A325" s="7" t="n"/>
      <c r="H325" s="11">
        <f>IF(OR(D325="",E325=""),"",D325*E325)</f>
        <v/>
      </c>
      <c r="I325" s="8">
        <f>IF(OR(D325="",E325=""),"",E325*(1+D325/30))</f>
        <v/>
      </c>
      <c r="J325">
        <f>IF(I325="","",IF(I325&gt;=MAXIFS($I$2:$I$5001,$B$2:$B$5001,B325,$A$2:$A$5001,"&lt;="&amp;A325),"PR",""))</f>
        <v/>
      </c>
    </row>
    <row r="326">
      <c r="A326" s="7" t="n"/>
      <c r="H326" s="11">
        <f>IF(OR(D326="",E326=""),"",D326*E326)</f>
        <v/>
      </c>
      <c r="I326" s="8">
        <f>IF(OR(D326="",E326=""),"",E326*(1+D326/30))</f>
        <v/>
      </c>
      <c r="J326">
        <f>IF(I326="","",IF(I326&gt;=MAXIFS($I$2:$I$5001,$B$2:$B$5001,B326,$A$2:$A$5001,"&lt;="&amp;A326),"PR",""))</f>
        <v/>
      </c>
    </row>
    <row r="327">
      <c r="A327" s="7" t="n"/>
      <c r="H327" s="11">
        <f>IF(OR(D327="",E327=""),"",D327*E327)</f>
        <v/>
      </c>
      <c r="I327" s="8">
        <f>IF(OR(D327="",E327=""),"",E327*(1+D327/30))</f>
        <v/>
      </c>
      <c r="J327">
        <f>IF(I327="","",IF(I327&gt;=MAXIFS($I$2:$I$5001,$B$2:$B$5001,B327,$A$2:$A$5001,"&lt;="&amp;A327),"PR",""))</f>
        <v/>
      </c>
    </row>
    <row r="328">
      <c r="A328" s="7" t="n"/>
      <c r="H328" s="11">
        <f>IF(OR(D328="",E328=""),"",D328*E328)</f>
        <v/>
      </c>
      <c r="I328" s="8">
        <f>IF(OR(D328="",E328=""),"",E328*(1+D328/30))</f>
        <v/>
      </c>
      <c r="J328">
        <f>IF(I328="","",IF(I328&gt;=MAXIFS($I$2:$I$5001,$B$2:$B$5001,B328,$A$2:$A$5001,"&lt;="&amp;A328),"PR",""))</f>
        <v/>
      </c>
    </row>
    <row r="329">
      <c r="A329" s="7" t="n"/>
      <c r="H329" s="11">
        <f>IF(OR(D329="",E329=""),"",D329*E329)</f>
        <v/>
      </c>
      <c r="I329" s="8">
        <f>IF(OR(D329="",E329=""),"",E329*(1+D329/30))</f>
        <v/>
      </c>
      <c r="J329">
        <f>IF(I329="","",IF(I329&gt;=MAXIFS($I$2:$I$5001,$B$2:$B$5001,B329,$A$2:$A$5001,"&lt;="&amp;A329),"PR",""))</f>
        <v/>
      </c>
    </row>
    <row r="330">
      <c r="A330" s="7" t="n"/>
      <c r="H330" s="11">
        <f>IF(OR(D330="",E330=""),"",D330*E330)</f>
        <v/>
      </c>
      <c r="I330" s="8">
        <f>IF(OR(D330="",E330=""),"",E330*(1+D330/30))</f>
        <v/>
      </c>
      <c r="J330">
        <f>IF(I330="","",IF(I330&gt;=MAXIFS($I$2:$I$5001,$B$2:$B$5001,B330,$A$2:$A$5001,"&lt;="&amp;A330),"PR",""))</f>
        <v/>
      </c>
    </row>
    <row r="331">
      <c r="A331" s="7" t="n"/>
      <c r="H331" s="11">
        <f>IF(OR(D331="",E331=""),"",D331*E331)</f>
        <v/>
      </c>
      <c r="I331" s="8">
        <f>IF(OR(D331="",E331=""),"",E331*(1+D331/30))</f>
        <v/>
      </c>
      <c r="J331">
        <f>IF(I331="","",IF(I331&gt;=MAXIFS($I$2:$I$5001,$B$2:$B$5001,B331,$A$2:$A$5001,"&lt;="&amp;A331),"PR",""))</f>
        <v/>
      </c>
    </row>
    <row r="332">
      <c r="A332" s="7" t="n"/>
      <c r="H332" s="11">
        <f>IF(OR(D332="",E332=""),"",D332*E332)</f>
        <v/>
      </c>
      <c r="I332" s="8">
        <f>IF(OR(D332="",E332=""),"",E332*(1+D332/30))</f>
        <v/>
      </c>
      <c r="J332">
        <f>IF(I332="","",IF(I332&gt;=MAXIFS($I$2:$I$5001,$B$2:$B$5001,B332,$A$2:$A$5001,"&lt;="&amp;A332),"PR",""))</f>
        <v/>
      </c>
    </row>
    <row r="333">
      <c r="A333" s="7" t="n"/>
      <c r="H333" s="11">
        <f>IF(OR(D333="",E333=""),"",D333*E333)</f>
        <v/>
      </c>
      <c r="I333" s="8">
        <f>IF(OR(D333="",E333=""),"",E333*(1+D333/30))</f>
        <v/>
      </c>
      <c r="J333">
        <f>IF(I333="","",IF(I333&gt;=MAXIFS($I$2:$I$5001,$B$2:$B$5001,B333,$A$2:$A$5001,"&lt;="&amp;A333),"PR",""))</f>
        <v/>
      </c>
    </row>
    <row r="334">
      <c r="A334" s="7" t="n"/>
      <c r="H334" s="11">
        <f>IF(OR(D334="",E334=""),"",D334*E334)</f>
        <v/>
      </c>
      <c r="I334" s="8">
        <f>IF(OR(D334="",E334=""),"",E334*(1+D334/30))</f>
        <v/>
      </c>
      <c r="J334">
        <f>IF(I334="","",IF(I334&gt;=MAXIFS($I$2:$I$5001,$B$2:$B$5001,B334,$A$2:$A$5001,"&lt;="&amp;A334),"PR",""))</f>
        <v/>
      </c>
    </row>
    <row r="335">
      <c r="A335" s="7" t="n"/>
      <c r="H335" s="11">
        <f>IF(OR(D335="",E335=""),"",D335*E335)</f>
        <v/>
      </c>
      <c r="I335" s="8">
        <f>IF(OR(D335="",E335=""),"",E335*(1+D335/30))</f>
        <v/>
      </c>
      <c r="J335">
        <f>IF(I335="","",IF(I335&gt;=MAXIFS($I$2:$I$5001,$B$2:$B$5001,B335,$A$2:$A$5001,"&lt;="&amp;A335),"PR",""))</f>
        <v/>
      </c>
    </row>
    <row r="336">
      <c r="A336" s="7" t="n"/>
      <c r="H336" s="11">
        <f>IF(OR(D336="",E336=""),"",D336*E336)</f>
        <v/>
      </c>
      <c r="I336" s="8">
        <f>IF(OR(D336="",E336=""),"",E336*(1+D336/30))</f>
        <v/>
      </c>
      <c r="J336">
        <f>IF(I336="","",IF(I336&gt;=MAXIFS($I$2:$I$5001,$B$2:$B$5001,B336,$A$2:$A$5001,"&lt;="&amp;A336),"PR",""))</f>
        <v/>
      </c>
    </row>
    <row r="337">
      <c r="A337" s="7" t="n"/>
      <c r="H337" s="11">
        <f>IF(OR(D337="",E337=""),"",D337*E337)</f>
        <v/>
      </c>
      <c r="I337" s="8">
        <f>IF(OR(D337="",E337=""),"",E337*(1+D337/30))</f>
        <v/>
      </c>
      <c r="J337">
        <f>IF(I337="","",IF(I337&gt;=MAXIFS($I$2:$I$5001,$B$2:$B$5001,B337,$A$2:$A$5001,"&lt;="&amp;A337),"PR",""))</f>
        <v/>
      </c>
    </row>
    <row r="338">
      <c r="A338" s="7" t="n"/>
      <c r="H338" s="11">
        <f>IF(OR(D338="",E338=""),"",D338*E338)</f>
        <v/>
      </c>
      <c r="I338" s="8">
        <f>IF(OR(D338="",E338=""),"",E338*(1+D338/30))</f>
        <v/>
      </c>
      <c r="J338">
        <f>IF(I338="","",IF(I338&gt;=MAXIFS($I$2:$I$5001,$B$2:$B$5001,B338,$A$2:$A$5001,"&lt;="&amp;A338),"PR",""))</f>
        <v/>
      </c>
    </row>
    <row r="339">
      <c r="A339" s="7" t="n"/>
      <c r="H339" s="11">
        <f>IF(OR(D339="",E339=""),"",D339*E339)</f>
        <v/>
      </c>
      <c r="I339" s="8">
        <f>IF(OR(D339="",E339=""),"",E339*(1+D339/30))</f>
        <v/>
      </c>
      <c r="J339">
        <f>IF(I339="","",IF(I339&gt;=MAXIFS($I$2:$I$5001,$B$2:$B$5001,B339,$A$2:$A$5001,"&lt;="&amp;A339),"PR",""))</f>
        <v/>
      </c>
    </row>
    <row r="340">
      <c r="A340" s="7" t="n"/>
      <c r="H340" s="11">
        <f>IF(OR(D340="",E340=""),"",D340*E340)</f>
        <v/>
      </c>
      <c r="I340" s="8">
        <f>IF(OR(D340="",E340=""),"",E340*(1+D340/30))</f>
        <v/>
      </c>
      <c r="J340">
        <f>IF(I340="","",IF(I340&gt;=MAXIFS($I$2:$I$5001,$B$2:$B$5001,B340,$A$2:$A$5001,"&lt;="&amp;A340),"PR",""))</f>
        <v/>
      </c>
    </row>
    <row r="341">
      <c r="A341" s="7" t="n"/>
      <c r="H341" s="11">
        <f>IF(OR(D341="",E341=""),"",D341*E341)</f>
        <v/>
      </c>
      <c r="I341" s="8">
        <f>IF(OR(D341="",E341=""),"",E341*(1+D341/30))</f>
        <v/>
      </c>
      <c r="J341">
        <f>IF(I341="","",IF(I341&gt;=MAXIFS($I$2:$I$5001,$B$2:$B$5001,B341,$A$2:$A$5001,"&lt;="&amp;A341),"PR",""))</f>
        <v/>
      </c>
    </row>
    <row r="342">
      <c r="A342" s="7" t="n"/>
      <c r="H342" s="11">
        <f>IF(OR(D342="",E342=""),"",D342*E342)</f>
        <v/>
      </c>
      <c r="I342" s="8">
        <f>IF(OR(D342="",E342=""),"",E342*(1+D342/30))</f>
        <v/>
      </c>
      <c r="J342">
        <f>IF(I342="","",IF(I342&gt;=MAXIFS($I$2:$I$5001,$B$2:$B$5001,B342,$A$2:$A$5001,"&lt;="&amp;A342),"PR",""))</f>
        <v/>
      </c>
    </row>
    <row r="343">
      <c r="A343" s="7" t="n"/>
      <c r="H343" s="11">
        <f>IF(OR(D343="",E343=""),"",D343*E343)</f>
        <v/>
      </c>
      <c r="I343" s="8">
        <f>IF(OR(D343="",E343=""),"",E343*(1+D343/30))</f>
        <v/>
      </c>
      <c r="J343">
        <f>IF(I343="","",IF(I343&gt;=MAXIFS($I$2:$I$5001,$B$2:$B$5001,B343,$A$2:$A$5001,"&lt;="&amp;A343),"PR",""))</f>
        <v/>
      </c>
    </row>
    <row r="344">
      <c r="A344" s="7" t="n"/>
      <c r="H344" s="11">
        <f>IF(OR(D344="",E344=""),"",D344*E344)</f>
        <v/>
      </c>
      <c r="I344" s="8">
        <f>IF(OR(D344="",E344=""),"",E344*(1+D344/30))</f>
        <v/>
      </c>
      <c r="J344">
        <f>IF(I344="","",IF(I344&gt;=MAXIFS($I$2:$I$5001,$B$2:$B$5001,B344,$A$2:$A$5001,"&lt;="&amp;A344),"PR",""))</f>
        <v/>
      </c>
    </row>
    <row r="345">
      <c r="A345" s="7" t="n"/>
      <c r="H345" s="11">
        <f>IF(OR(D345="",E345=""),"",D345*E345)</f>
        <v/>
      </c>
      <c r="I345" s="8">
        <f>IF(OR(D345="",E345=""),"",E345*(1+D345/30))</f>
        <v/>
      </c>
      <c r="J345">
        <f>IF(I345="","",IF(I345&gt;=MAXIFS($I$2:$I$5001,$B$2:$B$5001,B345,$A$2:$A$5001,"&lt;="&amp;A345),"PR",""))</f>
        <v/>
      </c>
    </row>
    <row r="346">
      <c r="A346" s="7" t="n"/>
      <c r="H346" s="11">
        <f>IF(OR(D346="",E346=""),"",D346*E346)</f>
        <v/>
      </c>
      <c r="I346" s="8">
        <f>IF(OR(D346="",E346=""),"",E346*(1+D346/30))</f>
        <v/>
      </c>
      <c r="J346">
        <f>IF(I346="","",IF(I346&gt;=MAXIFS($I$2:$I$5001,$B$2:$B$5001,B346,$A$2:$A$5001,"&lt;="&amp;A346),"PR",""))</f>
        <v/>
      </c>
    </row>
    <row r="347">
      <c r="A347" s="7" t="n"/>
      <c r="H347" s="11">
        <f>IF(OR(D347="",E347=""),"",D347*E347)</f>
        <v/>
      </c>
      <c r="I347" s="8">
        <f>IF(OR(D347="",E347=""),"",E347*(1+D347/30))</f>
        <v/>
      </c>
      <c r="J347">
        <f>IF(I347="","",IF(I347&gt;=MAXIFS($I$2:$I$5001,$B$2:$B$5001,B347,$A$2:$A$5001,"&lt;="&amp;A347),"PR",""))</f>
        <v/>
      </c>
    </row>
    <row r="348">
      <c r="A348" s="7" t="n"/>
      <c r="H348" s="11">
        <f>IF(OR(D348="",E348=""),"",D348*E348)</f>
        <v/>
      </c>
      <c r="I348" s="8">
        <f>IF(OR(D348="",E348=""),"",E348*(1+D348/30))</f>
        <v/>
      </c>
      <c r="J348">
        <f>IF(I348="","",IF(I348&gt;=MAXIFS($I$2:$I$5001,$B$2:$B$5001,B348,$A$2:$A$5001,"&lt;="&amp;A348),"PR",""))</f>
        <v/>
      </c>
    </row>
    <row r="349">
      <c r="A349" s="7" t="n"/>
      <c r="H349" s="11">
        <f>IF(OR(D349="",E349=""),"",D349*E349)</f>
        <v/>
      </c>
      <c r="I349" s="8">
        <f>IF(OR(D349="",E349=""),"",E349*(1+D349/30))</f>
        <v/>
      </c>
      <c r="J349">
        <f>IF(I349="","",IF(I349&gt;=MAXIFS($I$2:$I$5001,$B$2:$B$5001,B349,$A$2:$A$5001,"&lt;="&amp;A349),"PR",""))</f>
        <v/>
      </c>
    </row>
    <row r="350">
      <c r="A350" s="7" t="n"/>
      <c r="H350" s="11">
        <f>IF(OR(D350="",E350=""),"",D350*E350)</f>
        <v/>
      </c>
      <c r="I350" s="8">
        <f>IF(OR(D350="",E350=""),"",E350*(1+D350/30))</f>
        <v/>
      </c>
      <c r="J350">
        <f>IF(I350="","",IF(I350&gt;=MAXIFS($I$2:$I$5001,$B$2:$B$5001,B350,$A$2:$A$5001,"&lt;="&amp;A350),"PR",""))</f>
        <v/>
      </c>
    </row>
    <row r="351">
      <c r="A351" s="7" t="n"/>
      <c r="H351" s="11">
        <f>IF(OR(D351="",E351=""),"",D351*E351)</f>
        <v/>
      </c>
      <c r="I351" s="8">
        <f>IF(OR(D351="",E351=""),"",E351*(1+D351/30))</f>
        <v/>
      </c>
      <c r="J351">
        <f>IF(I351="","",IF(I351&gt;=MAXIFS($I$2:$I$5001,$B$2:$B$5001,B351,$A$2:$A$5001,"&lt;="&amp;A351),"PR",""))</f>
        <v/>
      </c>
    </row>
    <row r="352">
      <c r="A352" s="7" t="n"/>
      <c r="H352" s="11">
        <f>IF(OR(D352="",E352=""),"",D352*E352)</f>
        <v/>
      </c>
      <c r="I352" s="8">
        <f>IF(OR(D352="",E352=""),"",E352*(1+D352/30))</f>
        <v/>
      </c>
      <c r="J352">
        <f>IF(I352="","",IF(I352&gt;=MAXIFS($I$2:$I$5001,$B$2:$B$5001,B352,$A$2:$A$5001,"&lt;="&amp;A352),"PR",""))</f>
        <v/>
      </c>
    </row>
    <row r="353">
      <c r="A353" s="7" t="n"/>
      <c r="H353" s="11">
        <f>IF(OR(D353="",E353=""),"",D353*E353)</f>
        <v/>
      </c>
      <c r="I353" s="8">
        <f>IF(OR(D353="",E353=""),"",E353*(1+D353/30))</f>
        <v/>
      </c>
      <c r="J353">
        <f>IF(I353="","",IF(I353&gt;=MAXIFS($I$2:$I$5001,$B$2:$B$5001,B353,$A$2:$A$5001,"&lt;="&amp;A353),"PR",""))</f>
        <v/>
      </c>
    </row>
    <row r="354">
      <c r="A354" s="7" t="n"/>
      <c r="H354" s="11">
        <f>IF(OR(D354="",E354=""),"",D354*E354)</f>
        <v/>
      </c>
      <c r="I354" s="8">
        <f>IF(OR(D354="",E354=""),"",E354*(1+D354/30))</f>
        <v/>
      </c>
      <c r="J354">
        <f>IF(I354="","",IF(I354&gt;=MAXIFS($I$2:$I$5001,$B$2:$B$5001,B354,$A$2:$A$5001,"&lt;="&amp;A354),"PR",""))</f>
        <v/>
      </c>
    </row>
    <row r="355">
      <c r="A355" s="7" t="n"/>
      <c r="H355" s="11">
        <f>IF(OR(D355="",E355=""),"",D355*E355)</f>
        <v/>
      </c>
      <c r="I355" s="8">
        <f>IF(OR(D355="",E355=""),"",E355*(1+D355/30))</f>
        <v/>
      </c>
      <c r="J355">
        <f>IF(I355="","",IF(I355&gt;=MAXIFS($I$2:$I$5001,$B$2:$B$5001,B355,$A$2:$A$5001,"&lt;="&amp;A355),"PR",""))</f>
        <v/>
      </c>
    </row>
    <row r="356">
      <c r="A356" s="7" t="n"/>
      <c r="H356" s="11">
        <f>IF(OR(D356="",E356=""),"",D356*E356)</f>
        <v/>
      </c>
      <c r="I356" s="8">
        <f>IF(OR(D356="",E356=""),"",E356*(1+D356/30))</f>
        <v/>
      </c>
      <c r="J356">
        <f>IF(I356="","",IF(I356&gt;=MAXIFS($I$2:$I$5001,$B$2:$B$5001,B356,$A$2:$A$5001,"&lt;="&amp;A356),"PR",""))</f>
        <v/>
      </c>
    </row>
    <row r="357">
      <c r="A357" s="7" t="n"/>
      <c r="H357" s="11">
        <f>IF(OR(D357="",E357=""),"",D357*E357)</f>
        <v/>
      </c>
      <c r="I357" s="8">
        <f>IF(OR(D357="",E357=""),"",E357*(1+D357/30))</f>
        <v/>
      </c>
      <c r="J357">
        <f>IF(I357="","",IF(I357&gt;=MAXIFS($I$2:$I$5001,$B$2:$B$5001,B357,$A$2:$A$5001,"&lt;="&amp;A357),"PR",""))</f>
        <v/>
      </c>
    </row>
    <row r="358">
      <c r="A358" s="7" t="n"/>
      <c r="H358" s="11">
        <f>IF(OR(D358="",E358=""),"",D358*E358)</f>
        <v/>
      </c>
      <c r="I358" s="8">
        <f>IF(OR(D358="",E358=""),"",E358*(1+D358/30))</f>
        <v/>
      </c>
      <c r="J358">
        <f>IF(I358="","",IF(I358&gt;=MAXIFS($I$2:$I$5001,$B$2:$B$5001,B358,$A$2:$A$5001,"&lt;="&amp;A358),"PR",""))</f>
        <v/>
      </c>
    </row>
    <row r="359">
      <c r="A359" s="7" t="n"/>
      <c r="H359" s="11">
        <f>IF(OR(D359="",E359=""),"",D359*E359)</f>
        <v/>
      </c>
      <c r="I359" s="8">
        <f>IF(OR(D359="",E359=""),"",E359*(1+D359/30))</f>
        <v/>
      </c>
      <c r="J359">
        <f>IF(I359="","",IF(I359&gt;=MAXIFS($I$2:$I$5001,$B$2:$B$5001,B359,$A$2:$A$5001,"&lt;="&amp;A359),"PR",""))</f>
        <v/>
      </c>
    </row>
    <row r="360">
      <c r="A360" s="7" t="n"/>
      <c r="H360" s="11">
        <f>IF(OR(D360="",E360=""),"",D360*E360)</f>
        <v/>
      </c>
      <c r="I360" s="8">
        <f>IF(OR(D360="",E360=""),"",E360*(1+D360/30))</f>
        <v/>
      </c>
      <c r="J360">
        <f>IF(I360="","",IF(I360&gt;=MAXIFS($I$2:$I$5001,$B$2:$B$5001,B360,$A$2:$A$5001,"&lt;="&amp;A360),"PR",""))</f>
        <v/>
      </c>
    </row>
    <row r="361">
      <c r="A361" s="7" t="n"/>
      <c r="H361" s="11">
        <f>IF(OR(D361="",E361=""),"",D361*E361)</f>
        <v/>
      </c>
      <c r="I361" s="8">
        <f>IF(OR(D361="",E361=""),"",E361*(1+D361/30))</f>
        <v/>
      </c>
      <c r="J361">
        <f>IF(I361="","",IF(I361&gt;=MAXIFS($I$2:$I$5001,$B$2:$B$5001,B361,$A$2:$A$5001,"&lt;="&amp;A361),"PR",""))</f>
        <v/>
      </c>
    </row>
    <row r="362">
      <c r="A362" s="7" t="n"/>
      <c r="H362" s="11">
        <f>IF(OR(D362="",E362=""),"",D362*E362)</f>
        <v/>
      </c>
      <c r="I362" s="8">
        <f>IF(OR(D362="",E362=""),"",E362*(1+D362/30))</f>
        <v/>
      </c>
      <c r="J362">
        <f>IF(I362="","",IF(I362&gt;=MAXIFS($I$2:$I$5001,$B$2:$B$5001,B362,$A$2:$A$5001,"&lt;="&amp;A362),"PR",""))</f>
        <v/>
      </c>
    </row>
    <row r="363">
      <c r="A363" s="7" t="n"/>
      <c r="H363" s="11">
        <f>IF(OR(D363="",E363=""),"",D363*E363)</f>
        <v/>
      </c>
      <c r="I363" s="8">
        <f>IF(OR(D363="",E363=""),"",E363*(1+D363/30))</f>
        <v/>
      </c>
      <c r="J363">
        <f>IF(I363="","",IF(I363&gt;=MAXIFS($I$2:$I$5001,$B$2:$B$5001,B363,$A$2:$A$5001,"&lt;="&amp;A363),"PR",""))</f>
        <v/>
      </c>
    </row>
    <row r="364">
      <c r="A364" s="7" t="n"/>
      <c r="H364" s="11">
        <f>IF(OR(D364="",E364=""),"",D364*E364)</f>
        <v/>
      </c>
      <c r="I364" s="8">
        <f>IF(OR(D364="",E364=""),"",E364*(1+D364/30))</f>
        <v/>
      </c>
      <c r="J364">
        <f>IF(I364="","",IF(I364&gt;=MAXIFS($I$2:$I$5001,$B$2:$B$5001,B364,$A$2:$A$5001,"&lt;="&amp;A364),"PR",""))</f>
        <v/>
      </c>
    </row>
    <row r="365">
      <c r="A365" s="7" t="n"/>
      <c r="H365" s="11">
        <f>IF(OR(D365="",E365=""),"",D365*E365)</f>
        <v/>
      </c>
      <c r="I365" s="8">
        <f>IF(OR(D365="",E365=""),"",E365*(1+D365/30))</f>
        <v/>
      </c>
      <c r="J365">
        <f>IF(I365="","",IF(I365&gt;=MAXIFS($I$2:$I$5001,$B$2:$B$5001,B365,$A$2:$A$5001,"&lt;="&amp;A365),"PR",""))</f>
        <v/>
      </c>
    </row>
    <row r="366">
      <c r="A366" s="7" t="n"/>
      <c r="H366" s="11">
        <f>IF(OR(D366="",E366=""),"",D366*E366)</f>
        <v/>
      </c>
      <c r="I366" s="8">
        <f>IF(OR(D366="",E366=""),"",E366*(1+D366/30))</f>
        <v/>
      </c>
      <c r="J366">
        <f>IF(I366="","",IF(I366&gt;=MAXIFS($I$2:$I$5001,$B$2:$B$5001,B366,$A$2:$A$5001,"&lt;="&amp;A366),"PR",""))</f>
        <v/>
      </c>
    </row>
    <row r="367">
      <c r="A367" s="7" t="n"/>
      <c r="H367" s="11">
        <f>IF(OR(D367="",E367=""),"",D367*E367)</f>
        <v/>
      </c>
      <c r="I367" s="8">
        <f>IF(OR(D367="",E367=""),"",E367*(1+D367/30))</f>
        <v/>
      </c>
      <c r="J367">
        <f>IF(I367="","",IF(I367&gt;=MAXIFS($I$2:$I$5001,$B$2:$B$5001,B367,$A$2:$A$5001,"&lt;="&amp;A367),"PR",""))</f>
        <v/>
      </c>
    </row>
    <row r="368">
      <c r="A368" s="7" t="n"/>
      <c r="H368" s="11">
        <f>IF(OR(D368="",E368=""),"",D368*E368)</f>
        <v/>
      </c>
      <c r="I368" s="8">
        <f>IF(OR(D368="",E368=""),"",E368*(1+D368/30))</f>
        <v/>
      </c>
      <c r="J368">
        <f>IF(I368="","",IF(I368&gt;=MAXIFS($I$2:$I$5001,$B$2:$B$5001,B368,$A$2:$A$5001,"&lt;="&amp;A368),"PR",""))</f>
        <v/>
      </c>
    </row>
    <row r="369">
      <c r="A369" s="7" t="n"/>
      <c r="H369" s="11">
        <f>IF(OR(D369="",E369=""),"",D369*E369)</f>
        <v/>
      </c>
      <c r="I369" s="8">
        <f>IF(OR(D369="",E369=""),"",E369*(1+D369/30))</f>
        <v/>
      </c>
      <c r="J369">
        <f>IF(I369="","",IF(I369&gt;=MAXIFS($I$2:$I$5001,$B$2:$B$5001,B369,$A$2:$A$5001,"&lt;="&amp;A369),"PR",""))</f>
        <v/>
      </c>
    </row>
    <row r="370">
      <c r="A370" s="7" t="n"/>
      <c r="H370" s="11">
        <f>IF(OR(D370="",E370=""),"",D370*E370)</f>
        <v/>
      </c>
      <c r="I370" s="8">
        <f>IF(OR(D370="",E370=""),"",E370*(1+D370/30))</f>
        <v/>
      </c>
      <c r="J370">
        <f>IF(I370="","",IF(I370&gt;=MAXIFS($I$2:$I$5001,$B$2:$B$5001,B370,$A$2:$A$5001,"&lt;="&amp;A370),"PR",""))</f>
        <v/>
      </c>
    </row>
    <row r="371">
      <c r="A371" s="7" t="n"/>
      <c r="H371" s="11">
        <f>IF(OR(D371="",E371=""),"",D371*E371)</f>
        <v/>
      </c>
      <c r="I371" s="8">
        <f>IF(OR(D371="",E371=""),"",E371*(1+D371/30))</f>
        <v/>
      </c>
      <c r="J371">
        <f>IF(I371="","",IF(I371&gt;=MAXIFS($I$2:$I$5001,$B$2:$B$5001,B371,$A$2:$A$5001,"&lt;="&amp;A371),"PR",""))</f>
        <v/>
      </c>
    </row>
    <row r="372">
      <c r="A372" s="7" t="n"/>
      <c r="H372" s="11">
        <f>IF(OR(D372="",E372=""),"",D372*E372)</f>
        <v/>
      </c>
      <c r="I372" s="8">
        <f>IF(OR(D372="",E372=""),"",E372*(1+D372/30))</f>
        <v/>
      </c>
      <c r="J372">
        <f>IF(I372="","",IF(I372&gt;=MAXIFS($I$2:$I$5001,$B$2:$B$5001,B372,$A$2:$A$5001,"&lt;="&amp;A372),"PR",""))</f>
        <v/>
      </c>
    </row>
    <row r="373">
      <c r="A373" s="7" t="n"/>
      <c r="H373" s="11">
        <f>IF(OR(D373="",E373=""),"",D373*E373)</f>
        <v/>
      </c>
      <c r="I373" s="8">
        <f>IF(OR(D373="",E373=""),"",E373*(1+D373/30))</f>
        <v/>
      </c>
      <c r="J373">
        <f>IF(I373="","",IF(I373&gt;=MAXIFS($I$2:$I$5001,$B$2:$B$5001,B373,$A$2:$A$5001,"&lt;="&amp;A373),"PR",""))</f>
        <v/>
      </c>
    </row>
    <row r="374">
      <c r="A374" s="7" t="n"/>
      <c r="H374" s="11">
        <f>IF(OR(D374="",E374=""),"",D374*E374)</f>
        <v/>
      </c>
      <c r="I374" s="8">
        <f>IF(OR(D374="",E374=""),"",E374*(1+D374/30))</f>
        <v/>
      </c>
      <c r="J374">
        <f>IF(I374="","",IF(I374&gt;=MAXIFS($I$2:$I$5001,$B$2:$B$5001,B374,$A$2:$A$5001,"&lt;="&amp;A374),"PR",""))</f>
        <v/>
      </c>
    </row>
    <row r="375">
      <c r="A375" s="7" t="n"/>
      <c r="H375" s="11">
        <f>IF(OR(D375="",E375=""),"",D375*E375)</f>
        <v/>
      </c>
      <c r="I375" s="8">
        <f>IF(OR(D375="",E375=""),"",E375*(1+D375/30))</f>
        <v/>
      </c>
      <c r="J375">
        <f>IF(I375="","",IF(I375&gt;=MAXIFS($I$2:$I$5001,$B$2:$B$5001,B375,$A$2:$A$5001,"&lt;="&amp;A375),"PR",""))</f>
        <v/>
      </c>
    </row>
    <row r="376">
      <c r="A376" s="7" t="n"/>
      <c r="H376" s="11">
        <f>IF(OR(D376="",E376=""),"",D376*E376)</f>
        <v/>
      </c>
      <c r="I376" s="8">
        <f>IF(OR(D376="",E376=""),"",E376*(1+D376/30))</f>
        <v/>
      </c>
      <c r="J376">
        <f>IF(I376="","",IF(I376&gt;=MAXIFS($I$2:$I$5001,$B$2:$B$5001,B376,$A$2:$A$5001,"&lt;="&amp;A376),"PR",""))</f>
        <v/>
      </c>
    </row>
    <row r="377">
      <c r="A377" s="7" t="n"/>
      <c r="H377" s="11">
        <f>IF(OR(D377="",E377=""),"",D377*E377)</f>
        <v/>
      </c>
      <c r="I377" s="8">
        <f>IF(OR(D377="",E377=""),"",E377*(1+D377/30))</f>
        <v/>
      </c>
      <c r="J377">
        <f>IF(I377="","",IF(I377&gt;=MAXIFS($I$2:$I$5001,$B$2:$B$5001,B377,$A$2:$A$5001,"&lt;="&amp;A377),"PR",""))</f>
        <v/>
      </c>
    </row>
    <row r="378">
      <c r="A378" s="7" t="n"/>
      <c r="H378" s="11">
        <f>IF(OR(D378="",E378=""),"",D378*E378)</f>
        <v/>
      </c>
      <c r="I378" s="8">
        <f>IF(OR(D378="",E378=""),"",E378*(1+D378/30))</f>
        <v/>
      </c>
      <c r="J378">
        <f>IF(I378="","",IF(I378&gt;=MAXIFS($I$2:$I$5001,$B$2:$B$5001,B378,$A$2:$A$5001,"&lt;="&amp;A378),"PR",""))</f>
        <v/>
      </c>
    </row>
    <row r="379">
      <c r="A379" s="7" t="n"/>
      <c r="H379" s="11">
        <f>IF(OR(D379="",E379=""),"",D379*E379)</f>
        <v/>
      </c>
      <c r="I379" s="8">
        <f>IF(OR(D379="",E379=""),"",E379*(1+D379/30))</f>
        <v/>
      </c>
      <c r="J379">
        <f>IF(I379="","",IF(I379&gt;=MAXIFS($I$2:$I$5001,$B$2:$B$5001,B379,$A$2:$A$5001,"&lt;="&amp;A379),"PR",""))</f>
        <v/>
      </c>
    </row>
    <row r="380">
      <c r="A380" s="7" t="n"/>
      <c r="H380" s="11">
        <f>IF(OR(D380="",E380=""),"",D380*E380)</f>
        <v/>
      </c>
      <c r="I380" s="8">
        <f>IF(OR(D380="",E380=""),"",E380*(1+D380/30))</f>
        <v/>
      </c>
      <c r="J380">
        <f>IF(I380="","",IF(I380&gt;=MAXIFS($I$2:$I$5001,$B$2:$B$5001,B380,$A$2:$A$5001,"&lt;="&amp;A380),"PR",""))</f>
        <v/>
      </c>
    </row>
    <row r="381">
      <c r="A381" s="7" t="n"/>
      <c r="H381" s="11">
        <f>IF(OR(D381="",E381=""),"",D381*E381)</f>
        <v/>
      </c>
      <c r="I381" s="8">
        <f>IF(OR(D381="",E381=""),"",E381*(1+D381/30))</f>
        <v/>
      </c>
      <c r="J381">
        <f>IF(I381="","",IF(I381&gt;=MAXIFS($I$2:$I$5001,$B$2:$B$5001,B381,$A$2:$A$5001,"&lt;="&amp;A381),"PR",""))</f>
        <v/>
      </c>
    </row>
    <row r="382">
      <c r="A382" s="7" t="n"/>
      <c r="H382" s="11">
        <f>IF(OR(D382="",E382=""),"",D382*E382)</f>
        <v/>
      </c>
      <c r="I382" s="8">
        <f>IF(OR(D382="",E382=""),"",E382*(1+D382/30))</f>
        <v/>
      </c>
      <c r="J382">
        <f>IF(I382="","",IF(I382&gt;=MAXIFS($I$2:$I$5001,$B$2:$B$5001,B382,$A$2:$A$5001,"&lt;="&amp;A382),"PR",""))</f>
        <v/>
      </c>
    </row>
    <row r="383">
      <c r="A383" s="7" t="n"/>
      <c r="H383" s="11">
        <f>IF(OR(D383="",E383=""),"",D383*E383)</f>
        <v/>
      </c>
      <c r="I383" s="8">
        <f>IF(OR(D383="",E383=""),"",E383*(1+D383/30))</f>
        <v/>
      </c>
      <c r="J383">
        <f>IF(I383="","",IF(I383&gt;=MAXIFS($I$2:$I$5001,$B$2:$B$5001,B383,$A$2:$A$5001,"&lt;="&amp;A383),"PR",""))</f>
        <v/>
      </c>
    </row>
    <row r="384">
      <c r="A384" s="7" t="n"/>
      <c r="H384" s="11">
        <f>IF(OR(D384="",E384=""),"",D384*E384)</f>
        <v/>
      </c>
      <c r="I384" s="8">
        <f>IF(OR(D384="",E384=""),"",E384*(1+D384/30))</f>
        <v/>
      </c>
      <c r="J384">
        <f>IF(I384="","",IF(I384&gt;=MAXIFS($I$2:$I$5001,$B$2:$B$5001,B384,$A$2:$A$5001,"&lt;="&amp;A384),"PR",""))</f>
        <v/>
      </c>
    </row>
    <row r="385">
      <c r="A385" s="7" t="n"/>
      <c r="H385" s="11">
        <f>IF(OR(D385="",E385=""),"",D385*E385)</f>
        <v/>
      </c>
      <c r="I385" s="8">
        <f>IF(OR(D385="",E385=""),"",E385*(1+D385/30))</f>
        <v/>
      </c>
      <c r="J385">
        <f>IF(I385="","",IF(I385&gt;=MAXIFS($I$2:$I$5001,$B$2:$B$5001,B385,$A$2:$A$5001,"&lt;="&amp;A385),"PR",""))</f>
        <v/>
      </c>
    </row>
    <row r="386">
      <c r="A386" s="7" t="n"/>
      <c r="H386" s="11">
        <f>IF(OR(D386="",E386=""),"",D386*E386)</f>
        <v/>
      </c>
      <c r="I386" s="8">
        <f>IF(OR(D386="",E386=""),"",E386*(1+D386/30))</f>
        <v/>
      </c>
      <c r="J386">
        <f>IF(I386="","",IF(I386&gt;=MAXIFS($I$2:$I$5001,$B$2:$B$5001,B386,$A$2:$A$5001,"&lt;="&amp;A386),"PR",""))</f>
        <v/>
      </c>
    </row>
    <row r="387">
      <c r="A387" s="7" t="n"/>
      <c r="H387" s="11">
        <f>IF(OR(D387="",E387=""),"",D387*E387)</f>
        <v/>
      </c>
      <c r="I387" s="8">
        <f>IF(OR(D387="",E387=""),"",E387*(1+D387/30))</f>
        <v/>
      </c>
      <c r="J387">
        <f>IF(I387="","",IF(I387&gt;=MAXIFS($I$2:$I$5001,$B$2:$B$5001,B387,$A$2:$A$5001,"&lt;="&amp;A387),"PR",""))</f>
        <v/>
      </c>
    </row>
    <row r="388">
      <c r="A388" s="7" t="n"/>
      <c r="H388" s="11">
        <f>IF(OR(D388="",E388=""),"",D388*E388)</f>
        <v/>
      </c>
      <c r="I388" s="8">
        <f>IF(OR(D388="",E388=""),"",E388*(1+D388/30))</f>
        <v/>
      </c>
      <c r="J388">
        <f>IF(I388="","",IF(I388&gt;=MAXIFS($I$2:$I$5001,$B$2:$B$5001,B388,$A$2:$A$5001,"&lt;="&amp;A388),"PR",""))</f>
        <v/>
      </c>
    </row>
    <row r="389">
      <c r="A389" s="7" t="n"/>
      <c r="H389" s="11">
        <f>IF(OR(D389="",E389=""),"",D389*E389)</f>
        <v/>
      </c>
      <c r="I389" s="8">
        <f>IF(OR(D389="",E389=""),"",E389*(1+D389/30))</f>
        <v/>
      </c>
      <c r="J389">
        <f>IF(I389="","",IF(I389&gt;=MAXIFS($I$2:$I$5001,$B$2:$B$5001,B389,$A$2:$A$5001,"&lt;="&amp;A389),"PR",""))</f>
        <v/>
      </c>
    </row>
    <row r="390">
      <c r="A390" s="7" t="n"/>
      <c r="H390" s="11">
        <f>IF(OR(D390="",E390=""),"",D390*E390)</f>
        <v/>
      </c>
      <c r="I390" s="8">
        <f>IF(OR(D390="",E390=""),"",E390*(1+D390/30))</f>
        <v/>
      </c>
      <c r="J390">
        <f>IF(I390="","",IF(I390&gt;=MAXIFS($I$2:$I$5001,$B$2:$B$5001,B390,$A$2:$A$5001,"&lt;="&amp;A390),"PR",""))</f>
        <v/>
      </c>
    </row>
    <row r="391">
      <c r="A391" s="7" t="n"/>
      <c r="H391" s="11">
        <f>IF(OR(D391="",E391=""),"",D391*E391)</f>
        <v/>
      </c>
      <c r="I391" s="8">
        <f>IF(OR(D391="",E391=""),"",E391*(1+D391/30))</f>
        <v/>
      </c>
      <c r="J391">
        <f>IF(I391="","",IF(I391&gt;=MAXIFS($I$2:$I$5001,$B$2:$B$5001,B391,$A$2:$A$5001,"&lt;="&amp;A391),"PR",""))</f>
        <v/>
      </c>
    </row>
    <row r="392">
      <c r="A392" s="7" t="n"/>
      <c r="H392" s="11">
        <f>IF(OR(D392="",E392=""),"",D392*E392)</f>
        <v/>
      </c>
      <c r="I392" s="8">
        <f>IF(OR(D392="",E392=""),"",E392*(1+D392/30))</f>
        <v/>
      </c>
      <c r="J392">
        <f>IF(I392="","",IF(I392&gt;=MAXIFS($I$2:$I$5001,$B$2:$B$5001,B392,$A$2:$A$5001,"&lt;="&amp;A392),"PR",""))</f>
        <v/>
      </c>
    </row>
    <row r="393">
      <c r="A393" s="7" t="n"/>
      <c r="H393" s="11">
        <f>IF(OR(D393="",E393=""),"",D393*E393)</f>
        <v/>
      </c>
      <c r="I393" s="8">
        <f>IF(OR(D393="",E393=""),"",E393*(1+D393/30))</f>
        <v/>
      </c>
      <c r="J393">
        <f>IF(I393="","",IF(I393&gt;=MAXIFS($I$2:$I$5001,$B$2:$B$5001,B393,$A$2:$A$5001,"&lt;="&amp;A393),"PR",""))</f>
        <v/>
      </c>
    </row>
    <row r="394">
      <c r="A394" s="7" t="n"/>
      <c r="H394" s="11">
        <f>IF(OR(D394="",E394=""),"",D394*E394)</f>
        <v/>
      </c>
      <c r="I394" s="8">
        <f>IF(OR(D394="",E394=""),"",E394*(1+D394/30))</f>
        <v/>
      </c>
      <c r="J394">
        <f>IF(I394="","",IF(I394&gt;=MAXIFS($I$2:$I$5001,$B$2:$B$5001,B394,$A$2:$A$5001,"&lt;="&amp;A394),"PR",""))</f>
        <v/>
      </c>
    </row>
    <row r="395">
      <c r="A395" s="7" t="n"/>
      <c r="H395" s="11">
        <f>IF(OR(D395="",E395=""),"",D395*E395)</f>
        <v/>
      </c>
      <c r="I395" s="8">
        <f>IF(OR(D395="",E395=""),"",E395*(1+D395/30))</f>
        <v/>
      </c>
      <c r="J395">
        <f>IF(I395="","",IF(I395&gt;=MAXIFS($I$2:$I$5001,$B$2:$B$5001,B395,$A$2:$A$5001,"&lt;="&amp;A395),"PR",""))</f>
        <v/>
      </c>
    </row>
    <row r="396">
      <c r="A396" s="7" t="n"/>
      <c r="H396" s="11">
        <f>IF(OR(D396="",E396=""),"",D396*E396)</f>
        <v/>
      </c>
      <c r="I396" s="8">
        <f>IF(OR(D396="",E396=""),"",E396*(1+D396/30))</f>
        <v/>
      </c>
      <c r="J396">
        <f>IF(I396="","",IF(I396&gt;=MAXIFS($I$2:$I$5001,$B$2:$B$5001,B396,$A$2:$A$5001,"&lt;="&amp;A396),"PR",""))</f>
        <v/>
      </c>
    </row>
    <row r="397">
      <c r="A397" s="7" t="n"/>
      <c r="H397" s="11">
        <f>IF(OR(D397="",E397=""),"",D397*E397)</f>
        <v/>
      </c>
      <c r="I397" s="8">
        <f>IF(OR(D397="",E397=""),"",E397*(1+D397/30))</f>
        <v/>
      </c>
      <c r="J397">
        <f>IF(I397="","",IF(I397&gt;=MAXIFS($I$2:$I$5001,$B$2:$B$5001,B397,$A$2:$A$5001,"&lt;="&amp;A397),"PR",""))</f>
        <v/>
      </c>
    </row>
    <row r="398">
      <c r="A398" s="7" t="n"/>
      <c r="H398" s="11">
        <f>IF(OR(D398="",E398=""),"",D398*E398)</f>
        <v/>
      </c>
      <c r="I398" s="8">
        <f>IF(OR(D398="",E398=""),"",E398*(1+D398/30))</f>
        <v/>
      </c>
      <c r="J398">
        <f>IF(I398="","",IF(I398&gt;=MAXIFS($I$2:$I$5001,$B$2:$B$5001,B398,$A$2:$A$5001,"&lt;="&amp;A398),"PR",""))</f>
        <v/>
      </c>
    </row>
    <row r="399">
      <c r="A399" s="7" t="n"/>
      <c r="H399" s="11">
        <f>IF(OR(D399="",E399=""),"",D399*E399)</f>
        <v/>
      </c>
      <c r="I399" s="8">
        <f>IF(OR(D399="",E399=""),"",E399*(1+D399/30))</f>
        <v/>
      </c>
      <c r="J399">
        <f>IF(I399="","",IF(I399&gt;=MAXIFS($I$2:$I$5001,$B$2:$B$5001,B399,$A$2:$A$5001,"&lt;="&amp;A399),"PR",""))</f>
        <v/>
      </c>
    </row>
    <row r="400">
      <c r="A400" s="7" t="n"/>
      <c r="H400" s="11">
        <f>IF(OR(D400="",E400=""),"",D400*E400)</f>
        <v/>
      </c>
      <c r="I400" s="8">
        <f>IF(OR(D400="",E400=""),"",E400*(1+D400/30))</f>
        <v/>
      </c>
      <c r="J400">
        <f>IF(I400="","",IF(I400&gt;=MAXIFS($I$2:$I$5001,$B$2:$B$5001,B400,$A$2:$A$5001,"&lt;="&amp;A400),"PR",""))</f>
        <v/>
      </c>
    </row>
    <row r="401">
      <c r="A401" s="7" t="n"/>
      <c r="H401" s="11">
        <f>IF(OR(D401="",E401=""),"",D401*E401)</f>
        <v/>
      </c>
      <c r="I401" s="8">
        <f>IF(OR(D401="",E401=""),"",E401*(1+D401/30))</f>
        <v/>
      </c>
      <c r="J401">
        <f>IF(I401="","",IF(I401&gt;=MAXIFS($I$2:$I$5001,$B$2:$B$5001,B401,$A$2:$A$5001,"&lt;="&amp;A401),"PR",""))</f>
        <v/>
      </c>
    </row>
    <row r="402">
      <c r="A402" s="7" t="n"/>
      <c r="H402" s="11">
        <f>IF(OR(D402="",E402=""),"",D402*E402)</f>
        <v/>
      </c>
      <c r="I402" s="8">
        <f>IF(OR(D402="",E402=""),"",E402*(1+D402/30))</f>
        <v/>
      </c>
      <c r="J402">
        <f>IF(I402="","",IF(I402&gt;=MAXIFS($I$2:$I$5001,$B$2:$B$5001,B402,$A$2:$A$5001,"&lt;="&amp;A402),"PR",""))</f>
        <v/>
      </c>
    </row>
    <row r="403">
      <c r="A403" s="7" t="n"/>
      <c r="H403" s="11">
        <f>IF(OR(D403="",E403=""),"",D403*E403)</f>
        <v/>
      </c>
      <c r="I403" s="8">
        <f>IF(OR(D403="",E403=""),"",E403*(1+D403/30))</f>
        <v/>
      </c>
      <c r="J403">
        <f>IF(I403="","",IF(I403&gt;=MAXIFS($I$2:$I$5001,$B$2:$B$5001,B403,$A$2:$A$5001,"&lt;="&amp;A403),"PR",""))</f>
        <v/>
      </c>
    </row>
    <row r="404">
      <c r="A404" s="7" t="n"/>
      <c r="H404" s="11">
        <f>IF(OR(D404="",E404=""),"",D404*E404)</f>
        <v/>
      </c>
      <c r="I404" s="8">
        <f>IF(OR(D404="",E404=""),"",E404*(1+D404/30))</f>
        <v/>
      </c>
      <c r="J404">
        <f>IF(I404="","",IF(I404&gt;=MAXIFS($I$2:$I$5001,$B$2:$B$5001,B404,$A$2:$A$5001,"&lt;="&amp;A404),"PR",""))</f>
        <v/>
      </c>
    </row>
    <row r="405">
      <c r="A405" s="7" t="n"/>
      <c r="H405" s="11">
        <f>IF(OR(D405="",E405=""),"",D405*E405)</f>
        <v/>
      </c>
      <c r="I405" s="8">
        <f>IF(OR(D405="",E405=""),"",E405*(1+D405/30))</f>
        <v/>
      </c>
      <c r="J405">
        <f>IF(I405="","",IF(I405&gt;=MAXIFS($I$2:$I$5001,$B$2:$B$5001,B405,$A$2:$A$5001,"&lt;="&amp;A405),"PR",""))</f>
        <v/>
      </c>
    </row>
    <row r="406">
      <c r="A406" s="7" t="n"/>
      <c r="H406" s="11">
        <f>IF(OR(D406="",E406=""),"",D406*E406)</f>
        <v/>
      </c>
      <c r="I406" s="8">
        <f>IF(OR(D406="",E406=""),"",E406*(1+D406/30))</f>
        <v/>
      </c>
      <c r="J406">
        <f>IF(I406="","",IF(I406&gt;=MAXIFS($I$2:$I$5001,$B$2:$B$5001,B406,$A$2:$A$5001,"&lt;="&amp;A406),"PR",""))</f>
        <v/>
      </c>
    </row>
    <row r="407">
      <c r="A407" s="7" t="n"/>
      <c r="H407" s="11">
        <f>IF(OR(D407="",E407=""),"",D407*E407)</f>
        <v/>
      </c>
      <c r="I407" s="8">
        <f>IF(OR(D407="",E407=""),"",E407*(1+D407/30))</f>
        <v/>
      </c>
      <c r="J407">
        <f>IF(I407="","",IF(I407&gt;=MAXIFS($I$2:$I$5001,$B$2:$B$5001,B407,$A$2:$A$5001,"&lt;="&amp;A407),"PR",""))</f>
        <v/>
      </c>
    </row>
    <row r="408">
      <c r="A408" s="7" t="n"/>
      <c r="H408" s="11">
        <f>IF(OR(D408="",E408=""),"",D408*E408)</f>
        <v/>
      </c>
      <c r="I408" s="8">
        <f>IF(OR(D408="",E408=""),"",E408*(1+D408/30))</f>
        <v/>
      </c>
      <c r="J408">
        <f>IF(I408="","",IF(I408&gt;=MAXIFS($I$2:$I$5001,$B$2:$B$5001,B408,$A$2:$A$5001,"&lt;="&amp;A408),"PR",""))</f>
        <v/>
      </c>
    </row>
    <row r="409">
      <c r="A409" s="7" t="n"/>
      <c r="H409" s="11">
        <f>IF(OR(D409="",E409=""),"",D409*E409)</f>
        <v/>
      </c>
      <c r="I409" s="8">
        <f>IF(OR(D409="",E409=""),"",E409*(1+D409/30))</f>
        <v/>
      </c>
      <c r="J409">
        <f>IF(I409="","",IF(I409&gt;=MAXIFS($I$2:$I$5001,$B$2:$B$5001,B409,$A$2:$A$5001,"&lt;="&amp;A409),"PR",""))</f>
        <v/>
      </c>
    </row>
    <row r="410">
      <c r="A410" s="7" t="n"/>
      <c r="H410" s="11">
        <f>IF(OR(D410="",E410=""),"",D410*E410)</f>
        <v/>
      </c>
      <c r="I410" s="8">
        <f>IF(OR(D410="",E410=""),"",E410*(1+D410/30))</f>
        <v/>
      </c>
      <c r="J410">
        <f>IF(I410="","",IF(I410&gt;=MAXIFS($I$2:$I$5001,$B$2:$B$5001,B410,$A$2:$A$5001,"&lt;="&amp;A410),"PR",""))</f>
        <v/>
      </c>
    </row>
    <row r="411">
      <c r="A411" s="7" t="n"/>
      <c r="H411" s="11">
        <f>IF(OR(D411="",E411=""),"",D411*E411)</f>
        <v/>
      </c>
      <c r="I411" s="8">
        <f>IF(OR(D411="",E411=""),"",E411*(1+D411/30))</f>
        <v/>
      </c>
      <c r="J411">
        <f>IF(I411="","",IF(I411&gt;=MAXIFS($I$2:$I$5001,$B$2:$B$5001,B411,$A$2:$A$5001,"&lt;="&amp;A411),"PR",""))</f>
        <v/>
      </c>
    </row>
    <row r="412">
      <c r="A412" s="7" t="n"/>
      <c r="H412" s="11">
        <f>IF(OR(D412="",E412=""),"",D412*E412)</f>
        <v/>
      </c>
      <c r="I412" s="8">
        <f>IF(OR(D412="",E412=""),"",E412*(1+D412/30))</f>
        <v/>
      </c>
      <c r="J412">
        <f>IF(I412="","",IF(I412&gt;=MAXIFS($I$2:$I$5001,$B$2:$B$5001,B412,$A$2:$A$5001,"&lt;="&amp;A412),"PR",""))</f>
        <v/>
      </c>
    </row>
    <row r="413">
      <c r="A413" s="7" t="n"/>
      <c r="H413" s="11">
        <f>IF(OR(D413="",E413=""),"",D413*E413)</f>
        <v/>
      </c>
      <c r="I413" s="8">
        <f>IF(OR(D413="",E413=""),"",E413*(1+D413/30))</f>
        <v/>
      </c>
      <c r="J413">
        <f>IF(I413="","",IF(I413&gt;=MAXIFS($I$2:$I$5001,$B$2:$B$5001,B413,$A$2:$A$5001,"&lt;="&amp;A413),"PR",""))</f>
        <v/>
      </c>
    </row>
    <row r="414">
      <c r="A414" s="7" t="n"/>
      <c r="H414" s="11">
        <f>IF(OR(D414="",E414=""),"",D414*E414)</f>
        <v/>
      </c>
      <c r="I414" s="8">
        <f>IF(OR(D414="",E414=""),"",E414*(1+D414/30))</f>
        <v/>
      </c>
      <c r="J414">
        <f>IF(I414="","",IF(I414&gt;=MAXIFS($I$2:$I$5001,$B$2:$B$5001,B414,$A$2:$A$5001,"&lt;="&amp;A414),"PR",""))</f>
        <v/>
      </c>
    </row>
    <row r="415">
      <c r="A415" s="7" t="n"/>
      <c r="H415" s="11">
        <f>IF(OR(D415="",E415=""),"",D415*E415)</f>
        <v/>
      </c>
      <c r="I415" s="8">
        <f>IF(OR(D415="",E415=""),"",E415*(1+D415/30))</f>
        <v/>
      </c>
      <c r="J415">
        <f>IF(I415="","",IF(I415&gt;=MAXIFS($I$2:$I$5001,$B$2:$B$5001,B415,$A$2:$A$5001,"&lt;="&amp;A415),"PR",""))</f>
        <v/>
      </c>
    </row>
    <row r="416">
      <c r="A416" s="7" t="n"/>
      <c r="H416" s="11">
        <f>IF(OR(D416="",E416=""),"",D416*E416)</f>
        <v/>
      </c>
      <c r="I416" s="8">
        <f>IF(OR(D416="",E416=""),"",E416*(1+D416/30))</f>
        <v/>
      </c>
      <c r="J416">
        <f>IF(I416="","",IF(I416&gt;=MAXIFS($I$2:$I$5001,$B$2:$B$5001,B416,$A$2:$A$5001,"&lt;="&amp;A416),"PR",""))</f>
        <v/>
      </c>
    </row>
    <row r="417">
      <c r="A417" s="7" t="n"/>
      <c r="H417" s="11">
        <f>IF(OR(D417="",E417=""),"",D417*E417)</f>
        <v/>
      </c>
      <c r="I417" s="8">
        <f>IF(OR(D417="",E417=""),"",E417*(1+D417/30))</f>
        <v/>
      </c>
      <c r="J417">
        <f>IF(I417="","",IF(I417&gt;=MAXIFS($I$2:$I$5001,$B$2:$B$5001,B417,$A$2:$A$5001,"&lt;="&amp;A417),"PR",""))</f>
        <v/>
      </c>
    </row>
    <row r="418">
      <c r="A418" s="7" t="n"/>
      <c r="H418" s="11">
        <f>IF(OR(D418="",E418=""),"",D418*E418)</f>
        <v/>
      </c>
      <c r="I418" s="8">
        <f>IF(OR(D418="",E418=""),"",E418*(1+D418/30))</f>
        <v/>
      </c>
      <c r="J418">
        <f>IF(I418="","",IF(I418&gt;=MAXIFS($I$2:$I$5001,$B$2:$B$5001,B418,$A$2:$A$5001,"&lt;="&amp;A418),"PR",""))</f>
        <v/>
      </c>
    </row>
    <row r="419">
      <c r="A419" s="7" t="n"/>
      <c r="H419" s="11">
        <f>IF(OR(D419="",E419=""),"",D419*E419)</f>
        <v/>
      </c>
      <c r="I419" s="8">
        <f>IF(OR(D419="",E419=""),"",E419*(1+D419/30))</f>
        <v/>
      </c>
      <c r="J419">
        <f>IF(I419="","",IF(I419&gt;=MAXIFS($I$2:$I$5001,$B$2:$B$5001,B419,$A$2:$A$5001,"&lt;="&amp;A419),"PR",""))</f>
        <v/>
      </c>
    </row>
    <row r="420">
      <c r="A420" s="7" t="n"/>
      <c r="H420" s="11">
        <f>IF(OR(D420="",E420=""),"",D420*E420)</f>
        <v/>
      </c>
      <c r="I420" s="8">
        <f>IF(OR(D420="",E420=""),"",E420*(1+D420/30))</f>
        <v/>
      </c>
      <c r="J420">
        <f>IF(I420="","",IF(I420&gt;=MAXIFS($I$2:$I$5001,$B$2:$B$5001,B420,$A$2:$A$5001,"&lt;="&amp;A420),"PR",""))</f>
        <v/>
      </c>
    </row>
    <row r="421">
      <c r="A421" s="7" t="n"/>
      <c r="H421" s="11">
        <f>IF(OR(D421="",E421=""),"",D421*E421)</f>
        <v/>
      </c>
      <c r="I421" s="8">
        <f>IF(OR(D421="",E421=""),"",E421*(1+D421/30))</f>
        <v/>
      </c>
      <c r="J421">
        <f>IF(I421="","",IF(I421&gt;=MAXIFS($I$2:$I$5001,$B$2:$B$5001,B421,$A$2:$A$5001,"&lt;="&amp;A421),"PR",""))</f>
        <v/>
      </c>
    </row>
    <row r="422">
      <c r="A422" s="7" t="n"/>
      <c r="H422" s="11">
        <f>IF(OR(D422="",E422=""),"",D422*E422)</f>
        <v/>
      </c>
      <c r="I422" s="8">
        <f>IF(OR(D422="",E422=""),"",E422*(1+D422/30))</f>
        <v/>
      </c>
      <c r="J422">
        <f>IF(I422="","",IF(I422&gt;=MAXIFS($I$2:$I$5001,$B$2:$B$5001,B422,$A$2:$A$5001,"&lt;="&amp;A422),"PR",""))</f>
        <v/>
      </c>
    </row>
    <row r="423">
      <c r="A423" s="7" t="n"/>
      <c r="H423" s="11">
        <f>IF(OR(D423="",E423=""),"",D423*E423)</f>
        <v/>
      </c>
      <c r="I423" s="8">
        <f>IF(OR(D423="",E423=""),"",E423*(1+D423/30))</f>
        <v/>
      </c>
      <c r="J423">
        <f>IF(I423="","",IF(I423&gt;=MAXIFS($I$2:$I$5001,$B$2:$B$5001,B423,$A$2:$A$5001,"&lt;="&amp;A423),"PR",""))</f>
        <v/>
      </c>
    </row>
    <row r="424">
      <c r="A424" s="7" t="n"/>
      <c r="H424" s="11">
        <f>IF(OR(D424="",E424=""),"",D424*E424)</f>
        <v/>
      </c>
      <c r="I424" s="8">
        <f>IF(OR(D424="",E424=""),"",E424*(1+D424/30))</f>
        <v/>
      </c>
      <c r="J424">
        <f>IF(I424="","",IF(I424&gt;=MAXIFS($I$2:$I$5001,$B$2:$B$5001,B424,$A$2:$A$5001,"&lt;="&amp;A424),"PR",""))</f>
        <v/>
      </c>
    </row>
    <row r="425">
      <c r="A425" s="7" t="n"/>
      <c r="H425" s="11">
        <f>IF(OR(D425="",E425=""),"",D425*E425)</f>
        <v/>
      </c>
      <c r="I425" s="8">
        <f>IF(OR(D425="",E425=""),"",E425*(1+D425/30))</f>
        <v/>
      </c>
      <c r="J425">
        <f>IF(I425="","",IF(I425&gt;=MAXIFS($I$2:$I$5001,$B$2:$B$5001,B425,$A$2:$A$5001,"&lt;="&amp;A425),"PR",""))</f>
        <v/>
      </c>
    </row>
    <row r="426">
      <c r="A426" s="7" t="n"/>
      <c r="H426" s="11">
        <f>IF(OR(D426="",E426=""),"",D426*E426)</f>
        <v/>
      </c>
      <c r="I426" s="8">
        <f>IF(OR(D426="",E426=""),"",E426*(1+D426/30))</f>
        <v/>
      </c>
      <c r="J426">
        <f>IF(I426="","",IF(I426&gt;=MAXIFS($I$2:$I$5001,$B$2:$B$5001,B426,$A$2:$A$5001,"&lt;="&amp;A426),"PR",""))</f>
        <v/>
      </c>
    </row>
    <row r="427">
      <c r="A427" s="7" t="n"/>
      <c r="H427" s="11">
        <f>IF(OR(D427="",E427=""),"",D427*E427)</f>
        <v/>
      </c>
      <c r="I427" s="8">
        <f>IF(OR(D427="",E427=""),"",E427*(1+D427/30))</f>
        <v/>
      </c>
      <c r="J427">
        <f>IF(I427="","",IF(I427&gt;=MAXIFS($I$2:$I$5001,$B$2:$B$5001,B427,$A$2:$A$5001,"&lt;="&amp;A427),"PR",""))</f>
        <v/>
      </c>
    </row>
    <row r="428">
      <c r="A428" s="7" t="n"/>
      <c r="H428" s="11">
        <f>IF(OR(D428="",E428=""),"",D428*E428)</f>
        <v/>
      </c>
      <c r="I428" s="8">
        <f>IF(OR(D428="",E428=""),"",E428*(1+D428/30))</f>
        <v/>
      </c>
      <c r="J428">
        <f>IF(I428="","",IF(I428&gt;=MAXIFS($I$2:$I$5001,$B$2:$B$5001,B428,$A$2:$A$5001,"&lt;="&amp;A428),"PR",""))</f>
        <v/>
      </c>
    </row>
    <row r="429">
      <c r="A429" s="7" t="n"/>
      <c r="H429" s="11">
        <f>IF(OR(D429="",E429=""),"",D429*E429)</f>
        <v/>
      </c>
      <c r="I429" s="8">
        <f>IF(OR(D429="",E429=""),"",E429*(1+D429/30))</f>
        <v/>
      </c>
      <c r="J429">
        <f>IF(I429="","",IF(I429&gt;=MAXIFS($I$2:$I$5001,$B$2:$B$5001,B429,$A$2:$A$5001,"&lt;="&amp;A429),"PR",""))</f>
        <v/>
      </c>
    </row>
    <row r="430">
      <c r="A430" s="7" t="n"/>
      <c r="H430" s="11">
        <f>IF(OR(D430="",E430=""),"",D430*E430)</f>
        <v/>
      </c>
      <c r="I430" s="8">
        <f>IF(OR(D430="",E430=""),"",E430*(1+D430/30))</f>
        <v/>
      </c>
      <c r="J430">
        <f>IF(I430="","",IF(I430&gt;=MAXIFS($I$2:$I$5001,$B$2:$B$5001,B430,$A$2:$A$5001,"&lt;="&amp;A430),"PR",""))</f>
        <v/>
      </c>
    </row>
    <row r="431">
      <c r="A431" s="7" t="n"/>
      <c r="H431" s="11">
        <f>IF(OR(D431="",E431=""),"",D431*E431)</f>
        <v/>
      </c>
      <c r="I431" s="8">
        <f>IF(OR(D431="",E431=""),"",E431*(1+D431/30))</f>
        <v/>
      </c>
      <c r="J431">
        <f>IF(I431="","",IF(I431&gt;=MAXIFS($I$2:$I$5001,$B$2:$B$5001,B431,$A$2:$A$5001,"&lt;="&amp;A431),"PR",""))</f>
        <v/>
      </c>
    </row>
    <row r="432">
      <c r="A432" s="7" t="n"/>
      <c r="H432" s="11">
        <f>IF(OR(D432="",E432=""),"",D432*E432)</f>
        <v/>
      </c>
      <c r="I432" s="8">
        <f>IF(OR(D432="",E432=""),"",E432*(1+D432/30))</f>
        <v/>
      </c>
      <c r="J432">
        <f>IF(I432="","",IF(I432&gt;=MAXIFS($I$2:$I$5001,$B$2:$B$5001,B432,$A$2:$A$5001,"&lt;="&amp;A432),"PR",""))</f>
        <v/>
      </c>
    </row>
    <row r="433">
      <c r="A433" s="7" t="n"/>
      <c r="H433" s="11">
        <f>IF(OR(D433="",E433=""),"",D433*E433)</f>
        <v/>
      </c>
      <c r="I433" s="8">
        <f>IF(OR(D433="",E433=""),"",E433*(1+D433/30))</f>
        <v/>
      </c>
      <c r="J433">
        <f>IF(I433="","",IF(I433&gt;=MAXIFS($I$2:$I$5001,$B$2:$B$5001,B433,$A$2:$A$5001,"&lt;="&amp;A433),"PR",""))</f>
        <v/>
      </c>
    </row>
    <row r="434">
      <c r="A434" s="7" t="n"/>
      <c r="H434" s="11">
        <f>IF(OR(D434="",E434=""),"",D434*E434)</f>
        <v/>
      </c>
      <c r="I434" s="8">
        <f>IF(OR(D434="",E434=""),"",E434*(1+D434/30))</f>
        <v/>
      </c>
      <c r="J434">
        <f>IF(I434="","",IF(I434&gt;=MAXIFS($I$2:$I$5001,$B$2:$B$5001,B434,$A$2:$A$5001,"&lt;="&amp;A434),"PR",""))</f>
        <v/>
      </c>
    </row>
    <row r="435">
      <c r="A435" s="7" t="n"/>
      <c r="H435" s="11">
        <f>IF(OR(D435="",E435=""),"",D435*E435)</f>
        <v/>
      </c>
      <c r="I435" s="8">
        <f>IF(OR(D435="",E435=""),"",E435*(1+D435/30))</f>
        <v/>
      </c>
      <c r="J435">
        <f>IF(I435="","",IF(I435&gt;=MAXIFS($I$2:$I$5001,$B$2:$B$5001,B435,$A$2:$A$5001,"&lt;="&amp;A435),"PR",""))</f>
        <v/>
      </c>
    </row>
    <row r="436">
      <c r="A436" s="7" t="n"/>
      <c r="H436" s="11">
        <f>IF(OR(D436="",E436=""),"",D436*E436)</f>
        <v/>
      </c>
      <c r="I436" s="8">
        <f>IF(OR(D436="",E436=""),"",E436*(1+D436/30))</f>
        <v/>
      </c>
      <c r="J436">
        <f>IF(I436="","",IF(I436&gt;=MAXIFS($I$2:$I$5001,$B$2:$B$5001,B436,$A$2:$A$5001,"&lt;="&amp;A436),"PR",""))</f>
        <v/>
      </c>
    </row>
    <row r="437">
      <c r="A437" s="7" t="n"/>
      <c r="H437" s="11">
        <f>IF(OR(D437="",E437=""),"",D437*E437)</f>
        <v/>
      </c>
      <c r="I437" s="8">
        <f>IF(OR(D437="",E437=""),"",E437*(1+D437/30))</f>
        <v/>
      </c>
      <c r="J437">
        <f>IF(I437="","",IF(I437&gt;=MAXIFS($I$2:$I$5001,$B$2:$B$5001,B437,$A$2:$A$5001,"&lt;="&amp;A437),"PR",""))</f>
        <v/>
      </c>
    </row>
    <row r="438">
      <c r="A438" s="7" t="n"/>
      <c r="H438" s="11">
        <f>IF(OR(D438="",E438=""),"",D438*E438)</f>
        <v/>
      </c>
      <c r="I438" s="8">
        <f>IF(OR(D438="",E438=""),"",E438*(1+D438/30))</f>
        <v/>
      </c>
      <c r="J438">
        <f>IF(I438="","",IF(I438&gt;=MAXIFS($I$2:$I$5001,$B$2:$B$5001,B438,$A$2:$A$5001,"&lt;="&amp;A438),"PR",""))</f>
        <v/>
      </c>
    </row>
    <row r="439">
      <c r="A439" s="7" t="n"/>
      <c r="H439" s="11">
        <f>IF(OR(D439="",E439=""),"",D439*E439)</f>
        <v/>
      </c>
      <c r="I439" s="8">
        <f>IF(OR(D439="",E439=""),"",E439*(1+D439/30))</f>
        <v/>
      </c>
      <c r="J439">
        <f>IF(I439="","",IF(I439&gt;=MAXIFS($I$2:$I$5001,$B$2:$B$5001,B439,$A$2:$A$5001,"&lt;="&amp;A439),"PR",""))</f>
        <v/>
      </c>
    </row>
    <row r="440">
      <c r="A440" s="7" t="n"/>
      <c r="H440" s="11">
        <f>IF(OR(D440="",E440=""),"",D440*E440)</f>
        <v/>
      </c>
      <c r="I440" s="8">
        <f>IF(OR(D440="",E440=""),"",E440*(1+D440/30))</f>
        <v/>
      </c>
      <c r="J440">
        <f>IF(I440="","",IF(I440&gt;=MAXIFS($I$2:$I$5001,$B$2:$B$5001,B440,$A$2:$A$5001,"&lt;="&amp;A440),"PR",""))</f>
        <v/>
      </c>
    </row>
    <row r="441">
      <c r="A441" s="7" t="n"/>
      <c r="H441" s="11">
        <f>IF(OR(D441="",E441=""),"",D441*E441)</f>
        <v/>
      </c>
      <c r="I441" s="8">
        <f>IF(OR(D441="",E441=""),"",E441*(1+D441/30))</f>
        <v/>
      </c>
      <c r="J441">
        <f>IF(I441="","",IF(I441&gt;=MAXIFS($I$2:$I$5001,$B$2:$B$5001,B441,$A$2:$A$5001,"&lt;="&amp;A441),"PR",""))</f>
        <v/>
      </c>
    </row>
    <row r="442">
      <c r="A442" s="7" t="n"/>
      <c r="H442" s="11">
        <f>IF(OR(D442="",E442=""),"",D442*E442)</f>
        <v/>
      </c>
      <c r="I442" s="8">
        <f>IF(OR(D442="",E442=""),"",E442*(1+D442/30))</f>
        <v/>
      </c>
      <c r="J442">
        <f>IF(I442="","",IF(I442&gt;=MAXIFS($I$2:$I$5001,$B$2:$B$5001,B442,$A$2:$A$5001,"&lt;="&amp;A442),"PR",""))</f>
        <v/>
      </c>
    </row>
    <row r="443">
      <c r="A443" s="7" t="n"/>
      <c r="H443" s="11">
        <f>IF(OR(D443="",E443=""),"",D443*E443)</f>
        <v/>
      </c>
      <c r="I443" s="8">
        <f>IF(OR(D443="",E443=""),"",E443*(1+D443/30))</f>
        <v/>
      </c>
      <c r="J443">
        <f>IF(I443="","",IF(I443&gt;=MAXIFS($I$2:$I$5001,$B$2:$B$5001,B443,$A$2:$A$5001,"&lt;="&amp;A443),"PR",""))</f>
        <v/>
      </c>
    </row>
    <row r="444">
      <c r="A444" s="7" t="n"/>
      <c r="H444" s="11">
        <f>IF(OR(D444="",E444=""),"",D444*E444)</f>
        <v/>
      </c>
      <c r="I444" s="8">
        <f>IF(OR(D444="",E444=""),"",E444*(1+D444/30))</f>
        <v/>
      </c>
      <c r="J444">
        <f>IF(I444="","",IF(I444&gt;=MAXIFS($I$2:$I$5001,$B$2:$B$5001,B444,$A$2:$A$5001,"&lt;="&amp;A444),"PR",""))</f>
        <v/>
      </c>
    </row>
    <row r="445">
      <c r="A445" s="7" t="n"/>
      <c r="H445" s="11">
        <f>IF(OR(D445="",E445=""),"",D445*E445)</f>
        <v/>
      </c>
      <c r="I445" s="8">
        <f>IF(OR(D445="",E445=""),"",E445*(1+D445/30))</f>
        <v/>
      </c>
      <c r="J445">
        <f>IF(I445="","",IF(I445&gt;=MAXIFS($I$2:$I$5001,$B$2:$B$5001,B445,$A$2:$A$5001,"&lt;="&amp;A445),"PR",""))</f>
        <v/>
      </c>
    </row>
    <row r="446">
      <c r="A446" s="7" t="n"/>
      <c r="H446" s="11">
        <f>IF(OR(D446="",E446=""),"",D446*E446)</f>
        <v/>
      </c>
      <c r="I446" s="8">
        <f>IF(OR(D446="",E446=""),"",E446*(1+D446/30))</f>
        <v/>
      </c>
      <c r="J446">
        <f>IF(I446="","",IF(I446&gt;=MAXIFS($I$2:$I$5001,$B$2:$B$5001,B446,$A$2:$A$5001,"&lt;="&amp;A446),"PR",""))</f>
        <v/>
      </c>
    </row>
    <row r="447">
      <c r="A447" s="7" t="n"/>
      <c r="H447" s="11">
        <f>IF(OR(D447="",E447=""),"",D447*E447)</f>
        <v/>
      </c>
      <c r="I447" s="8">
        <f>IF(OR(D447="",E447=""),"",E447*(1+D447/30))</f>
        <v/>
      </c>
      <c r="J447">
        <f>IF(I447="","",IF(I447&gt;=MAXIFS($I$2:$I$5001,$B$2:$B$5001,B447,$A$2:$A$5001,"&lt;="&amp;A447),"PR",""))</f>
        <v/>
      </c>
    </row>
    <row r="448">
      <c r="A448" s="7" t="n"/>
      <c r="H448" s="11">
        <f>IF(OR(D448="",E448=""),"",D448*E448)</f>
        <v/>
      </c>
      <c r="I448" s="8">
        <f>IF(OR(D448="",E448=""),"",E448*(1+D448/30))</f>
        <v/>
      </c>
      <c r="J448">
        <f>IF(I448="","",IF(I448&gt;=MAXIFS($I$2:$I$5001,$B$2:$B$5001,B448,$A$2:$A$5001,"&lt;="&amp;A448),"PR",""))</f>
        <v/>
      </c>
    </row>
    <row r="449">
      <c r="A449" s="7" t="n"/>
      <c r="H449" s="11">
        <f>IF(OR(D449="",E449=""),"",D449*E449)</f>
        <v/>
      </c>
      <c r="I449" s="8">
        <f>IF(OR(D449="",E449=""),"",E449*(1+D449/30))</f>
        <v/>
      </c>
      <c r="J449">
        <f>IF(I449="","",IF(I449&gt;=MAXIFS($I$2:$I$5001,$B$2:$B$5001,B449,$A$2:$A$5001,"&lt;="&amp;A449),"PR",""))</f>
        <v/>
      </c>
    </row>
    <row r="450">
      <c r="A450" s="7" t="n"/>
      <c r="H450" s="11">
        <f>IF(OR(D450="",E450=""),"",D450*E450)</f>
        <v/>
      </c>
      <c r="I450" s="8">
        <f>IF(OR(D450="",E450=""),"",E450*(1+D450/30))</f>
        <v/>
      </c>
      <c r="J450">
        <f>IF(I450="","",IF(I450&gt;=MAXIFS($I$2:$I$5001,$B$2:$B$5001,B450,$A$2:$A$5001,"&lt;="&amp;A450),"PR",""))</f>
        <v/>
      </c>
    </row>
    <row r="451">
      <c r="A451" s="7" t="n"/>
      <c r="H451" s="11">
        <f>IF(OR(D451="",E451=""),"",D451*E451)</f>
        <v/>
      </c>
      <c r="I451" s="8">
        <f>IF(OR(D451="",E451=""),"",E451*(1+D451/30))</f>
        <v/>
      </c>
      <c r="J451">
        <f>IF(I451="","",IF(I451&gt;=MAXIFS($I$2:$I$5001,$B$2:$B$5001,B451,$A$2:$A$5001,"&lt;="&amp;A451),"PR",""))</f>
        <v/>
      </c>
    </row>
    <row r="452">
      <c r="A452" s="7" t="n"/>
      <c r="H452" s="11">
        <f>IF(OR(D452="",E452=""),"",D452*E452)</f>
        <v/>
      </c>
      <c r="I452" s="8">
        <f>IF(OR(D452="",E452=""),"",E452*(1+D452/30))</f>
        <v/>
      </c>
      <c r="J452">
        <f>IF(I452="","",IF(I452&gt;=MAXIFS($I$2:$I$5001,$B$2:$B$5001,B452,$A$2:$A$5001,"&lt;="&amp;A452),"PR",""))</f>
        <v/>
      </c>
    </row>
    <row r="453">
      <c r="A453" s="7" t="n"/>
      <c r="H453" s="11">
        <f>IF(OR(D453="",E453=""),"",D453*E453)</f>
        <v/>
      </c>
      <c r="I453" s="8">
        <f>IF(OR(D453="",E453=""),"",E453*(1+D453/30))</f>
        <v/>
      </c>
      <c r="J453">
        <f>IF(I453="","",IF(I453&gt;=MAXIFS($I$2:$I$5001,$B$2:$B$5001,B453,$A$2:$A$5001,"&lt;="&amp;A453),"PR",""))</f>
        <v/>
      </c>
    </row>
    <row r="454">
      <c r="A454" s="7" t="n"/>
      <c r="H454" s="11">
        <f>IF(OR(D454="",E454=""),"",D454*E454)</f>
        <v/>
      </c>
      <c r="I454" s="8">
        <f>IF(OR(D454="",E454=""),"",E454*(1+D454/30))</f>
        <v/>
      </c>
      <c r="J454">
        <f>IF(I454="","",IF(I454&gt;=MAXIFS($I$2:$I$5001,$B$2:$B$5001,B454,$A$2:$A$5001,"&lt;="&amp;A454),"PR",""))</f>
        <v/>
      </c>
    </row>
    <row r="455">
      <c r="A455" s="7" t="n"/>
      <c r="H455" s="11">
        <f>IF(OR(D455="",E455=""),"",D455*E455)</f>
        <v/>
      </c>
      <c r="I455" s="8">
        <f>IF(OR(D455="",E455=""),"",E455*(1+D455/30))</f>
        <v/>
      </c>
      <c r="J455">
        <f>IF(I455="","",IF(I455&gt;=MAXIFS($I$2:$I$5001,$B$2:$B$5001,B455,$A$2:$A$5001,"&lt;="&amp;A455),"PR",""))</f>
        <v/>
      </c>
    </row>
    <row r="456">
      <c r="A456" s="7" t="n"/>
      <c r="H456" s="11">
        <f>IF(OR(D456="",E456=""),"",D456*E456)</f>
        <v/>
      </c>
      <c r="I456" s="8">
        <f>IF(OR(D456="",E456=""),"",E456*(1+D456/30))</f>
        <v/>
      </c>
      <c r="J456">
        <f>IF(I456="","",IF(I456&gt;=MAXIFS($I$2:$I$5001,$B$2:$B$5001,B456,$A$2:$A$5001,"&lt;="&amp;A456),"PR",""))</f>
        <v/>
      </c>
    </row>
    <row r="457">
      <c r="A457" s="7" t="n"/>
      <c r="H457" s="11">
        <f>IF(OR(D457="",E457=""),"",D457*E457)</f>
        <v/>
      </c>
      <c r="I457" s="8">
        <f>IF(OR(D457="",E457=""),"",E457*(1+D457/30))</f>
        <v/>
      </c>
      <c r="J457">
        <f>IF(I457="","",IF(I457&gt;=MAXIFS($I$2:$I$5001,$B$2:$B$5001,B457,$A$2:$A$5001,"&lt;="&amp;A457),"PR",""))</f>
        <v/>
      </c>
    </row>
    <row r="458">
      <c r="A458" s="7" t="n"/>
      <c r="H458" s="11">
        <f>IF(OR(D458="",E458=""),"",D458*E458)</f>
        <v/>
      </c>
      <c r="I458" s="8">
        <f>IF(OR(D458="",E458=""),"",E458*(1+D458/30))</f>
        <v/>
      </c>
      <c r="J458">
        <f>IF(I458="","",IF(I458&gt;=MAXIFS($I$2:$I$5001,$B$2:$B$5001,B458,$A$2:$A$5001,"&lt;="&amp;A458),"PR",""))</f>
        <v/>
      </c>
    </row>
    <row r="459">
      <c r="A459" s="7" t="n"/>
      <c r="H459" s="11">
        <f>IF(OR(D459="",E459=""),"",D459*E459)</f>
        <v/>
      </c>
      <c r="I459" s="8">
        <f>IF(OR(D459="",E459=""),"",E459*(1+D459/30))</f>
        <v/>
      </c>
      <c r="J459">
        <f>IF(I459="","",IF(I459&gt;=MAXIFS($I$2:$I$5001,$B$2:$B$5001,B459,$A$2:$A$5001,"&lt;="&amp;A459),"PR",""))</f>
        <v/>
      </c>
    </row>
    <row r="460">
      <c r="A460" s="7" t="n"/>
      <c r="H460" s="11">
        <f>IF(OR(D460="",E460=""),"",D460*E460)</f>
        <v/>
      </c>
      <c r="I460" s="8">
        <f>IF(OR(D460="",E460=""),"",E460*(1+D460/30))</f>
        <v/>
      </c>
      <c r="J460">
        <f>IF(I460="","",IF(I460&gt;=MAXIFS($I$2:$I$5001,$B$2:$B$5001,B460,$A$2:$A$5001,"&lt;="&amp;A460),"PR",""))</f>
        <v/>
      </c>
    </row>
    <row r="461">
      <c r="A461" s="7" t="n"/>
      <c r="H461" s="11">
        <f>IF(OR(D461="",E461=""),"",D461*E461)</f>
        <v/>
      </c>
      <c r="I461" s="8">
        <f>IF(OR(D461="",E461=""),"",E461*(1+D461/30))</f>
        <v/>
      </c>
      <c r="J461">
        <f>IF(I461="","",IF(I461&gt;=MAXIFS($I$2:$I$5001,$B$2:$B$5001,B461,$A$2:$A$5001,"&lt;="&amp;A461),"PR",""))</f>
        <v/>
      </c>
    </row>
    <row r="462">
      <c r="A462" s="7" t="n"/>
      <c r="H462" s="11">
        <f>IF(OR(D462="",E462=""),"",D462*E462)</f>
        <v/>
      </c>
      <c r="I462" s="8">
        <f>IF(OR(D462="",E462=""),"",E462*(1+D462/30))</f>
        <v/>
      </c>
      <c r="J462">
        <f>IF(I462="","",IF(I462&gt;=MAXIFS($I$2:$I$5001,$B$2:$B$5001,B462,$A$2:$A$5001,"&lt;="&amp;A462),"PR",""))</f>
        <v/>
      </c>
    </row>
    <row r="463">
      <c r="A463" s="7" t="n"/>
      <c r="H463" s="11">
        <f>IF(OR(D463="",E463=""),"",D463*E463)</f>
        <v/>
      </c>
      <c r="I463" s="8">
        <f>IF(OR(D463="",E463=""),"",E463*(1+D463/30))</f>
        <v/>
      </c>
      <c r="J463">
        <f>IF(I463="","",IF(I463&gt;=MAXIFS($I$2:$I$5001,$B$2:$B$5001,B463,$A$2:$A$5001,"&lt;="&amp;A463),"PR",""))</f>
        <v/>
      </c>
    </row>
    <row r="464">
      <c r="A464" s="7" t="n"/>
      <c r="H464" s="11">
        <f>IF(OR(D464="",E464=""),"",D464*E464)</f>
        <v/>
      </c>
      <c r="I464" s="8">
        <f>IF(OR(D464="",E464=""),"",E464*(1+D464/30))</f>
        <v/>
      </c>
      <c r="J464">
        <f>IF(I464="","",IF(I464&gt;=MAXIFS($I$2:$I$5001,$B$2:$B$5001,B464,$A$2:$A$5001,"&lt;="&amp;A464),"PR",""))</f>
        <v/>
      </c>
    </row>
    <row r="465">
      <c r="A465" s="7" t="n"/>
      <c r="H465" s="11">
        <f>IF(OR(D465="",E465=""),"",D465*E465)</f>
        <v/>
      </c>
      <c r="I465" s="8">
        <f>IF(OR(D465="",E465=""),"",E465*(1+D465/30))</f>
        <v/>
      </c>
      <c r="J465">
        <f>IF(I465="","",IF(I465&gt;=MAXIFS($I$2:$I$5001,$B$2:$B$5001,B465,$A$2:$A$5001,"&lt;="&amp;A465),"PR",""))</f>
        <v/>
      </c>
    </row>
    <row r="466">
      <c r="A466" s="7" t="n"/>
      <c r="H466" s="11">
        <f>IF(OR(D466="",E466=""),"",D466*E466)</f>
        <v/>
      </c>
      <c r="I466" s="8">
        <f>IF(OR(D466="",E466=""),"",E466*(1+D466/30))</f>
        <v/>
      </c>
      <c r="J466">
        <f>IF(I466="","",IF(I466&gt;=MAXIFS($I$2:$I$5001,$B$2:$B$5001,B466,$A$2:$A$5001,"&lt;="&amp;A466),"PR",""))</f>
        <v/>
      </c>
    </row>
    <row r="467">
      <c r="A467" s="7" t="n"/>
      <c r="H467" s="11">
        <f>IF(OR(D467="",E467=""),"",D467*E467)</f>
        <v/>
      </c>
      <c r="I467" s="8">
        <f>IF(OR(D467="",E467=""),"",E467*(1+D467/30))</f>
        <v/>
      </c>
      <c r="J467">
        <f>IF(I467="","",IF(I467&gt;=MAXIFS($I$2:$I$5001,$B$2:$B$5001,B467,$A$2:$A$5001,"&lt;="&amp;A467),"PR",""))</f>
        <v/>
      </c>
    </row>
    <row r="468">
      <c r="A468" s="7" t="n"/>
      <c r="H468" s="11">
        <f>IF(OR(D468="",E468=""),"",D468*E468)</f>
        <v/>
      </c>
      <c r="I468" s="8">
        <f>IF(OR(D468="",E468=""),"",E468*(1+D468/30))</f>
        <v/>
      </c>
      <c r="J468">
        <f>IF(I468="","",IF(I468&gt;=MAXIFS($I$2:$I$5001,$B$2:$B$5001,B468,$A$2:$A$5001,"&lt;="&amp;A468),"PR",""))</f>
        <v/>
      </c>
    </row>
    <row r="469">
      <c r="A469" s="7" t="n"/>
      <c r="H469" s="11">
        <f>IF(OR(D469="",E469=""),"",D469*E469)</f>
        <v/>
      </c>
      <c r="I469" s="8">
        <f>IF(OR(D469="",E469=""),"",E469*(1+D469/30))</f>
        <v/>
      </c>
      <c r="J469">
        <f>IF(I469="","",IF(I469&gt;=MAXIFS($I$2:$I$5001,$B$2:$B$5001,B469,$A$2:$A$5001,"&lt;="&amp;A469),"PR",""))</f>
        <v/>
      </c>
    </row>
    <row r="470">
      <c r="A470" s="7" t="n"/>
      <c r="H470" s="11">
        <f>IF(OR(D470="",E470=""),"",D470*E470)</f>
        <v/>
      </c>
      <c r="I470" s="8">
        <f>IF(OR(D470="",E470=""),"",E470*(1+D470/30))</f>
        <v/>
      </c>
      <c r="J470">
        <f>IF(I470="","",IF(I470&gt;=MAXIFS($I$2:$I$5001,$B$2:$B$5001,B470,$A$2:$A$5001,"&lt;="&amp;A470),"PR",""))</f>
        <v/>
      </c>
    </row>
    <row r="471">
      <c r="A471" s="7" t="n"/>
      <c r="H471" s="11">
        <f>IF(OR(D471="",E471=""),"",D471*E471)</f>
        <v/>
      </c>
      <c r="I471" s="8">
        <f>IF(OR(D471="",E471=""),"",E471*(1+D471/30))</f>
        <v/>
      </c>
      <c r="J471">
        <f>IF(I471="","",IF(I471&gt;=MAXIFS($I$2:$I$5001,$B$2:$B$5001,B471,$A$2:$A$5001,"&lt;="&amp;A471),"PR",""))</f>
        <v/>
      </c>
    </row>
    <row r="472">
      <c r="A472" s="7" t="n"/>
      <c r="H472" s="11">
        <f>IF(OR(D472="",E472=""),"",D472*E472)</f>
        <v/>
      </c>
      <c r="I472" s="8">
        <f>IF(OR(D472="",E472=""),"",E472*(1+D472/30))</f>
        <v/>
      </c>
      <c r="J472">
        <f>IF(I472="","",IF(I472&gt;=MAXIFS($I$2:$I$5001,$B$2:$B$5001,B472,$A$2:$A$5001,"&lt;="&amp;A472),"PR",""))</f>
        <v/>
      </c>
    </row>
    <row r="473">
      <c r="A473" s="7" t="n"/>
      <c r="H473" s="11">
        <f>IF(OR(D473="",E473=""),"",D473*E473)</f>
        <v/>
      </c>
      <c r="I473" s="8">
        <f>IF(OR(D473="",E473=""),"",E473*(1+D473/30))</f>
        <v/>
      </c>
      <c r="J473">
        <f>IF(I473="","",IF(I473&gt;=MAXIFS($I$2:$I$5001,$B$2:$B$5001,B473,$A$2:$A$5001,"&lt;="&amp;A473),"PR",""))</f>
        <v/>
      </c>
    </row>
    <row r="474">
      <c r="A474" s="7" t="n"/>
      <c r="H474" s="11">
        <f>IF(OR(D474="",E474=""),"",D474*E474)</f>
        <v/>
      </c>
      <c r="I474" s="8">
        <f>IF(OR(D474="",E474=""),"",E474*(1+D474/30))</f>
        <v/>
      </c>
      <c r="J474">
        <f>IF(I474="","",IF(I474&gt;=MAXIFS($I$2:$I$5001,$B$2:$B$5001,B474,$A$2:$A$5001,"&lt;="&amp;A474),"PR",""))</f>
        <v/>
      </c>
    </row>
    <row r="475">
      <c r="A475" s="7" t="n"/>
      <c r="H475" s="11">
        <f>IF(OR(D475="",E475=""),"",D475*E475)</f>
        <v/>
      </c>
      <c r="I475" s="8">
        <f>IF(OR(D475="",E475=""),"",E475*(1+D475/30))</f>
        <v/>
      </c>
      <c r="J475">
        <f>IF(I475="","",IF(I475&gt;=MAXIFS($I$2:$I$5001,$B$2:$B$5001,B475,$A$2:$A$5001,"&lt;="&amp;A475),"PR",""))</f>
        <v/>
      </c>
    </row>
    <row r="476">
      <c r="A476" s="7" t="n"/>
      <c r="H476" s="11">
        <f>IF(OR(D476="",E476=""),"",D476*E476)</f>
        <v/>
      </c>
      <c r="I476" s="8">
        <f>IF(OR(D476="",E476=""),"",E476*(1+D476/30))</f>
        <v/>
      </c>
      <c r="J476">
        <f>IF(I476="","",IF(I476&gt;=MAXIFS($I$2:$I$5001,$B$2:$B$5001,B476,$A$2:$A$5001,"&lt;="&amp;A476),"PR",""))</f>
        <v/>
      </c>
    </row>
    <row r="477">
      <c r="A477" s="7" t="n"/>
      <c r="H477" s="11">
        <f>IF(OR(D477="",E477=""),"",D477*E477)</f>
        <v/>
      </c>
      <c r="I477" s="8">
        <f>IF(OR(D477="",E477=""),"",E477*(1+D477/30))</f>
        <v/>
      </c>
      <c r="J477">
        <f>IF(I477="","",IF(I477&gt;=MAXIFS($I$2:$I$5001,$B$2:$B$5001,B477,$A$2:$A$5001,"&lt;="&amp;A477),"PR",""))</f>
        <v/>
      </c>
    </row>
    <row r="478">
      <c r="A478" s="7" t="n"/>
      <c r="H478" s="11">
        <f>IF(OR(D478="",E478=""),"",D478*E478)</f>
        <v/>
      </c>
      <c r="I478" s="8">
        <f>IF(OR(D478="",E478=""),"",E478*(1+D478/30))</f>
        <v/>
      </c>
      <c r="J478">
        <f>IF(I478="","",IF(I478&gt;=MAXIFS($I$2:$I$5001,$B$2:$B$5001,B478,$A$2:$A$5001,"&lt;="&amp;A478),"PR",""))</f>
        <v/>
      </c>
    </row>
    <row r="479">
      <c r="A479" s="7" t="n"/>
      <c r="H479" s="11">
        <f>IF(OR(D479="",E479=""),"",D479*E479)</f>
        <v/>
      </c>
      <c r="I479" s="8">
        <f>IF(OR(D479="",E479=""),"",E479*(1+D479/30))</f>
        <v/>
      </c>
      <c r="J479">
        <f>IF(I479="","",IF(I479&gt;=MAXIFS($I$2:$I$5001,$B$2:$B$5001,B479,$A$2:$A$5001,"&lt;="&amp;A479),"PR",""))</f>
        <v/>
      </c>
    </row>
    <row r="480">
      <c r="A480" s="7" t="n"/>
      <c r="H480" s="11">
        <f>IF(OR(D480="",E480=""),"",D480*E480)</f>
        <v/>
      </c>
      <c r="I480" s="8">
        <f>IF(OR(D480="",E480=""),"",E480*(1+D480/30))</f>
        <v/>
      </c>
      <c r="J480">
        <f>IF(I480="","",IF(I480&gt;=MAXIFS($I$2:$I$5001,$B$2:$B$5001,B480,$A$2:$A$5001,"&lt;="&amp;A480),"PR",""))</f>
        <v/>
      </c>
    </row>
    <row r="481">
      <c r="A481" s="7" t="n"/>
      <c r="H481" s="11">
        <f>IF(OR(D481="",E481=""),"",D481*E481)</f>
        <v/>
      </c>
      <c r="I481" s="8">
        <f>IF(OR(D481="",E481=""),"",E481*(1+D481/30))</f>
        <v/>
      </c>
      <c r="J481">
        <f>IF(I481="","",IF(I481&gt;=MAXIFS($I$2:$I$5001,$B$2:$B$5001,B481,$A$2:$A$5001,"&lt;="&amp;A481),"PR",""))</f>
        <v/>
      </c>
    </row>
    <row r="482">
      <c r="A482" s="7" t="n"/>
      <c r="H482" s="11">
        <f>IF(OR(D482="",E482=""),"",D482*E482)</f>
        <v/>
      </c>
      <c r="I482" s="8">
        <f>IF(OR(D482="",E482=""),"",E482*(1+D482/30))</f>
        <v/>
      </c>
      <c r="J482">
        <f>IF(I482="","",IF(I482&gt;=MAXIFS($I$2:$I$5001,$B$2:$B$5001,B482,$A$2:$A$5001,"&lt;="&amp;A482),"PR",""))</f>
        <v/>
      </c>
    </row>
    <row r="483">
      <c r="A483" s="7" t="n"/>
      <c r="H483" s="11">
        <f>IF(OR(D483="",E483=""),"",D483*E483)</f>
        <v/>
      </c>
      <c r="I483" s="8">
        <f>IF(OR(D483="",E483=""),"",E483*(1+D483/30))</f>
        <v/>
      </c>
      <c r="J483">
        <f>IF(I483="","",IF(I483&gt;=MAXIFS($I$2:$I$5001,$B$2:$B$5001,B483,$A$2:$A$5001,"&lt;="&amp;A483),"PR",""))</f>
        <v/>
      </c>
    </row>
    <row r="484">
      <c r="A484" s="7" t="n"/>
      <c r="H484" s="11">
        <f>IF(OR(D484="",E484=""),"",D484*E484)</f>
        <v/>
      </c>
      <c r="I484" s="8">
        <f>IF(OR(D484="",E484=""),"",E484*(1+D484/30))</f>
        <v/>
      </c>
      <c r="J484">
        <f>IF(I484="","",IF(I484&gt;=MAXIFS($I$2:$I$5001,$B$2:$B$5001,B484,$A$2:$A$5001,"&lt;="&amp;A484),"PR",""))</f>
        <v/>
      </c>
    </row>
    <row r="485">
      <c r="A485" s="7" t="n"/>
      <c r="H485" s="11">
        <f>IF(OR(D485="",E485=""),"",D485*E485)</f>
        <v/>
      </c>
      <c r="I485" s="8">
        <f>IF(OR(D485="",E485=""),"",E485*(1+D485/30))</f>
        <v/>
      </c>
      <c r="J485">
        <f>IF(I485="","",IF(I485&gt;=MAXIFS($I$2:$I$5001,$B$2:$B$5001,B485,$A$2:$A$5001,"&lt;="&amp;A485),"PR",""))</f>
        <v/>
      </c>
    </row>
    <row r="486">
      <c r="A486" s="7" t="n"/>
      <c r="H486" s="11">
        <f>IF(OR(D486="",E486=""),"",D486*E486)</f>
        <v/>
      </c>
      <c r="I486" s="8">
        <f>IF(OR(D486="",E486=""),"",E486*(1+D486/30))</f>
        <v/>
      </c>
      <c r="J486">
        <f>IF(I486="","",IF(I486&gt;=MAXIFS($I$2:$I$5001,$B$2:$B$5001,B486,$A$2:$A$5001,"&lt;="&amp;A486),"PR",""))</f>
        <v/>
      </c>
    </row>
    <row r="487">
      <c r="A487" s="7" t="n"/>
      <c r="H487" s="11">
        <f>IF(OR(D487="",E487=""),"",D487*E487)</f>
        <v/>
      </c>
      <c r="I487" s="8">
        <f>IF(OR(D487="",E487=""),"",E487*(1+D487/30))</f>
        <v/>
      </c>
      <c r="J487">
        <f>IF(I487="","",IF(I487&gt;=MAXIFS($I$2:$I$5001,$B$2:$B$5001,B487,$A$2:$A$5001,"&lt;="&amp;A487),"PR",""))</f>
        <v/>
      </c>
    </row>
    <row r="488">
      <c r="A488" s="7" t="n"/>
      <c r="H488" s="11">
        <f>IF(OR(D488="",E488=""),"",D488*E488)</f>
        <v/>
      </c>
      <c r="I488" s="8">
        <f>IF(OR(D488="",E488=""),"",E488*(1+D488/30))</f>
        <v/>
      </c>
      <c r="J488">
        <f>IF(I488="","",IF(I488&gt;=MAXIFS($I$2:$I$5001,$B$2:$B$5001,B488,$A$2:$A$5001,"&lt;="&amp;A488),"PR",""))</f>
        <v/>
      </c>
    </row>
    <row r="489">
      <c r="A489" s="7" t="n"/>
      <c r="H489" s="11">
        <f>IF(OR(D489="",E489=""),"",D489*E489)</f>
        <v/>
      </c>
      <c r="I489" s="8">
        <f>IF(OR(D489="",E489=""),"",E489*(1+D489/30))</f>
        <v/>
      </c>
      <c r="J489">
        <f>IF(I489="","",IF(I489&gt;=MAXIFS($I$2:$I$5001,$B$2:$B$5001,B489,$A$2:$A$5001,"&lt;="&amp;A489),"PR",""))</f>
        <v/>
      </c>
    </row>
    <row r="490">
      <c r="A490" s="7" t="n"/>
      <c r="H490" s="11">
        <f>IF(OR(D490="",E490=""),"",D490*E490)</f>
        <v/>
      </c>
      <c r="I490" s="8">
        <f>IF(OR(D490="",E490=""),"",E490*(1+D490/30))</f>
        <v/>
      </c>
      <c r="J490">
        <f>IF(I490="","",IF(I490&gt;=MAXIFS($I$2:$I$5001,$B$2:$B$5001,B490,$A$2:$A$5001,"&lt;="&amp;A490),"PR",""))</f>
        <v/>
      </c>
    </row>
    <row r="491">
      <c r="A491" s="7" t="n"/>
      <c r="H491" s="11">
        <f>IF(OR(D491="",E491=""),"",D491*E491)</f>
        <v/>
      </c>
      <c r="I491" s="8">
        <f>IF(OR(D491="",E491=""),"",E491*(1+D491/30))</f>
        <v/>
      </c>
      <c r="J491">
        <f>IF(I491="","",IF(I491&gt;=MAXIFS($I$2:$I$5001,$B$2:$B$5001,B491,$A$2:$A$5001,"&lt;="&amp;A491),"PR",""))</f>
        <v/>
      </c>
    </row>
    <row r="492">
      <c r="A492" s="7" t="n"/>
      <c r="H492" s="11">
        <f>IF(OR(D492="",E492=""),"",D492*E492)</f>
        <v/>
      </c>
      <c r="I492" s="8">
        <f>IF(OR(D492="",E492=""),"",E492*(1+D492/30))</f>
        <v/>
      </c>
      <c r="J492">
        <f>IF(I492="","",IF(I492&gt;=MAXIFS($I$2:$I$5001,$B$2:$B$5001,B492,$A$2:$A$5001,"&lt;="&amp;A492),"PR",""))</f>
        <v/>
      </c>
    </row>
    <row r="493">
      <c r="A493" s="7" t="n"/>
      <c r="H493" s="11">
        <f>IF(OR(D493="",E493=""),"",D493*E493)</f>
        <v/>
      </c>
      <c r="I493" s="8">
        <f>IF(OR(D493="",E493=""),"",E493*(1+D493/30))</f>
        <v/>
      </c>
      <c r="J493">
        <f>IF(I493="","",IF(I493&gt;=MAXIFS($I$2:$I$5001,$B$2:$B$5001,B493,$A$2:$A$5001,"&lt;="&amp;A493),"PR",""))</f>
        <v/>
      </c>
    </row>
    <row r="494">
      <c r="A494" s="7" t="n"/>
      <c r="H494" s="11">
        <f>IF(OR(D494="",E494=""),"",D494*E494)</f>
        <v/>
      </c>
      <c r="I494" s="8">
        <f>IF(OR(D494="",E494=""),"",E494*(1+D494/30))</f>
        <v/>
      </c>
      <c r="J494">
        <f>IF(I494="","",IF(I494&gt;=MAXIFS($I$2:$I$5001,$B$2:$B$5001,B494,$A$2:$A$5001,"&lt;="&amp;A494),"PR",""))</f>
        <v/>
      </c>
    </row>
    <row r="495">
      <c r="A495" s="7" t="n"/>
      <c r="H495" s="11">
        <f>IF(OR(D495="",E495=""),"",D495*E495)</f>
        <v/>
      </c>
      <c r="I495" s="8">
        <f>IF(OR(D495="",E495=""),"",E495*(1+D495/30))</f>
        <v/>
      </c>
      <c r="J495">
        <f>IF(I495="","",IF(I495&gt;=MAXIFS($I$2:$I$5001,$B$2:$B$5001,B495,$A$2:$A$5001,"&lt;="&amp;A495),"PR",""))</f>
        <v/>
      </c>
    </row>
    <row r="496">
      <c r="A496" s="7" t="n"/>
      <c r="H496" s="11">
        <f>IF(OR(D496="",E496=""),"",D496*E496)</f>
        <v/>
      </c>
      <c r="I496" s="8">
        <f>IF(OR(D496="",E496=""),"",E496*(1+D496/30))</f>
        <v/>
      </c>
      <c r="J496">
        <f>IF(I496="","",IF(I496&gt;=MAXIFS($I$2:$I$5001,$B$2:$B$5001,B496,$A$2:$A$5001,"&lt;="&amp;A496),"PR",""))</f>
        <v/>
      </c>
    </row>
    <row r="497">
      <c r="A497" s="7" t="n"/>
      <c r="H497" s="11">
        <f>IF(OR(D497="",E497=""),"",D497*E497)</f>
        <v/>
      </c>
      <c r="I497" s="8">
        <f>IF(OR(D497="",E497=""),"",E497*(1+D497/30))</f>
        <v/>
      </c>
      <c r="J497">
        <f>IF(I497="","",IF(I497&gt;=MAXIFS($I$2:$I$5001,$B$2:$B$5001,B497,$A$2:$A$5001,"&lt;="&amp;A497),"PR",""))</f>
        <v/>
      </c>
    </row>
    <row r="498">
      <c r="A498" s="7" t="n"/>
      <c r="H498" s="11">
        <f>IF(OR(D498="",E498=""),"",D498*E498)</f>
        <v/>
      </c>
      <c r="I498" s="8">
        <f>IF(OR(D498="",E498=""),"",E498*(1+D498/30))</f>
        <v/>
      </c>
      <c r="J498">
        <f>IF(I498="","",IF(I498&gt;=MAXIFS($I$2:$I$5001,$B$2:$B$5001,B498,$A$2:$A$5001,"&lt;="&amp;A498),"PR",""))</f>
        <v/>
      </c>
    </row>
    <row r="499">
      <c r="A499" s="7" t="n"/>
      <c r="H499" s="11">
        <f>IF(OR(D499="",E499=""),"",D499*E499)</f>
        <v/>
      </c>
      <c r="I499" s="8">
        <f>IF(OR(D499="",E499=""),"",E499*(1+D499/30))</f>
        <v/>
      </c>
      <c r="J499">
        <f>IF(I499="","",IF(I499&gt;=MAXIFS($I$2:$I$5001,$B$2:$B$5001,B499,$A$2:$A$5001,"&lt;="&amp;A499),"PR",""))</f>
        <v/>
      </c>
    </row>
    <row r="500">
      <c r="A500" s="7" t="n"/>
      <c r="H500" s="11">
        <f>IF(OR(D500="",E500=""),"",D500*E500)</f>
        <v/>
      </c>
      <c r="I500" s="8">
        <f>IF(OR(D500="",E500=""),"",E500*(1+D500/30))</f>
        <v/>
      </c>
      <c r="J500">
        <f>IF(I500="","",IF(I500&gt;=MAXIFS($I$2:$I$5001,$B$2:$B$5001,B500,$A$2:$A$5001,"&lt;="&amp;A500),"PR",""))</f>
        <v/>
      </c>
    </row>
    <row r="501">
      <c r="A501" s="7" t="n"/>
      <c r="H501" s="11">
        <f>IF(OR(D501="",E501=""),"",D501*E501)</f>
        <v/>
      </c>
      <c r="I501" s="8">
        <f>IF(OR(D501="",E501=""),"",E501*(1+D501/30))</f>
        <v/>
      </c>
      <c r="J501">
        <f>IF(I501="","",IF(I501&gt;=MAXIFS($I$2:$I$5001,$B$2:$B$5001,B501,$A$2:$A$5001,"&lt;="&amp;A501),"PR",""))</f>
        <v/>
      </c>
    </row>
    <row r="502">
      <c r="A502" s="7" t="n"/>
      <c r="H502" s="11">
        <f>IF(OR(D502="",E502=""),"",D502*E502)</f>
        <v/>
      </c>
      <c r="I502" s="8">
        <f>IF(OR(D502="",E502=""),"",E502*(1+D502/30))</f>
        <v/>
      </c>
      <c r="J502">
        <f>IF(I502="","",IF(I502&gt;=MAXIFS($I$2:$I$5001,$B$2:$B$5001,B502,$A$2:$A$5001,"&lt;="&amp;A502),"PR",""))</f>
        <v/>
      </c>
    </row>
    <row r="503">
      <c r="A503" s="7" t="n"/>
      <c r="H503" s="11">
        <f>IF(OR(D503="",E503=""),"",D503*E503)</f>
        <v/>
      </c>
      <c r="I503" s="8">
        <f>IF(OR(D503="",E503=""),"",E503*(1+D503/30))</f>
        <v/>
      </c>
      <c r="J503">
        <f>IF(I503="","",IF(I503&gt;=MAXIFS($I$2:$I$5001,$B$2:$B$5001,B503,$A$2:$A$5001,"&lt;="&amp;A503),"PR",""))</f>
        <v/>
      </c>
    </row>
    <row r="504">
      <c r="A504" s="7" t="n"/>
      <c r="H504" s="11">
        <f>IF(OR(D504="",E504=""),"",D504*E504)</f>
        <v/>
      </c>
      <c r="I504" s="8">
        <f>IF(OR(D504="",E504=""),"",E504*(1+D504/30))</f>
        <v/>
      </c>
      <c r="J504">
        <f>IF(I504="","",IF(I504&gt;=MAXIFS($I$2:$I$5001,$B$2:$B$5001,B504,$A$2:$A$5001,"&lt;="&amp;A504),"PR",""))</f>
        <v/>
      </c>
    </row>
    <row r="505">
      <c r="A505" s="7" t="n"/>
      <c r="H505" s="11">
        <f>IF(OR(D505="",E505=""),"",D505*E505)</f>
        <v/>
      </c>
      <c r="I505" s="8">
        <f>IF(OR(D505="",E505=""),"",E505*(1+D505/30))</f>
        <v/>
      </c>
      <c r="J505">
        <f>IF(I505="","",IF(I505&gt;=MAXIFS($I$2:$I$5001,$B$2:$B$5001,B505,$A$2:$A$5001,"&lt;="&amp;A505),"PR",""))</f>
        <v/>
      </c>
    </row>
    <row r="506">
      <c r="A506" s="7" t="n"/>
      <c r="H506" s="11">
        <f>IF(OR(D506="",E506=""),"",D506*E506)</f>
        <v/>
      </c>
      <c r="I506" s="8">
        <f>IF(OR(D506="",E506=""),"",E506*(1+D506/30))</f>
        <v/>
      </c>
      <c r="J506">
        <f>IF(I506="","",IF(I506&gt;=MAXIFS($I$2:$I$5001,$B$2:$B$5001,B506,$A$2:$A$5001,"&lt;="&amp;A506),"PR",""))</f>
        <v/>
      </c>
    </row>
    <row r="507">
      <c r="A507" s="7" t="n"/>
      <c r="H507" s="11">
        <f>IF(OR(D507="",E507=""),"",D507*E507)</f>
        <v/>
      </c>
      <c r="I507" s="8">
        <f>IF(OR(D507="",E507=""),"",E507*(1+D507/30))</f>
        <v/>
      </c>
      <c r="J507">
        <f>IF(I507="","",IF(I507&gt;=MAXIFS($I$2:$I$5001,$B$2:$B$5001,B507,$A$2:$A$5001,"&lt;="&amp;A507),"PR",""))</f>
        <v/>
      </c>
    </row>
    <row r="508">
      <c r="A508" s="7" t="n"/>
      <c r="H508" s="11">
        <f>IF(OR(D508="",E508=""),"",D508*E508)</f>
        <v/>
      </c>
      <c r="I508" s="8">
        <f>IF(OR(D508="",E508=""),"",E508*(1+D508/30))</f>
        <v/>
      </c>
      <c r="J508">
        <f>IF(I508="","",IF(I508&gt;=MAXIFS($I$2:$I$5001,$B$2:$B$5001,B508,$A$2:$A$5001,"&lt;="&amp;A508),"PR",""))</f>
        <v/>
      </c>
    </row>
    <row r="509">
      <c r="A509" s="7" t="n"/>
      <c r="H509" s="11">
        <f>IF(OR(D509="",E509=""),"",D509*E509)</f>
        <v/>
      </c>
      <c r="I509" s="8">
        <f>IF(OR(D509="",E509=""),"",E509*(1+D509/30))</f>
        <v/>
      </c>
      <c r="J509">
        <f>IF(I509="","",IF(I509&gt;=MAXIFS($I$2:$I$5001,$B$2:$B$5001,B509,$A$2:$A$5001,"&lt;="&amp;A509),"PR",""))</f>
        <v/>
      </c>
    </row>
    <row r="510">
      <c r="A510" s="7" t="n"/>
      <c r="H510" s="11">
        <f>IF(OR(D510="",E510=""),"",D510*E510)</f>
        <v/>
      </c>
      <c r="I510" s="8">
        <f>IF(OR(D510="",E510=""),"",E510*(1+D510/30))</f>
        <v/>
      </c>
      <c r="J510">
        <f>IF(I510="","",IF(I510&gt;=MAXIFS($I$2:$I$5001,$B$2:$B$5001,B510,$A$2:$A$5001,"&lt;="&amp;A510),"PR",""))</f>
        <v/>
      </c>
    </row>
    <row r="511">
      <c r="A511" s="7" t="n"/>
      <c r="H511" s="11">
        <f>IF(OR(D511="",E511=""),"",D511*E511)</f>
        <v/>
      </c>
      <c r="I511" s="8">
        <f>IF(OR(D511="",E511=""),"",E511*(1+D511/30))</f>
        <v/>
      </c>
      <c r="J511">
        <f>IF(I511="","",IF(I511&gt;=MAXIFS($I$2:$I$5001,$B$2:$B$5001,B511,$A$2:$A$5001,"&lt;="&amp;A511),"PR",""))</f>
        <v/>
      </c>
    </row>
    <row r="512">
      <c r="A512" s="7" t="n"/>
      <c r="H512" s="11">
        <f>IF(OR(D512="",E512=""),"",D512*E512)</f>
        <v/>
      </c>
      <c r="I512" s="8">
        <f>IF(OR(D512="",E512=""),"",E512*(1+D512/30))</f>
        <v/>
      </c>
      <c r="J512">
        <f>IF(I512="","",IF(I512&gt;=MAXIFS($I$2:$I$5001,$B$2:$B$5001,B512,$A$2:$A$5001,"&lt;="&amp;A512),"PR",""))</f>
        <v/>
      </c>
    </row>
    <row r="513">
      <c r="A513" s="7" t="n"/>
      <c r="H513" s="11">
        <f>IF(OR(D513="",E513=""),"",D513*E513)</f>
        <v/>
      </c>
      <c r="I513" s="8">
        <f>IF(OR(D513="",E513=""),"",E513*(1+D513/30))</f>
        <v/>
      </c>
      <c r="J513">
        <f>IF(I513="","",IF(I513&gt;=MAXIFS($I$2:$I$5001,$B$2:$B$5001,B513,$A$2:$A$5001,"&lt;="&amp;A513),"PR",""))</f>
        <v/>
      </c>
    </row>
    <row r="514">
      <c r="A514" s="7" t="n"/>
      <c r="H514" s="11">
        <f>IF(OR(D514="",E514=""),"",D514*E514)</f>
        <v/>
      </c>
      <c r="I514" s="8">
        <f>IF(OR(D514="",E514=""),"",E514*(1+D514/30))</f>
        <v/>
      </c>
      <c r="J514">
        <f>IF(I514="","",IF(I514&gt;=MAXIFS($I$2:$I$5001,$B$2:$B$5001,B514,$A$2:$A$5001,"&lt;="&amp;A514),"PR",""))</f>
        <v/>
      </c>
    </row>
    <row r="515">
      <c r="A515" s="7" t="n"/>
      <c r="H515" s="11">
        <f>IF(OR(D515="",E515=""),"",D515*E515)</f>
        <v/>
      </c>
      <c r="I515" s="8">
        <f>IF(OR(D515="",E515=""),"",E515*(1+D515/30))</f>
        <v/>
      </c>
      <c r="J515">
        <f>IF(I515="","",IF(I515&gt;=MAXIFS($I$2:$I$5001,$B$2:$B$5001,B515,$A$2:$A$5001,"&lt;="&amp;A515),"PR",""))</f>
        <v/>
      </c>
    </row>
    <row r="516">
      <c r="A516" s="7" t="n"/>
      <c r="H516" s="11">
        <f>IF(OR(D516="",E516=""),"",D516*E516)</f>
        <v/>
      </c>
      <c r="I516" s="8">
        <f>IF(OR(D516="",E516=""),"",E516*(1+D516/30))</f>
        <v/>
      </c>
      <c r="J516">
        <f>IF(I516="","",IF(I516&gt;=MAXIFS($I$2:$I$5001,$B$2:$B$5001,B516,$A$2:$A$5001,"&lt;="&amp;A516),"PR",""))</f>
        <v/>
      </c>
    </row>
    <row r="517">
      <c r="A517" s="7" t="n"/>
      <c r="H517" s="11">
        <f>IF(OR(D517="",E517=""),"",D517*E517)</f>
        <v/>
      </c>
      <c r="I517" s="8">
        <f>IF(OR(D517="",E517=""),"",E517*(1+D517/30))</f>
        <v/>
      </c>
      <c r="J517">
        <f>IF(I517="","",IF(I517&gt;=MAXIFS($I$2:$I$5001,$B$2:$B$5001,B517,$A$2:$A$5001,"&lt;="&amp;A517),"PR",""))</f>
        <v/>
      </c>
    </row>
    <row r="518">
      <c r="A518" s="7" t="n"/>
      <c r="H518" s="11">
        <f>IF(OR(D518="",E518=""),"",D518*E518)</f>
        <v/>
      </c>
      <c r="I518" s="8">
        <f>IF(OR(D518="",E518=""),"",E518*(1+D518/30))</f>
        <v/>
      </c>
      <c r="J518">
        <f>IF(I518="","",IF(I518&gt;=MAXIFS($I$2:$I$5001,$B$2:$B$5001,B518,$A$2:$A$5001,"&lt;="&amp;A518),"PR",""))</f>
        <v/>
      </c>
    </row>
    <row r="519">
      <c r="A519" s="7" t="n"/>
      <c r="H519" s="11">
        <f>IF(OR(D519="",E519=""),"",D519*E519)</f>
        <v/>
      </c>
      <c r="I519" s="8">
        <f>IF(OR(D519="",E519=""),"",E519*(1+D519/30))</f>
        <v/>
      </c>
      <c r="J519">
        <f>IF(I519="","",IF(I519&gt;=MAXIFS($I$2:$I$5001,$B$2:$B$5001,B519,$A$2:$A$5001,"&lt;="&amp;A519),"PR",""))</f>
        <v/>
      </c>
    </row>
    <row r="520">
      <c r="A520" s="7" t="n"/>
      <c r="H520" s="11">
        <f>IF(OR(D520="",E520=""),"",D520*E520)</f>
        <v/>
      </c>
      <c r="I520" s="8">
        <f>IF(OR(D520="",E520=""),"",E520*(1+D520/30))</f>
        <v/>
      </c>
      <c r="J520">
        <f>IF(I520="","",IF(I520&gt;=MAXIFS($I$2:$I$5001,$B$2:$B$5001,B520,$A$2:$A$5001,"&lt;="&amp;A520),"PR",""))</f>
        <v/>
      </c>
    </row>
    <row r="521">
      <c r="A521" s="7" t="n"/>
      <c r="H521" s="11">
        <f>IF(OR(D521="",E521=""),"",D521*E521)</f>
        <v/>
      </c>
      <c r="I521" s="8">
        <f>IF(OR(D521="",E521=""),"",E521*(1+D521/30))</f>
        <v/>
      </c>
      <c r="J521">
        <f>IF(I521="","",IF(I521&gt;=MAXIFS($I$2:$I$5001,$B$2:$B$5001,B521,$A$2:$A$5001,"&lt;="&amp;A521),"PR",""))</f>
        <v/>
      </c>
    </row>
    <row r="522">
      <c r="A522" s="7" t="n"/>
      <c r="H522" s="11">
        <f>IF(OR(D522="",E522=""),"",D522*E522)</f>
        <v/>
      </c>
      <c r="I522" s="8">
        <f>IF(OR(D522="",E522=""),"",E522*(1+D522/30))</f>
        <v/>
      </c>
      <c r="J522">
        <f>IF(I522="","",IF(I522&gt;=MAXIFS($I$2:$I$5001,$B$2:$B$5001,B522,$A$2:$A$5001,"&lt;="&amp;A522),"PR",""))</f>
        <v/>
      </c>
    </row>
    <row r="523">
      <c r="A523" s="7" t="n"/>
      <c r="H523" s="11">
        <f>IF(OR(D523="",E523=""),"",D523*E523)</f>
        <v/>
      </c>
      <c r="I523" s="8">
        <f>IF(OR(D523="",E523=""),"",E523*(1+D523/30))</f>
        <v/>
      </c>
      <c r="J523">
        <f>IF(I523="","",IF(I523&gt;=MAXIFS($I$2:$I$5001,$B$2:$B$5001,B523,$A$2:$A$5001,"&lt;="&amp;A523),"PR",""))</f>
        <v/>
      </c>
    </row>
    <row r="524">
      <c r="A524" s="7" t="n"/>
      <c r="H524" s="11">
        <f>IF(OR(D524="",E524=""),"",D524*E524)</f>
        <v/>
      </c>
      <c r="I524" s="8">
        <f>IF(OR(D524="",E524=""),"",E524*(1+D524/30))</f>
        <v/>
      </c>
      <c r="J524">
        <f>IF(I524="","",IF(I524&gt;=MAXIFS($I$2:$I$5001,$B$2:$B$5001,B524,$A$2:$A$5001,"&lt;="&amp;A524),"PR",""))</f>
        <v/>
      </c>
    </row>
    <row r="525">
      <c r="A525" s="7" t="n"/>
      <c r="H525" s="11">
        <f>IF(OR(D525="",E525=""),"",D525*E525)</f>
        <v/>
      </c>
      <c r="I525" s="8">
        <f>IF(OR(D525="",E525=""),"",E525*(1+D525/30))</f>
        <v/>
      </c>
      <c r="J525">
        <f>IF(I525="","",IF(I525&gt;=MAXIFS($I$2:$I$5001,$B$2:$B$5001,B525,$A$2:$A$5001,"&lt;="&amp;A525),"PR",""))</f>
        <v/>
      </c>
    </row>
    <row r="526">
      <c r="A526" s="7" t="n"/>
      <c r="H526" s="11">
        <f>IF(OR(D526="",E526=""),"",D526*E526)</f>
        <v/>
      </c>
      <c r="I526" s="8">
        <f>IF(OR(D526="",E526=""),"",E526*(1+D526/30))</f>
        <v/>
      </c>
      <c r="J526">
        <f>IF(I526="","",IF(I526&gt;=MAXIFS($I$2:$I$5001,$B$2:$B$5001,B526,$A$2:$A$5001,"&lt;="&amp;A526),"PR",""))</f>
        <v/>
      </c>
    </row>
    <row r="527">
      <c r="A527" s="7" t="n"/>
      <c r="H527" s="11">
        <f>IF(OR(D527="",E527=""),"",D527*E527)</f>
        <v/>
      </c>
      <c r="I527" s="8">
        <f>IF(OR(D527="",E527=""),"",E527*(1+D527/30))</f>
        <v/>
      </c>
      <c r="J527">
        <f>IF(I527="","",IF(I527&gt;=MAXIFS($I$2:$I$5001,$B$2:$B$5001,B527,$A$2:$A$5001,"&lt;="&amp;A527),"PR",""))</f>
        <v/>
      </c>
    </row>
    <row r="528">
      <c r="A528" s="7" t="n"/>
      <c r="H528" s="11">
        <f>IF(OR(D528="",E528=""),"",D528*E528)</f>
        <v/>
      </c>
      <c r="I528" s="8">
        <f>IF(OR(D528="",E528=""),"",E528*(1+D528/30))</f>
        <v/>
      </c>
      <c r="J528">
        <f>IF(I528="","",IF(I528&gt;=MAXIFS($I$2:$I$5001,$B$2:$B$5001,B528,$A$2:$A$5001,"&lt;="&amp;A528),"PR",""))</f>
        <v/>
      </c>
    </row>
    <row r="529">
      <c r="A529" s="7" t="n"/>
      <c r="H529" s="11">
        <f>IF(OR(D529="",E529=""),"",D529*E529)</f>
        <v/>
      </c>
      <c r="I529" s="8">
        <f>IF(OR(D529="",E529=""),"",E529*(1+D529/30))</f>
        <v/>
      </c>
      <c r="J529">
        <f>IF(I529="","",IF(I529&gt;=MAXIFS($I$2:$I$5001,$B$2:$B$5001,B529,$A$2:$A$5001,"&lt;="&amp;A529),"PR",""))</f>
        <v/>
      </c>
    </row>
    <row r="530">
      <c r="A530" s="7" t="n"/>
      <c r="H530" s="11">
        <f>IF(OR(D530="",E530=""),"",D530*E530)</f>
        <v/>
      </c>
      <c r="I530" s="8">
        <f>IF(OR(D530="",E530=""),"",E530*(1+D530/30))</f>
        <v/>
      </c>
      <c r="J530">
        <f>IF(I530="","",IF(I530&gt;=MAXIFS($I$2:$I$5001,$B$2:$B$5001,B530,$A$2:$A$5001,"&lt;="&amp;A530),"PR",""))</f>
        <v/>
      </c>
    </row>
    <row r="531">
      <c r="A531" s="7" t="n"/>
      <c r="H531" s="11">
        <f>IF(OR(D531="",E531=""),"",D531*E531)</f>
        <v/>
      </c>
      <c r="I531" s="8">
        <f>IF(OR(D531="",E531=""),"",E531*(1+D531/30))</f>
        <v/>
      </c>
      <c r="J531">
        <f>IF(I531="","",IF(I531&gt;=MAXIFS($I$2:$I$5001,$B$2:$B$5001,B531,$A$2:$A$5001,"&lt;="&amp;A531),"PR",""))</f>
        <v/>
      </c>
    </row>
    <row r="532">
      <c r="A532" s="7" t="n"/>
      <c r="H532" s="11">
        <f>IF(OR(D532="",E532=""),"",D532*E532)</f>
        <v/>
      </c>
      <c r="I532" s="8">
        <f>IF(OR(D532="",E532=""),"",E532*(1+D532/30))</f>
        <v/>
      </c>
      <c r="J532">
        <f>IF(I532="","",IF(I532&gt;=MAXIFS($I$2:$I$5001,$B$2:$B$5001,B532,$A$2:$A$5001,"&lt;="&amp;A532),"PR",""))</f>
        <v/>
      </c>
    </row>
    <row r="533">
      <c r="A533" s="7" t="n"/>
      <c r="H533" s="11">
        <f>IF(OR(D533="",E533=""),"",D533*E533)</f>
        <v/>
      </c>
      <c r="I533" s="8">
        <f>IF(OR(D533="",E533=""),"",E533*(1+D533/30))</f>
        <v/>
      </c>
      <c r="J533">
        <f>IF(I533="","",IF(I533&gt;=MAXIFS($I$2:$I$5001,$B$2:$B$5001,B533,$A$2:$A$5001,"&lt;="&amp;A533),"PR",""))</f>
        <v/>
      </c>
    </row>
    <row r="534">
      <c r="A534" s="7" t="n"/>
      <c r="H534" s="11">
        <f>IF(OR(D534="",E534=""),"",D534*E534)</f>
        <v/>
      </c>
      <c r="I534" s="8">
        <f>IF(OR(D534="",E534=""),"",E534*(1+D534/30))</f>
        <v/>
      </c>
      <c r="J534">
        <f>IF(I534="","",IF(I534&gt;=MAXIFS($I$2:$I$5001,$B$2:$B$5001,B534,$A$2:$A$5001,"&lt;="&amp;A534),"PR",""))</f>
        <v/>
      </c>
    </row>
    <row r="535">
      <c r="A535" s="7" t="n"/>
      <c r="H535" s="11">
        <f>IF(OR(D535="",E535=""),"",D535*E535)</f>
        <v/>
      </c>
      <c r="I535" s="8">
        <f>IF(OR(D535="",E535=""),"",E535*(1+D535/30))</f>
        <v/>
      </c>
      <c r="J535">
        <f>IF(I535="","",IF(I535&gt;=MAXIFS($I$2:$I$5001,$B$2:$B$5001,B535,$A$2:$A$5001,"&lt;="&amp;A535),"PR",""))</f>
        <v/>
      </c>
    </row>
    <row r="536">
      <c r="A536" s="7" t="n"/>
      <c r="H536" s="11">
        <f>IF(OR(D536="",E536=""),"",D536*E536)</f>
        <v/>
      </c>
      <c r="I536" s="8">
        <f>IF(OR(D536="",E536=""),"",E536*(1+D536/30))</f>
        <v/>
      </c>
      <c r="J536">
        <f>IF(I536="","",IF(I536&gt;=MAXIFS($I$2:$I$5001,$B$2:$B$5001,B536,$A$2:$A$5001,"&lt;="&amp;A536),"PR",""))</f>
        <v/>
      </c>
    </row>
    <row r="537">
      <c r="A537" s="7" t="n"/>
      <c r="H537" s="11">
        <f>IF(OR(D537="",E537=""),"",D537*E537)</f>
        <v/>
      </c>
      <c r="I537" s="8">
        <f>IF(OR(D537="",E537=""),"",E537*(1+D537/30))</f>
        <v/>
      </c>
      <c r="J537">
        <f>IF(I537="","",IF(I537&gt;=MAXIFS($I$2:$I$5001,$B$2:$B$5001,B537,$A$2:$A$5001,"&lt;="&amp;A537),"PR",""))</f>
        <v/>
      </c>
    </row>
    <row r="538">
      <c r="A538" s="7" t="n"/>
      <c r="H538" s="11">
        <f>IF(OR(D538="",E538=""),"",D538*E538)</f>
        <v/>
      </c>
      <c r="I538" s="8">
        <f>IF(OR(D538="",E538=""),"",E538*(1+D538/30))</f>
        <v/>
      </c>
      <c r="J538">
        <f>IF(I538="","",IF(I538&gt;=MAXIFS($I$2:$I$5001,$B$2:$B$5001,B538,$A$2:$A$5001,"&lt;="&amp;A538),"PR",""))</f>
        <v/>
      </c>
    </row>
    <row r="539">
      <c r="A539" s="7" t="n"/>
      <c r="H539" s="11">
        <f>IF(OR(D539="",E539=""),"",D539*E539)</f>
        <v/>
      </c>
      <c r="I539" s="8">
        <f>IF(OR(D539="",E539=""),"",E539*(1+D539/30))</f>
        <v/>
      </c>
      <c r="J539">
        <f>IF(I539="","",IF(I539&gt;=MAXIFS($I$2:$I$5001,$B$2:$B$5001,B539,$A$2:$A$5001,"&lt;="&amp;A539),"PR",""))</f>
        <v/>
      </c>
    </row>
    <row r="540">
      <c r="A540" s="7" t="n"/>
      <c r="H540" s="11">
        <f>IF(OR(D540="",E540=""),"",D540*E540)</f>
        <v/>
      </c>
      <c r="I540" s="8">
        <f>IF(OR(D540="",E540=""),"",E540*(1+D540/30))</f>
        <v/>
      </c>
      <c r="J540">
        <f>IF(I540="","",IF(I540&gt;=MAXIFS($I$2:$I$5001,$B$2:$B$5001,B540,$A$2:$A$5001,"&lt;="&amp;A540),"PR",""))</f>
        <v/>
      </c>
    </row>
    <row r="541">
      <c r="A541" s="7" t="n"/>
      <c r="H541" s="11">
        <f>IF(OR(D541="",E541=""),"",D541*E541)</f>
        <v/>
      </c>
      <c r="I541" s="8">
        <f>IF(OR(D541="",E541=""),"",E541*(1+D541/30))</f>
        <v/>
      </c>
      <c r="J541">
        <f>IF(I541="","",IF(I541&gt;=MAXIFS($I$2:$I$5001,$B$2:$B$5001,B541,$A$2:$A$5001,"&lt;="&amp;A541),"PR",""))</f>
        <v/>
      </c>
    </row>
    <row r="542">
      <c r="A542" s="7" t="n"/>
      <c r="H542" s="11">
        <f>IF(OR(D542="",E542=""),"",D542*E542)</f>
        <v/>
      </c>
      <c r="I542" s="8">
        <f>IF(OR(D542="",E542=""),"",E542*(1+D542/30))</f>
        <v/>
      </c>
      <c r="J542">
        <f>IF(I542="","",IF(I542&gt;=MAXIFS($I$2:$I$5001,$B$2:$B$5001,B542,$A$2:$A$5001,"&lt;="&amp;A542),"PR",""))</f>
        <v/>
      </c>
    </row>
    <row r="543">
      <c r="A543" s="7" t="n"/>
      <c r="H543" s="11">
        <f>IF(OR(D543="",E543=""),"",D543*E543)</f>
        <v/>
      </c>
      <c r="I543" s="8">
        <f>IF(OR(D543="",E543=""),"",E543*(1+D543/30))</f>
        <v/>
      </c>
      <c r="J543">
        <f>IF(I543="","",IF(I543&gt;=MAXIFS($I$2:$I$5001,$B$2:$B$5001,B543,$A$2:$A$5001,"&lt;="&amp;A543),"PR",""))</f>
        <v/>
      </c>
    </row>
    <row r="544">
      <c r="A544" s="7" t="n"/>
      <c r="H544" s="11">
        <f>IF(OR(D544="",E544=""),"",D544*E544)</f>
        <v/>
      </c>
      <c r="I544" s="8">
        <f>IF(OR(D544="",E544=""),"",E544*(1+D544/30))</f>
        <v/>
      </c>
      <c r="J544">
        <f>IF(I544="","",IF(I544&gt;=MAXIFS($I$2:$I$5001,$B$2:$B$5001,B544,$A$2:$A$5001,"&lt;="&amp;A544),"PR",""))</f>
        <v/>
      </c>
    </row>
    <row r="545">
      <c r="A545" s="7" t="n"/>
      <c r="H545" s="11">
        <f>IF(OR(D545="",E545=""),"",D545*E545)</f>
        <v/>
      </c>
      <c r="I545" s="8">
        <f>IF(OR(D545="",E545=""),"",E545*(1+D545/30))</f>
        <v/>
      </c>
      <c r="J545">
        <f>IF(I545="","",IF(I545&gt;=MAXIFS($I$2:$I$5001,$B$2:$B$5001,B545,$A$2:$A$5001,"&lt;="&amp;A545),"PR",""))</f>
        <v/>
      </c>
    </row>
    <row r="546">
      <c r="A546" s="7" t="n"/>
      <c r="H546" s="11">
        <f>IF(OR(D546="",E546=""),"",D546*E546)</f>
        <v/>
      </c>
      <c r="I546" s="8">
        <f>IF(OR(D546="",E546=""),"",E546*(1+D546/30))</f>
        <v/>
      </c>
      <c r="J546">
        <f>IF(I546="","",IF(I546&gt;=MAXIFS($I$2:$I$5001,$B$2:$B$5001,B546,$A$2:$A$5001,"&lt;="&amp;A546),"PR",""))</f>
        <v/>
      </c>
    </row>
    <row r="547">
      <c r="A547" s="7" t="n"/>
      <c r="H547" s="11">
        <f>IF(OR(D547="",E547=""),"",D547*E547)</f>
        <v/>
      </c>
      <c r="I547" s="8">
        <f>IF(OR(D547="",E547=""),"",E547*(1+D547/30))</f>
        <v/>
      </c>
      <c r="J547">
        <f>IF(I547="","",IF(I547&gt;=MAXIFS($I$2:$I$5001,$B$2:$B$5001,B547,$A$2:$A$5001,"&lt;="&amp;A547),"PR",""))</f>
        <v/>
      </c>
    </row>
    <row r="548">
      <c r="A548" s="7" t="n"/>
      <c r="H548" s="11">
        <f>IF(OR(D548="",E548=""),"",D548*E548)</f>
        <v/>
      </c>
      <c r="I548" s="8">
        <f>IF(OR(D548="",E548=""),"",E548*(1+D548/30))</f>
        <v/>
      </c>
      <c r="J548">
        <f>IF(I548="","",IF(I548&gt;=MAXIFS($I$2:$I$5001,$B$2:$B$5001,B548,$A$2:$A$5001,"&lt;="&amp;A548),"PR",""))</f>
        <v/>
      </c>
    </row>
    <row r="549">
      <c r="A549" s="7" t="n"/>
      <c r="H549" s="11">
        <f>IF(OR(D549="",E549=""),"",D549*E549)</f>
        <v/>
      </c>
      <c r="I549" s="8">
        <f>IF(OR(D549="",E549=""),"",E549*(1+D549/30))</f>
        <v/>
      </c>
      <c r="J549">
        <f>IF(I549="","",IF(I549&gt;=MAXIFS($I$2:$I$5001,$B$2:$B$5001,B549,$A$2:$A$5001,"&lt;="&amp;A549),"PR",""))</f>
        <v/>
      </c>
    </row>
    <row r="550">
      <c r="A550" s="7" t="n"/>
      <c r="H550" s="11">
        <f>IF(OR(D550="",E550=""),"",D550*E550)</f>
        <v/>
      </c>
      <c r="I550" s="8">
        <f>IF(OR(D550="",E550=""),"",E550*(1+D550/30))</f>
        <v/>
      </c>
      <c r="J550">
        <f>IF(I550="","",IF(I550&gt;=MAXIFS($I$2:$I$5001,$B$2:$B$5001,B550,$A$2:$A$5001,"&lt;="&amp;A550),"PR",""))</f>
        <v/>
      </c>
    </row>
    <row r="551">
      <c r="A551" s="7" t="n"/>
      <c r="H551" s="11">
        <f>IF(OR(D551="",E551=""),"",D551*E551)</f>
        <v/>
      </c>
      <c r="I551" s="8">
        <f>IF(OR(D551="",E551=""),"",E551*(1+D551/30))</f>
        <v/>
      </c>
      <c r="J551">
        <f>IF(I551="","",IF(I551&gt;=MAXIFS($I$2:$I$5001,$B$2:$B$5001,B551,$A$2:$A$5001,"&lt;="&amp;A551),"PR",""))</f>
        <v/>
      </c>
    </row>
    <row r="552">
      <c r="A552" s="7" t="n"/>
      <c r="H552" s="11">
        <f>IF(OR(D552="",E552=""),"",D552*E552)</f>
        <v/>
      </c>
      <c r="I552" s="8">
        <f>IF(OR(D552="",E552=""),"",E552*(1+D552/30))</f>
        <v/>
      </c>
      <c r="J552">
        <f>IF(I552="","",IF(I552&gt;=MAXIFS($I$2:$I$5001,$B$2:$B$5001,B552,$A$2:$A$5001,"&lt;="&amp;A552),"PR",""))</f>
        <v/>
      </c>
    </row>
    <row r="553">
      <c r="A553" s="7" t="n"/>
      <c r="H553" s="11">
        <f>IF(OR(D553="",E553=""),"",D553*E553)</f>
        <v/>
      </c>
      <c r="I553" s="8">
        <f>IF(OR(D553="",E553=""),"",E553*(1+D553/30))</f>
        <v/>
      </c>
      <c r="J553">
        <f>IF(I553="","",IF(I553&gt;=MAXIFS($I$2:$I$5001,$B$2:$B$5001,B553,$A$2:$A$5001,"&lt;="&amp;A553),"PR",""))</f>
        <v/>
      </c>
    </row>
    <row r="554">
      <c r="A554" s="7" t="n"/>
      <c r="H554" s="11">
        <f>IF(OR(D554="",E554=""),"",D554*E554)</f>
        <v/>
      </c>
      <c r="I554" s="8">
        <f>IF(OR(D554="",E554=""),"",E554*(1+D554/30))</f>
        <v/>
      </c>
      <c r="J554">
        <f>IF(I554="","",IF(I554&gt;=MAXIFS($I$2:$I$5001,$B$2:$B$5001,B554,$A$2:$A$5001,"&lt;="&amp;A554),"PR",""))</f>
        <v/>
      </c>
    </row>
    <row r="555">
      <c r="A555" s="7" t="n"/>
      <c r="H555" s="11">
        <f>IF(OR(D555="",E555=""),"",D555*E555)</f>
        <v/>
      </c>
      <c r="I555" s="8">
        <f>IF(OR(D555="",E555=""),"",E555*(1+D555/30))</f>
        <v/>
      </c>
      <c r="J555">
        <f>IF(I555="","",IF(I555&gt;=MAXIFS($I$2:$I$5001,$B$2:$B$5001,B555,$A$2:$A$5001,"&lt;="&amp;A555),"PR",""))</f>
        <v/>
      </c>
    </row>
    <row r="556">
      <c r="A556" s="7" t="n"/>
      <c r="H556" s="11">
        <f>IF(OR(D556="",E556=""),"",D556*E556)</f>
        <v/>
      </c>
      <c r="I556" s="8">
        <f>IF(OR(D556="",E556=""),"",E556*(1+D556/30))</f>
        <v/>
      </c>
      <c r="J556">
        <f>IF(I556="","",IF(I556&gt;=MAXIFS($I$2:$I$5001,$B$2:$B$5001,B556,$A$2:$A$5001,"&lt;="&amp;A556),"PR",""))</f>
        <v/>
      </c>
    </row>
    <row r="557">
      <c r="A557" s="7" t="n"/>
      <c r="H557" s="11">
        <f>IF(OR(D557="",E557=""),"",D557*E557)</f>
        <v/>
      </c>
      <c r="I557" s="8">
        <f>IF(OR(D557="",E557=""),"",E557*(1+D557/30))</f>
        <v/>
      </c>
      <c r="J557">
        <f>IF(I557="","",IF(I557&gt;=MAXIFS($I$2:$I$5001,$B$2:$B$5001,B557,$A$2:$A$5001,"&lt;="&amp;A557),"PR",""))</f>
        <v/>
      </c>
    </row>
    <row r="558">
      <c r="A558" s="7" t="n"/>
      <c r="H558" s="11">
        <f>IF(OR(D558="",E558=""),"",D558*E558)</f>
        <v/>
      </c>
      <c r="I558" s="8">
        <f>IF(OR(D558="",E558=""),"",E558*(1+D558/30))</f>
        <v/>
      </c>
      <c r="J558">
        <f>IF(I558="","",IF(I558&gt;=MAXIFS($I$2:$I$5001,$B$2:$B$5001,B558,$A$2:$A$5001,"&lt;="&amp;A558),"PR",""))</f>
        <v/>
      </c>
    </row>
    <row r="559">
      <c r="A559" s="7" t="n"/>
      <c r="H559" s="11">
        <f>IF(OR(D559="",E559=""),"",D559*E559)</f>
        <v/>
      </c>
      <c r="I559" s="8">
        <f>IF(OR(D559="",E559=""),"",E559*(1+D559/30))</f>
        <v/>
      </c>
      <c r="J559">
        <f>IF(I559="","",IF(I559&gt;=MAXIFS($I$2:$I$5001,$B$2:$B$5001,B559,$A$2:$A$5001,"&lt;="&amp;A559),"PR",""))</f>
        <v/>
      </c>
    </row>
    <row r="560">
      <c r="A560" s="7" t="n"/>
      <c r="H560" s="11">
        <f>IF(OR(D560="",E560=""),"",D560*E560)</f>
        <v/>
      </c>
      <c r="I560" s="8">
        <f>IF(OR(D560="",E560=""),"",E560*(1+D560/30))</f>
        <v/>
      </c>
      <c r="J560">
        <f>IF(I560="","",IF(I560&gt;=MAXIFS($I$2:$I$5001,$B$2:$B$5001,B560,$A$2:$A$5001,"&lt;="&amp;A560),"PR",""))</f>
        <v/>
      </c>
    </row>
    <row r="561">
      <c r="A561" s="7" t="n"/>
      <c r="H561" s="11">
        <f>IF(OR(D561="",E561=""),"",D561*E561)</f>
        <v/>
      </c>
      <c r="I561" s="8">
        <f>IF(OR(D561="",E561=""),"",E561*(1+D561/30))</f>
        <v/>
      </c>
      <c r="J561">
        <f>IF(I561="","",IF(I561&gt;=MAXIFS($I$2:$I$5001,$B$2:$B$5001,B561,$A$2:$A$5001,"&lt;="&amp;A561),"PR",""))</f>
        <v/>
      </c>
    </row>
    <row r="562">
      <c r="A562" s="7" t="n"/>
      <c r="H562" s="11">
        <f>IF(OR(D562="",E562=""),"",D562*E562)</f>
        <v/>
      </c>
      <c r="I562" s="8">
        <f>IF(OR(D562="",E562=""),"",E562*(1+D562/30))</f>
        <v/>
      </c>
      <c r="J562">
        <f>IF(I562="","",IF(I562&gt;=MAXIFS($I$2:$I$5001,$B$2:$B$5001,B562,$A$2:$A$5001,"&lt;="&amp;A562),"PR",""))</f>
        <v/>
      </c>
    </row>
    <row r="563">
      <c r="A563" s="7" t="n"/>
      <c r="H563" s="11">
        <f>IF(OR(D563="",E563=""),"",D563*E563)</f>
        <v/>
      </c>
      <c r="I563" s="8">
        <f>IF(OR(D563="",E563=""),"",E563*(1+D563/30))</f>
        <v/>
      </c>
      <c r="J563">
        <f>IF(I563="","",IF(I563&gt;=MAXIFS($I$2:$I$5001,$B$2:$B$5001,B563,$A$2:$A$5001,"&lt;="&amp;A563),"PR",""))</f>
        <v/>
      </c>
    </row>
    <row r="564">
      <c r="A564" s="7" t="n"/>
      <c r="H564" s="11">
        <f>IF(OR(D564="",E564=""),"",D564*E564)</f>
        <v/>
      </c>
      <c r="I564" s="8">
        <f>IF(OR(D564="",E564=""),"",E564*(1+D564/30))</f>
        <v/>
      </c>
      <c r="J564">
        <f>IF(I564="","",IF(I564&gt;=MAXIFS($I$2:$I$5001,$B$2:$B$5001,B564,$A$2:$A$5001,"&lt;="&amp;A564),"PR",""))</f>
        <v/>
      </c>
    </row>
    <row r="565">
      <c r="A565" s="7" t="n"/>
      <c r="H565" s="11">
        <f>IF(OR(D565="",E565=""),"",D565*E565)</f>
        <v/>
      </c>
      <c r="I565" s="8">
        <f>IF(OR(D565="",E565=""),"",E565*(1+D565/30))</f>
        <v/>
      </c>
      <c r="J565">
        <f>IF(I565="","",IF(I565&gt;=MAXIFS($I$2:$I$5001,$B$2:$B$5001,B565,$A$2:$A$5001,"&lt;="&amp;A565),"PR",""))</f>
        <v/>
      </c>
    </row>
    <row r="566">
      <c r="A566" s="7" t="n"/>
      <c r="H566" s="11">
        <f>IF(OR(D566="",E566=""),"",D566*E566)</f>
        <v/>
      </c>
      <c r="I566" s="8">
        <f>IF(OR(D566="",E566=""),"",E566*(1+D566/30))</f>
        <v/>
      </c>
      <c r="J566">
        <f>IF(I566="","",IF(I566&gt;=MAXIFS($I$2:$I$5001,$B$2:$B$5001,B566,$A$2:$A$5001,"&lt;="&amp;A566),"PR",""))</f>
        <v/>
      </c>
    </row>
    <row r="567">
      <c r="A567" s="7" t="n"/>
      <c r="H567" s="11">
        <f>IF(OR(D567="",E567=""),"",D567*E567)</f>
        <v/>
      </c>
      <c r="I567" s="8">
        <f>IF(OR(D567="",E567=""),"",E567*(1+D567/30))</f>
        <v/>
      </c>
      <c r="J567">
        <f>IF(I567="","",IF(I567&gt;=MAXIFS($I$2:$I$5001,$B$2:$B$5001,B567,$A$2:$A$5001,"&lt;="&amp;A567),"PR",""))</f>
        <v/>
      </c>
    </row>
    <row r="568">
      <c r="A568" s="7" t="n"/>
      <c r="H568" s="11">
        <f>IF(OR(D568="",E568=""),"",D568*E568)</f>
        <v/>
      </c>
      <c r="I568" s="8">
        <f>IF(OR(D568="",E568=""),"",E568*(1+D568/30))</f>
        <v/>
      </c>
      <c r="J568">
        <f>IF(I568="","",IF(I568&gt;=MAXIFS($I$2:$I$5001,$B$2:$B$5001,B568,$A$2:$A$5001,"&lt;="&amp;A568),"PR",""))</f>
        <v/>
      </c>
    </row>
    <row r="569">
      <c r="A569" s="7" t="n"/>
      <c r="H569" s="11">
        <f>IF(OR(D569="",E569=""),"",D569*E569)</f>
        <v/>
      </c>
      <c r="I569" s="8">
        <f>IF(OR(D569="",E569=""),"",E569*(1+D569/30))</f>
        <v/>
      </c>
      <c r="J569">
        <f>IF(I569="","",IF(I569&gt;=MAXIFS($I$2:$I$5001,$B$2:$B$5001,B569,$A$2:$A$5001,"&lt;="&amp;A569),"PR",""))</f>
        <v/>
      </c>
    </row>
    <row r="570">
      <c r="A570" s="7" t="n"/>
      <c r="H570" s="11">
        <f>IF(OR(D570="",E570=""),"",D570*E570)</f>
        <v/>
      </c>
      <c r="I570" s="8">
        <f>IF(OR(D570="",E570=""),"",E570*(1+D570/30))</f>
        <v/>
      </c>
      <c r="J570">
        <f>IF(I570="","",IF(I570&gt;=MAXIFS($I$2:$I$5001,$B$2:$B$5001,B570,$A$2:$A$5001,"&lt;="&amp;A570),"PR",""))</f>
        <v/>
      </c>
    </row>
    <row r="571">
      <c r="A571" s="7" t="n"/>
      <c r="H571" s="11">
        <f>IF(OR(D571="",E571=""),"",D571*E571)</f>
        <v/>
      </c>
      <c r="I571" s="8">
        <f>IF(OR(D571="",E571=""),"",E571*(1+D571/30))</f>
        <v/>
      </c>
      <c r="J571">
        <f>IF(I571="","",IF(I571&gt;=MAXIFS($I$2:$I$5001,$B$2:$B$5001,B571,$A$2:$A$5001,"&lt;="&amp;A571),"PR",""))</f>
        <v/>
      </c>
    </row>
    <row r="572">
      <c r="A572" s="7" t="n"/>
      <c r="H572" s="11">
        <f>IF(OR(D572="",E572=""),"",D572*E572)</f>
        <v/>
      </c>
      <c r="I572" s="8">
        <f>IF(OR(D572="",E572=""),"",E572*(1+D572/30))</f>
        <v/>
      </c>
      <c r="J572">
        <f>IF(I572="","",IF(I572&gt;=MAXIFS($I$2:$I$5001,$B$2:$B$5001,B572,$A$2:$A$5001,"&lt;="&amp;A572),"PR",""))</f>
        <v/>
      </c>
    </row>
    <row r="573">
      <c r="A573" s="7" t="n"/>
      <c r="H573" s="11">
        <f>IF(OR(D573="",E573=""),"",D573*E573)</f>
        <v/>
      </c>
      <c r="I573" s="8">
        <f>IF(OR(D573="",E573=""),"",E573*(1+D573/30))</f>
        <v/>
      </c>
      <c r="J573">
        <f>IF(I573="","",IF(I573&gt;=MAXIFS($I$2:$I$5001,$B$2:$B$5001,B573,$A$2:$A$5001,"&lt;="&amp;A573),"PR",""))</f>
        <v/>
      </c>
    </row>
    <row r="574">
      <c r="A574" s="7" t="n"/>
      <c r="H574" s="11">
        <f>IF(OR(D574="",E574=""),"",D574*E574)</f>
        <v/>
      </c>
      <c r="I574" s="8">
        <f>IF(OR(D574="",E574=""),"",E574*(1+D574/30))</f>
        <v/>
      </c>
      <c r="J574">
        <f>IF(I574="","",IF(I574&gt;=MAXIFS($I$2:$I$5001,$B$2:$B$5001,B574,$A$2:$A$5001,"&lt;="&amp;A574),"PR",""))</f>
        <v/>
      </c>
    </row>
    <row r="575">
      <c r="A575" s="7" t="n"/>
      <c r="H575" s="11">
        <f>IF(OR(D575="",E575=""),"",D575*E575)</f>
        <v/>
      </c>
      <c r="I575" s="8">
        <f>IF(OR(D575="",E575=""),"",E575*(1+D575/30))</f>
        <v/>
      </c>
      <c r="J575">
        <f>IF(I575="","",IF(I575&gt;=MAXIFS($I$2:$I$5001,$B$2:$B$5001,B575,$A$2:$A$5001,"&lt;="&amp;A575),"PR",""))</f>
        <v/>
      </c>
    </row>
    <row r="576">
      <c r="A576" s="7" t="n"/>
      <c r="H576" s="11">
        <f>IF(OR(D576="",E576=""),"",D576*E576)</f>
        <v/>
      </c>
      <c r="I576" s="8">
        <f>IF(OR(D576="",E576=""),"",E576*(1+D576/30))</f>
        <v/>
      </c>
      <c r="J576">
        <f>IF(I576="","",IF(I576&gt;=MAXIFS($I$2:$I$5001,$B$2:$B$5001,B576,$A$2:$A$5001,"&lt;="&amp;A576),"PR",""))</f>
        <v/>
      </c>
    </row>
    <row r="577">
      <c r="A577" s="7" t="n"/>
      <c r="H577" s="11">
        <f>IF(OR(D577="",E577=""),"",D577*E577)</f>
        <v/>
      </c>
      <c r="I577" s="8">
        <f>IF(OR(D577="",E577=""),"",E577*(1+D577/30))</f>
        <v/>
      </c>
      <c r="J577">
        <f>IF(I577="","",IF(I577&gt;=MAXIFS($I$2:$I$5001,$B$2:$B$5001,B577,$A$2:$A$5001,"&lt;="&amp;A577),"PR",""))</f>
        <v/>
      </c>
    </row>
    <row r="578">
      <c r="A578" s="7" t="n"/>
      <c r="H578" s="11">
        <f>IF(OR(D578="",E578=""),"",D578*E578)</f>
        <v/>
      </c>
      <c r="I578" s="8">
        <f>IF(OR(D578="",E578=""),"",E578*(1+D578/30))</f>
        <v/>
      </c>
      <c r="J578">
        <f>IF(I578="","",IF(I578&gt;=MAXIFS($I$2:$I$5001,$B$2:$B$5001,B578,$A$2:$A$5001,"&lt;="&amp;A578),"PR",""))</f>
        <v/>
      </c>
    </row>
    <row r="579">
      <c r="A579" s="7" t="n"/>
      <c r="H579" s="11">
        <f>IF(OR(D579="",E579=""),"",D579*E579)</f>
        <v/>
      </c>
      <c r="I579" s="8">
        <f>IF(OR(D579="",E579=""),"",E579*(1+D579/30))</f>
        <v/>
      </c>
      <c r="J579">
        <f>IF(I579="","",IF(I579&gt;=MAXIFS($I$2:$I$5001,$B$2:$B$5001,B579,$A$2:$A$5001,"&lt;="&amp;A579),"PR",""))</f>
        <v/>
      </c>
    </row>
    <row r="580">
      <c r="A580" s="7" t="n"/>
      <c r="H580" s="11">
        <f>IF(OR(D580="",E580=""),"",D580*E580)</f>
        <v/>
      </c>
      <c r="I580" s="8">
        <f>IF(OR(D580="",E580=""),"",E580*(1+D580/30))</f>
        <v/>
      </c>
      <c r="J580">
        <f>IF(I580="","",IF(I580&gt;=MAXIFS($I$2:$I$5001,$B$2:$B$5001,B580,$A$2:$A$5001,"&lt;="&amp;A580),"PR",""))</f>
        <v/>
      </c>
    </row>
    <row r="581">
      <c r="A581" s="7" t="n"/>
      <c r="H581" s="11">
        <f>IF(OR(D581="",E581=""),"",D581*E581)</f>
        <v/>
      </c>
      <c r="I581" s="8">
        <f>IF(OR(D581="",E581=""),"",E581*(1+D581/30))</f>
        <v/>
      </c>
      <c r="J581">
        <f>IF(I581="","",IF(I581&gt;=MAXIFS($I$2:$I$5001,$B$2:$B$5001,B581,$A$2:$A$5001,"&lt;="&amp;A581),"PR",""))</f>
        <v/>
      </c>
    </row>
    <row r="582">
      <c r="A582" s="7" t="n"/>
      <c r="H582" s="11">
        <f>IF(OR(D582="",E582=""),"",D582*E582)</f>
        <v/>
      </c>
      <c r="I582" s="8">
        <f>IF(OR(D582="",E582=""),"",E582*(1+D582/30))</f>
        <v/>
      </c>
      <c r="J582">
        <f>IF(I582="","",IF(I582&gt;=MAXIFS($I$2:$I$5001,$B$2:$B$5001,B582,$A$2:$A$5001,"&lt;="&amp;A582),"PR",""))</f>
        <v/>
      </c>
    </row>
    <row r="583">
      <c r="A583" s="7" t="n"/>
      <c r="H583" s="11">
        <f>IF(OR(D583="",E583=""),"",D583*E583)</f>
        <v/>
      </c>
      <c r="I583" s="8">
        <f>IF(OR(D583="",E583=""),"",E583*(1+D583/30))</f>
        <v/>
      </c>
      <c r="J583">
        <f>IF(I583="","",IF(I583&gt;=MAXIFS($I$2:$I$5001,$B$2:$B$5001,B583,$A$2:$A$5001,"&lt;="&amp;A583),"PR",""))</f>
        <v/>
      </c>
    </row>
    <row r="584">
      <c r="A584" s="7" t="n"/>
      <c r="H584" s="11">
        <f>IF(OR(D584="",E584=""),"",D584*E584)</f>
        <v/>
      </c>
      <c r="I584" s="8">
        <f>IF(OR(D584="",E584=""),"",E584*(1+D584/30))</f>
        <v/>
      </c>
      <c r="J584">
        <f>IF(I584="","",IF(I584&gt;=MAXIFS($I$2:$I$5001,$B$2:$B$5001,B584,$A$2:$A$5001,"&lt;="&amp;A584),"PR",""))</f>
        <v/>
      </c>
    </row>
    <row r="585">
      <c r="A585" s="7" t="n"/>
      <c r="H585" s="11">
        <f>IF(OR(D585="",E585=""),"",D585*E585)</f>
        <v/>
      </c>
      <c r="I585" s="8">
        <f>IF(OR(D585="",E585=""),"",E585*(1+D585/30))</f>
        <v/>
      </c>
      <c r="J585">
        <f>IF(I585="","",IF(I585&gt;=MAXIFS($I$2:$I$5001,$B$2:$B$5001,B585,$A$2:$A$5001,"&lt;="&amp;A585),"PR",""))</f>
        <v/>
      </c>
    </row>
    <row r="586">
      <c r="A586" s="7" t="n"/>
      <c r="H586" s="11">
        <f>IF(OR(D586="",E586=""),"",D586*E586)</f>
        <v/>
      </c>
      <c r="I586" s="8">
        <f>IF(OR(D586="",E586=""),"",E586*(1+D586/30))</f>
        <v/>
      </c>
      <c r="J586">
        <f>IF(I586="","",IF(I586&gt;=MAXIFS($I$2:$I$5001,$B$2:$B$5001,B586,$A$2:$A$5001,"&lt;="&amp;A586),"PR",""))</f>
        <v/>
      </c>
    </row>
    <row r="587">
      <c r="A587" s="7" t="n"/>
      <c r="H587" s="11">
        <f>IF(OR(D587="",E587=""),"",D587*E587)</f>
        <v/>
      </c>
      <c r="I587" s="8">
        <f>IF(OR(D587="",E587=""),"",E587*(1+D587/30))</f>
        <v/>
      </c>
      <c r="J587">
        <f>IF(I587="","",IF(I587&gt;=MAXIFS($I$2:$I$5001,$B$2:$B$5001,B587,$A$2:$A$5001,"&lt;="&amp;A587),"PR",""))</f>
        <v/>
      </c>
    </row>
    <row r="588">
      <c r="A588" s="7" t="n"/>
      <c r="H588" s="11">
        <f>IF(OR(D588="",E588=""),"",D588*E588)</f>
        <v/>
      </c>
      <c r="I588" s="8">
        <f>IF(OR(D588="",E588=""),"",E588*(1+D588/30))</f>
        <v/>
      </c>
      <c r="J588">
        <f>IF(I588="","",IF(I588&gt;=MAXIFS($I$2:$I$5001,$B$2:$B$5001,B588,$A$2:$A$5001,"&lt;="&amp;A588),"PR",""))</f>
        <v/>
      </c>
    </row>
    <row r="589">
      <c r="A589" s="7" t="n"/>
      <c r="H589" s="11">
        <f>IF(OR(D589="",E589=""),"",D589*E589)</f>
        <v/>
      </c>
      <c r="I589" s="8">
        <f>IF(OR(D589="",E589=""),"",E589*(1+D589/30))</f>
        <v/>
      </c>
      <c r="J589">
        <f>IF(I589="","",IF(I589&gt;=MAXIFS($I$2:$I$5001,$B$2:$B$5001,B589,$A$2:$A$5001,"&lt;="&amp;A589),"PR",""))</f>
        <v/>
      </c>
    </row>
    <row r="590">
      <c r="A590" s="7" t="n"/>
      <c r="H590" s="11">
        <f>IF(OR(D590="",E590=""),"",D590*E590)</f>
        <v/>
      </c>
      <c r="I590" s="8">
        <f>IF(OR(D590="",E590=""),"",E590*(1+D590/30))</f>
        <v/>
      </c>
      <c r="J590">
        <f>IF(I590="","",IF(I590&gt;=MAXIFS($I$2:$I$5001,$B$2:$B$5001,B590,$A$2:$A$5001,"&lt;="&amp;A590),"PR",""))</f>
        <v/>
      </c>
    </row>
    <row r="591">
      <c r="A591" s="7" t="n"/>
      <c r="H591" s="11">
        <f>IF(OR(D591="",E591=""),"",D591*E591)</f>
        <v/>
      </c>
      <c r="I591" s="8">
        <f>IF(OR(D591="",E591=""),"",E591*(1+D591/30))</f>
        <v/>
      </c>
      <c r="J591">
        <f>IF(I591="","",IF(I591&gt;=MAXIFS($I$2:$I$5001,$B$2:$B$5001,B591,$A$2:$A$5001,"&lt;="&amp;A591),"PR",""))</f>
        <v/>
      </c>
    </row>
    <row r="592">
      <c r="A592" s="7" t="n"/>
      <c r="H592" s="11">
        <f>IF(OR(D592="",E592=""),"",D592*E592)</f>
        <v/>
      </c>
      <c r="I592" s="8">
        <f>IF(OR(D592="",E592=""),"",E592*(1+D592/30))</f>
        <v/>
      </c>
      <c r="J592">
        <f>IF(I592="","",IF(I592&gt;=MAXIFS($I$2:$I$5001,$B$2:$B$5001,B592,$A$2:$A$5001,"&lt;="&amp;A592),"PR",""))</f>
        <v/>
      </c>
    </row>
    <row r="593">
      <c r="A593" s="7" t="n"/>
      <c r="H593" s="11">
        <f>IF(OR(D593="",E593=""),"",D593*E593)</f>
        <v/>
      </c>
      <c r="I593" s="8">
        <f>IF(OR(D593="",E593=""),"",E593*(1+D593/30))</f>
        <v/>
      </c>
      <c r="J593">
        <f>IF(I593="","",IF(I593&gt;=MAXIFS($I$2:$I$5001,$B$2:$B$5001,B593,$A$2:$A$5001,"&lt;="&amp;A593),"PR",""))</f>
        <v/>
      </c>
    </row>
    <row r="594">
      <c r="A594" s="7" t="n"/>
      <c r="H594" s="11">
        <f>IF(OR(D594="",E594=""),"",D594*E594)</f>
        <v/>
      </c>
      <c r="I594" s="8">
        <f>IF(OR(D594="",E594=""),"",E594*(1+D594/30))</f>
        <v/>
      </c>
      <c r="J594">
        <f>IF(I594="","",IF(I594&gt;=MAXIFS($I$2:$I$5001,$B$2:$B$5001,B594,$A$2:$A$5001,"&lt;="&amp;A594),"PR",""))</f>
        <v/>
      </c>
    </row>
    <row r="595">
      <c r="A595" s="7" t="n"/>
      <c r="H595" s="11">
        <f>IF(OR(D595="",E595=""),"",D595*E595)</f>
        <v/>
      </c>
      <c r="I595" s="8">
        <f>IF(OR(D595="",E595=""),"",E595*(1+D595/30))</f>
        <v/>
      </c>
      <c r="J595">
        <f>IF(I595="","",IF(I595&gt;=MAXIFS($I$2:$I$5001,$B$2:$B$5001,B595,$A$2:$A$5001,"&lt;="&amp;A595),"PR",""))</f>
        <v/>
      </c>
    </row>
    <row r="596">
      <c r="A596" s="7" t="n"/>
      <c r="H596" s="11">
        <f>IF(OR(D596="",E596=""),"",D596*E596)</f>
        <v/>
      </c>
      <c r="I596" s="8">
        <f>IF(OR(D596="",E596=""),"",E596*(1+D596/30))</f>
        <v/>
      </c>
      <c r="J596">
        <f>IF(I596="","",IF(I596&gt;=MAXIFS($I$2:$I$5001,$B$2:$B$5001,B596,$A$2:$A$5001,"&lt;="&amp;A596),"PR",""))</f>
        <v/>
      </c>
    </row>
    <row r="597">
      <c r="A597" s="7" t="n"/>
      <c r="H597" s="11">
        <f>IF(OR(D597="",E597=""),"",D597*E597)</f>
        <v/>
      </c>
      <c r="I597" s="8">
        <f>IF(OR(D597="",E597=""),"",E597*(1+D597/30))</f>
        <v/>
      </c>
      <c r="J597">
        <f>IF(I597="","",IF(I597&gt;=MAXIFS($I$2:$I$5001,$B$2:$B$5001,B597,$A$2:$A$5001,"&lt;="&amp;A597),"PR",""))</f>
        <v/>
      </c>
    </row>
    <row r="598">
      <c r="A598" s="7" t="n"/>
      <c r="H598" s="11">
        <f>IF(OR(D598="",E598=""),"",D598*E598)</f>
        <v/>
      </c>
      <c r="I598" s="8">
        <f>IF(OR(D598="",E598=""),"",E598*(1+D598/30))</f>
        <v/>
      </c>
      <c r="J598">
        <f>IF(I598="","",IF(I598&gt;=MAXIFS($I$2:$I$5001,$B$2:$B$5001,B598,$A$2:$A$5001,"&lt;="&amp;A598),"PR",""))</f>
        <v/>
      </c>
    </row>
    <row r="599">
      <c r="A599" s="7" t="n"/>
      <c r="H599" s="11">
        <f>IF(OR(D599="",E599=""),"",D599*E599)</f>
        <v/>
      </c>
      <c r="I599" s="8">
        <f>IF(OR(D599="",E599=""),"",E599*(1+D599/30))</f>
        <v/>
      </c>
      <c r="J599">
        <f>IF(I599="","",IF(I599&gt;=MAXIFS($I$2:$I$5001,$B$2:$B$5001,B599,$A$2:$A$5001,"&lt;="&amp;A599),"PR",""))</f>
        <v/>
      </c>
    </row>
    <row r="600">
      <c r="A600" s="7" t="n"/>
      <c r="H600" s="11">
        <f>IF(OR(D600="",E600=""),"",D600*E600)</f>
        <v/>
      </c>
      <c r="I600" s="8">
        <f>IF(OR(D600="",E600=""),"",E600*(1+D600/30))</f>
        <v/>
      </c>
      <c r="J600">
        <f>IF(I600="","",IF(I600&gt;=MAXIFS($I$2:$I$5001,$B$2:$B$5001,B600,$A$2:$A$5001,"&lt;="&amp;A600),"PR",""))</f>
        <v/>
      </c>
    </row>
    <row r="601">
      <c r="A601" s="7" t="n"/>
      <c r="H601" s="11">
        <f>IF(OR(D601="",E601=""),"",D601*E601)</f>
        <v/>
      </c>
      <c r="I601" s="8">
        <f>IF(OR(D601="",E601=""),"",E601*(1+D601/30))</f>
        <v/>
      </c>
      <c r="J601">
        <f>IF(I601="","",IF(I601&gt;=MAXIFS($I$2:$I$5001,$B$2:$B$5001,B601,$A$2:$A$5001,"&lt;="&amp;A601),"PR",""))</f>
        <v/>
      </c>
    </row>
    <row r="602">
      <c r="A602" s="7" t="n"/>
      <c r="H602" s="11">
        <f>IF(OR(D602="",E602=""),"",D602*E602)</f>
        <v/>
      </c>
      <c r="I602" s="8">
        <f>IF(OR(D602="",E602=""),"",E602*(1+D602/30))</f>
        <v/>
      </c>
      <c r="J602">
        <f>IF(I602="","",IF(I602&gt;=MAXIFS($I$2:$I$5001,$B$2:$B$5001,B602,$A$2:$A$5001,"&lt;="&amp;A602),"PR",""))</f>
        <v/>
      </c>
    </row>
    <row r="603">
      <c r="A603" s="7" t="n"/>
      <c r="H603" s="11">
        <f>IF(OR(D603="",E603=""),"",D603*E603)</f>
        <v/>
      </c>
      <c r="I603" s="8">
        <f>IF(OR(D603="",E603=""),"",E603*(1+D603/30))</f>
        <v/>
      </c>
      <c r="J603">
        <f>IF(I603="","",IF(I603&gt;=MAXIFS($I$2:$I$5001,$B$2:$B$5001,B603,$A$2:$A$5001,"&lt;="&amp;A603),"PR",""))</f>
        <v/>
      </c>
    </row>
    <row r="604">
      <c r="A604" s="7" t="n"/>
      <c r="H604" s="11">
        <f>IF(OR(D604="",E604=""),"",D604*E604)</f>
        <v/>
      </c>
      <c r="I604" s="8">
        <f>IF(OR(D604="",E604=""),"",E604*(1+D604/30))</f>
        <v/>
      </c>
      <c r="J604">
        <f>IF(I604="","",IF(I604&gt;=MAXIFS($I$2:$I$5001,$B$2:$B$5001,B604,$A$2:$A$5001,"&lt;="&amp;A604),"PR",""))</f>
        <v/>
      </c>
    </row>
    <row r="605">
      <c r="A605" s="7" t="n"/>
      <c r="H605" s="11">
        <f>IF(OR(D605="",E605=""),"",D605*E605)</f>
        <v/>
      </c>
      <c r="I605" s="8">
        <f>IF(OR(D605="",E605=""),"",E605*(1+D605/30))</f>
        <v/>
      </c>
      <c r="J605">
        <f>IF(I605="","",IF(I605&gt;=MAXIFS($I$2:$I$5001,$B$2:$B$5001,B605,$A$2:$A$5001,"&lt;="&amp;A605),"PR",""))</f>
        <v/>
      </c>
    </row>
    <row r="606">
      <c r="A606" s="7" t="n"/>
      <c r="H606" s="11">
        <f>IF(OR(D606="",E606=""),"",D606*E606)</f>
        <v/>
      </c>
      <c r="I606" s="8">
        <f>IF(OR(D606="",E606=""),"",E606*(1+D606/30))</f>
        <v/>
      </c>
      <c r="J606">
        <f>IF(I606="","",IF(I606&gt;=MAXIFS($I$2:$I$5001,$B$2:$B$5001,B606,$A$2:$A$5001,"&lt;="&amp;A606),"PR",""))</f>
        <v/>
      </c>
    </row>
    <row r="607">
      <c r="A607" s="7" t="n"/>
      <c r="H607" s="11">
        <f>IF(OR(D607="",E607=""),"",D607*E607)</f>
        <v/>
      </c>
      <c r="I607" s="8">
        <f>IF(OR(D607="",E607=""),"",E607*(1+D607/30))</f>
        <v/>
      </c>
      <c r="J607">
        <f>IF(I607="","",IF(I607&gt;=MAXIFS($I$2:$I$5001,$B$2:$B$5001,B607,$A$2:$A$5001,"&lt;="&amp;A607),"PR",""))</f>
        <v/>
      </c>
    </row>
    <row r="608">
      <c r="A608" s="7" t="n"/>
      <c r="H608" s="11">
        <f>IF(OR(D608="",E608=""),"",D608*E608)</f>
        <v/>
      </c>
      <c r="I608" s="8">
        <f>IF(OR(D608="",E608=""),"",E608*(1+D608/30))</f>
        <v/>
      </c>
      <c r="J608">
        <f>IF(I608="","",IF(I608&gt;=MAXIFS($I$2:$I$5001,$B$2:$B$5001,B608,$A$2:$A$5001,"&lt;="&amp;A608),"PR",""))</f>
        <v/>
      </c>
    </row>
    <row r="609">
      <c r="A609" s="7" t="n"/>
      <c r="H609" s="11">
        <f>IF(OR(D609="",E609=""),"",D609*E609)</f>
        <v/>
      </c>
      <c r="I609" s="8">
        <f>IF(OR(D609="",E609=""),"",E609*(1+D609/30))</f>
        <v/>
      </c>
      <c r="J609">
        <f>IF(I609="","",IF(I609&gt;=MAXIFS($I$2:$I$5001,$B$2:$B$5001,B609,$A$2:$A$5001,"&lt;="&amp;A609),"PR",""))</f>
        <v/>
      </c>
    </row>
    <row r="610">
      <c r="A610" s="7" t="n"/>
      <c r="H610" s="11">
        <f>IF(OR(D610="",E610=""),"",D610*E610)</f>
        <v/>
      </c>
      <c r="I610" s="8">
        <f>IF(OR(D610="",E610=""),"",E610*(1+D610/30))</f>
        <v/>
      </c>
      <c r="J610">
        <f>IF(I610="","",IF(I610&gt;=MAXIFS($I$2:$I$5001,$B$2:$B$5001,B610,$A$2:$A$5001,"&lt;="&amp;A610),"PR",""))</f>
        <v/>
      </c>
    </row>
    <row r="611">
      <c r="A611" s="7" t="n"/>
      <c r="H611" s="11">
        <f>IF(OR(D611="",E611=""),"",D611*E611)</f>
        <v/>
      </c>
      <c r="I611" s="8">
        <f>IF(OR(D611="",E611=""),"",E611*(1+D611/30))</f>
        <v/>
      </c>
      <c r="J611">
        <f>IF(I611="","",IF(I611&gt;=MAXIFS($I$2:$I$5001,$B$2:$B$5001,B611,$A$2:$A$5001,"&lt;="&amp;A611),"PR",""))</f>
        <v/>
      </c>
    </row>
    <row r="612">
      <c r="A612" s="7" t="n"/>
      <c r="H612" s="11">
        <f>IF(OR(D612="",E612=""),"",D612*E612)</f>
        <v/>
      </c>
      <c r="I612" s="8">
        <f>IF(OR(D612="",E612=""),"",E612*(1+D612/30))</f>
        <v/>
      </c>
      <c r="J612">
        <f>IF(I612="","",IF(I612&gt;=MAXIFS($I$2:$I$5001,$B$2:$B$5001,B612,$A$2:$A$5001,"&lt;="&amp;A612),"PR",""))</f>
        <v/>
      </c>
    </row>
    <row r="613">
      <c r="A613" s="7" t="n"/>
      <c r="H613" s="11">
        <f>IF(OR(D613="",E613=""),"",D613*E613)</f>
        <v/>
      </c>
      <c r="I613" s="8">
        <f>IF(OR(D613="",E613=""),"",E613*(1+D613/30))</f>
        <v/>
      </c>
      <c r="J613">
        <f>IF(I613="","",IF(I613&gt;=MAXIFS($I$2:$I$5001,$B$2:$B$5001,B613,$A$2:$A$5001,"&lt;="&amp;A613),"PR",""))</f>
        <v/>
      </c>
    </row>
    <row r="614">
      <c r="A614" s="7" t="n"/>
      <c r="H614" s="11">
        <f>IF(OR(D614="",E614=""),"",D614*E614)</f>
        <v/>
      </c>
      <c r="I614" s="8">
        <f>IF(OR(D614="",E614=""),"",E614*(1+D614/30))</f>
        <v/>
      </c>
      <c r="J614">
        <f>IF(I614="","",IF(I614&gt;=MAXIFS($I$2:$I$5001,$B$2:$B$5001,B614,$A$2:$A$5001,"&lt;="&amp;A614),"PR",""))</f>
        <v/>
      </c>
    </row>
    <row r="615">
      <c r="A615" s="7" t="n"/>
      <c r="H615" s="11">
        <f>IF(OR(D615="",E615=""),"",D615*E615)</f>
        <v/>
      </c>
      <c r="I615" s="8">
        <f>IF(OR(D615="",E615=""),"",E615*(1+D615/30))</f>
        <v/>
      </c>
      <c r="J615">
        <f>IF(I615="","",IF(I615&gt;=MAXIFS($I$2:$I$5001,$B$2:$B$5001,B615,$A$2:$A$5001,"&lt;="&amp;A615),"PR",""))</f>
        <v/>
      </c>
    </row>
    <row r="616">
      <c r="A616" s="7" t="n"/>
      <c r="H616" s="11">
        <f>IF(OR(D616="",E616=""),"",D616*E616)</f>
        <v/>
      </c>
      <c r="I616" s="8">
        <f>IF(OR(D616="",E616=""),"",E616*(1+D616/30))</f>
        <v/>
      </c>
      <c r="J616">
        <f>IF(I616="","",IF(I616&gt;=MAXIFS($I$2:$I$5001,$B$2:$B$5001,B616,$A$2:$A$5001,"&lt;="&amp;A616),"PR",""))</f>
        <v/>
      </c>
    </row>
    <row r="617">
      <c r="A617" s="7" t="n"/>
      <c r="H617" s="11">
        <f>IF(OR(D617="",E617=""),"",D617*E617)</f>
        <v/>
      </c>
      <c r="I617" s="8">
        <f>IF(OR(D617="",E617=""),"",E617*(1+D617/30))</f>
        <v/>
      </c>
      <c r="J617">
        <f>IF(I617="","",IF(I617&gt;=MAXIFS($I$2:$I$5001,$B$2:$B$5001,B617,$A$2:$A$5001,"&lt;="&amp;A617),"PR",""))</f>
        <v/>
      </c>
    </row>
    <row r="618">
      <c r="A618" s="7" t="n"/>
      <c r="H618" s="11">
        <f>IF(OR(D618="",E618=""),"",D618*E618)</f>
        <v/>
      </c>
      <c r="I618" s="8">
        <f>IF(OR(D618="",E618=""),"",E618*(1+D618/30))</f>
        <v/>
      </c>
      <c r="J618">
        <f>IF(I618="","",IF(I618&gt;=MAXIFS($I$2:$I$5001,$B$2:$B$5001,B618,$A$2:$A$5001,"&lt;="&amp;A618),"PR",""))</f>
        <v/>
      </c>
    </row>
    <row r="619">
      <c r="A619" s="7" t="n"/>
      <c r="H619" s="11">
        <f>IF(OR(D619="",E619=""),"",D619*E619)</f>
        <v/>
      </c>
      <c r="I619" s="8">
        <f>IF(OR(D619="",E619=""),"",E619*(1+D619/30))</f>
        <v/>
      </c>
      <c r="J619">
        <f>IF(I619="","",IF(I619&gt;=MAXIFS($I$2:$I$5001,$B$2:$B$5001,B619,$A$2:$A$5001,"&lt;="&amp;A619),"PR",""))</f>
        <v/>
      </c>
    </row>
    <row r="620">
      <c r="A620" s="7" t="n"/>
      <c r="H620" s="11">
        <f>IF(OR(D620="",E620=""),"",D620*E620)</f>
        <v/>
      </c>
      <c r="I620" s="8">
        <f>IF(OR(D620="",E620=""),"",E620*(1+D620/30))</f>
        <v/>
      </c>
      <c r="J620">
        <f>IF(I620="","",IF(I620&gt;=MAXIFS($I$2:$I$5001,$B$2:$B$5001,B620,$A$2:$A$5001,"&lt;="&amp;A620),"PR",""))</f>
        <v/>
      </c>
    </row>
    <row r="621">
      <c r="A621" s="7" t="n"/>
      <c r="H621" s="11">
        <f>IF(OR(D621="",E621=""),"",D621*E621)</f>
        <v/>
      </c>
      <c r="I621" s="8">
        <f>IF(OR(D621="",E621=""),"",E621*(1+D621/30))</f>
        <v/>
      </c>
      <c r="J621">
        <f>IF(I621="","",IF(I621&gt;=MAXIFS($I$2:$I$5001,$B$2:$B$5001,B621,$A$2:$A$5001,"&lt;="&amp;A621),"PR",""))</f>
        <v/>
      </c>
    </row>
    <row r="622">
      <c r="A622" s="7" t="n"/>
      <c r="H622" s="11">
        <f>IF(OR(D622="",E622=""),"",D622*E622)</f>
        <v/>
      </c>
      <c r="I622" s="8">
        <f>IF(OR(D622="",E622=""),"",E622*(1+D622/30))</f>
        <v/>
      </c>
      <c r="J622">
        <f>IF(I622="","",IF(I622&gt;=MAXIFS($I$2:$I$5001,$B$2:$B$5001,B622,$A$2:$A$5001,"&lt;="&amp;A622),"PR",""))</f>
        <v/>
      </c>
    </row>
    <row r="623">
      <c r="A623" s="7" t="n"/>
      <c r="H623" s="11">
        <f>IF(OR(D623="",E623=""),"",D623*E623)</f>
        <v/>
      </c>
      <c r="I623" s="8">
        <f>IF(OR(D623="",E623=""),"",E623*(1+D623/30))</f>
        <v/>
      </c>
      <c r="J623">
        <f>IF(I623="","",IF(I623&gt;=MAXIFS($I$2:$I$5001,$B$2:$B$5001,B623,$A$2:$A$5001,"&lt;="&amp;A623),"PR",""))</f>
        <v/>
      </c>
    </row>
    <row r="624">
      <c r="A624" s="7" t="n"/>
      <c r="H624" s="11">
        <f>IF(OR(D624="",E624=""),"",D624*E624)</f>
        <v/>
      </c>
      <c r="I624" s="8">
        <f>IF(OR(D624="",E624=""),"",E624*(1+D624/30))</f>
        <v/>
      </c>
      <c r="J624">
        <f>IF(I624="","",IF(I624&gt;=MAXIFS($I$2:$I$5001,$B$2:$B$5001,B624,$A$2:$A$5001,"&lt;="&amp;A624),"PR",""))</f>
        <v/>
      </c>
    </row>
    <row r="625">
      <c r="A625" s="7" t="n"/>
      <c r="H625" s="11">
        <f>IF(OR(D625="",E625=""),"",D625*E625)</f>
        <v/>
      </c>
      <c r="I625" s="8">
        <f>IF(OR(D625="",E625=""),"",E625*(1+D625/30))</f>
        <v/>
      </c>
      <c r="J625">
        <f>IF(I625="","",IF(I625&gt;=MAXIFS($I$2:$I$5001,$B$2:$B$5001,B625,$A$2:$A$5001,"&lt;="&amp;A625),"PR",""))</f>
        <v/>
      </c>
    </row>
    <row r="626">
      <c r="A626" s="7" t="n"/>
      <c r="H626" s="11">
        <f>IF(OR(D626="",E626=""),"",D626*E626)</f>
        <v/>
      </c>
      <c r="I626" s="8">
        <f>IF(OR(D626="",E626=""),"",E626*(1+D626/30))</f>
        <v/>
      </c>
      <c r="J626">
        <f>IF(I626="","",IF(I626&gt;=MAXIFS($I$2:$I$5001,$B$2:$B$5001,B626,$A$2:$A$5001,"&lt;="&amp;A626),"PR",""))</f>
        <v/>
      </c>
    </row>
    <row r="627">
      <c r="A627" s="7" t="n"/>
      <c r="H627" s="11">
        <f>IF(OR(D627="",E627=""),"",D627*E627)</f>
        <v/>
      </c>
      <c r="I627" s="8">
        <f>IF(OR(D627="",E627=""),"",E627*(1+D627/30))</f>
        <v/>
      </c>
      <c r="J627">
        <f>IF(I627="","",IF(I627&gt;=MAXIFS($I$2:$I$5001,$B$2:$B$5001,B627,$A$2:$A$5001,"&lt;="&amp;A627),"PR",""))</f>
        <v/>
      </c>
    </row>
    <row r="628">
      <c r="A628" s="7" t="n"/>
      <c r="H628" s="11">
        <f>IF(OR(D628="",E628=""),"",D628*E628)</f>
        <v/>
      </c>
      <c r="I628" s="8">
        <f>IF(OR(D628="",E628=""),"",E628*(1+D628/30))</f>
        <v/>
      </c>
      <c r="J628">
        <f>IF(I628="","",IF(I628&gt;=MAXIFS($I$2:$I$5001,$B$2:$B$5001,B628,$A$2:$A$5001,"&lt;="&amp;A628),"PR",""))</f>
        <v/>
      </c>
    </row>
    <row r="629">
      <c r="A629" s="7" t="n"/>
      <c r="H629" s="11">
        <f>IF(OR(D629="",E629=""),"",D629*E629)</f>
        <v/>
      </c>
      <c r="I629" s="8">
        <f>IF(OR(D629="",E629=""),"",E629*(1+D629/30))</f>
        <v/>
      </c>
      <c r="J629">
        <f>IF(I629="","",IF(I629&gt;=MAXIFS($I$2:$I$5001,$B$2:$B$5001,B629,$A$2:$A$5001,"&lt;="&amp;A629),"PR",""))</f>
        <v/>
      </c>
    </row>
    <row r="630">
      <c r="A630" s="7" t="n"/>
      <c r="H630" s="11">
        <f>IF(OR(D630="",E630=""),"",D630*E630)</f>
        <v/>
      </c>
      <c r="I630" s="8">
        <f>IF(OR(D630="",E630=""),"",E630*(1+D630/30))</f>
        <v/>
      </c>
      <c r="J630">
        <f>IF(I630="","",IF(I630&gt;=MAXIFS($I$2:$I$5001,$B$2:$B$5001,B630,$A$2:$A$5001,"&lt;="&amp;A630),"PR",""))</f>
        <v/>
      </c>
    </row>
    <row r="631">
      <c r="A631" s="7" t="n"/>
      <c r="H631" s="11">
        <f>IF(OR(D631="",E631=""),"",D631*E631)</f>
        <v/>
      </c>
      <c r="I631" s="8">
        <f>IF(OR(D631="",E631=""),"",E631*(1+D631/30))</f>
        <v/>
      </c>
      <c r="J631">
        <f>IF(I631="","",IF(I631&gt;=MAXIFS($I$2:$I$5001,$B$2:$B$5001,B631,$A$2:$A$5001,"&lt;="&amp;A631),"PR",""))</f>
        <v/>
      </c>
    </row>
    <row r="632">
      <c r="A632" s="7" t="n"/>
      <c r="H632" s="11">
        <f>IF(OR(D632="",E632=""),"",D632*E632)</f>
        <v/>
      </c>
      <c r="I632" s="8">
        <f>IF(OR(D632="",E632=""),"",E632*(1+D632/30))</f>
        <v/>
      </c>
      <c r="J632">
        <f>IF(I632="","",IF(I632&gt;=MAXIFS($I$2:$I$5001,$B$2:$B$5001,B632,$A$2:$A$5001,"&lt;="&amp;A632),"PR",""))</f>
        <v/>
      </c>
    </row>
    <row r="633">
      <c r="A633" s="7" t="n"/>
      <c r="H633" s="11">
        <f>IF(OR(D633="",E633=""),"",D633*E633)</f>
        <v/>
      </c>
      <c r="I633" s="8">
        <f>IF(OR(D633="",E633=""),"",E633*(1+D633/30))</f>
        <v/>
      </c>
      <c r="J633">
        <f>IF(I633="","",IF(I633&gt;=MAXIFS($I$2:$I$5001,$B$2:$B$5001,B633,$A$2:$A$5001,"&lt;="&amp;A633),"PR",""))</f>
        <v/>
      </c>
    </row>
    <row r="634">
      <c r="A634" s="7" t="n"/>
      <c r="H634" s="11">
        <f>IF(OR(D634="",E634=""),"",D634*E634)</f>
        <v/>
      </c>
      <c r="I634" s="8">
        <f>IF(OR(D634="",E634=""),"",E634*(1+D634/30))</f>
        <v/>
      </c>
      <c r="J634">
        <f>IF(I634="","",IF(I634&gt;=MAXIFS($I$2:$I$5001,$B$2:$B$5001,B634,$A$2:$A$5001,"&lt;="&amp;A634),"PR",""))</f>
        <v/>
      </c>
    </row>
    <row r="635">
      <c r="A635" s="7" t="n"/>
      <c r="H635" s="11">
        <f>IF(OR(D635="",E635=""),"",D635*E635)</f>
        <v/>
      </c>
      <c r="I635" s="8">
        <f>IF(OR(D635="",E635=""),"",E635*(1+D635/30))</f>
        <v/>
      </c>
      <c r="J635">
        <f>IF(I635="","",IF(I635&gt;=MAXIFS($I$2:$I$5001,$B$2:$B$5001,B635,$A$2:$A$5001,"&lt;="&amp;A635),"PR",""))</f>
        <v/>
      </c>
    </row>
    <row r="636">
      <c r="A636" s="7" t="n"/>
      <c r="H636" s="11">
        <f>IF(OR(D636="",E636=""),"",D636*E636)</f>
        <v/>
      </c>
      <c r="I636" s="8">
        <f>IF(OR(D636="",E636=""),"",E636*(1+D636/30))</f>
        <v/>
      </c>
      <c r="J636">
        <f>IF(I636="","",IF(I636&gt;=MAXIFS($I$2:$I$5001,$B$2:$B$5001,B636,$A$2:$A$5001,"&lt;="&amp;A636),"PR",""))</f>
        <v/>
      </c>
    </row>
    <row r="637">
      <c r="A637" s="7" t="n"/>
      <c r="H637" s="11">
        <f>IF(OR(D637="",E637=""),"",D637*E637)</f>
        <v/>
      </c>
      <c r="I637" s="8">
        <f>IF(OR(D637="",E637=""),"",E637*(1+D637/30))</f>
        <v/>
      </c>
      <c r="J637">
        <f>IF(I637="","",IF(I637&gt;=MAXIFS($I$2:$I$5001,$B$2:$B$5001,B637,$A$2:$A$5001,"&lt;="&amp;A637),"PR",""))</f>
        <v/>
      </c>
    </row>
    <row r="638">
      <c r="A638" s="7" t="n"/>
      <c r="H638" s="11">
        <f>IF(OR(D638="",E638=""),"",D638*E638)</f>
        <v/>
      </c>
      <c r="I638" s="8">
        <f>IF(OR(D638="",E638=""),"",E638*(1+D638/30))</f>
        <v/>
      </c>
      <c r="J638">
        <f>IF(I638="","",IF(I638&gt;=MAXIFS($I$2:$I$5001,$B$2:$B$5001,B638,$A$2:$A$5001,"&lt;="&amp;A638),"PR",""))</f>
        <v/>
      </c>
    </row>
    <row r="639">
      <c r="A639" s="7" t="n"/>
      <c r="H639" s="11">
        <f>IF(OR(D639="",E639=""),"",D639*E639)</f>
        <v/>
      </c>
      <c r="I639" s="8">
        <f>IF(OR(D639="",E639=""),"",E639*(1+D639/30))</f>
        <v/>
      </c>
      <c r="J639">
        <f>IF(I639="","",IF(I639&gt;=MAXIFS($I$2:$I$5001,$B$2:$B$5001,B639,$A$2:$A$5001,"&lt;="&amp;A639),"PR",""))</f>
        <v/>
      </c>
    </row>
    <row r="640">
      <c r="A640" s="7" t="n"/>
      <c r="H640" s="11">
        <f>IF(OR(D640="",E640=""),"",D640*E640)</f>
        <v/>
      </c>
      <c r="I640" s="8">
        <f>IF(OR(D640="",E640=""),"",E640*(1+D640/30))</f>
        <v/>
      </c>
      <c r="J640">
        <f>IF(I640="","",IF(I640&gt;=MAXIFS($I$2:$I$5001,$B$2:$B$5001,B640,$A$2:$A$5001,"&lt;="&amp;A640),"PR",""))</f>
        <v/>
      </c>
    </row>
    <row r="641">
      <c r="A641" s="7" t="n"/>
      <c r="H641" s="11">
        <f>IF(OR(D641="",E641=""),"",D641*E641)</f>
        <v/>
      </c>
      <c r="I641" s="8">
        <f>IF(OR(D641="",E641=""),"",E641*(1+D641/30))</f>
        <v/>
      </c>
      <c r="J641">
        <f>IF(I641="","",IF(I641&gt;=MAXIFS($I$2:$I$5001,$B$2:$B$5001,B641,$A$2:$A$5001,"&lt;="&amp;A641),"PR",""))</f>
        <v/>
      </c>
    </row>
    <row r="642">
      <c r="A642" s="7" t="n"/>
      <c r="H642" s="11">
        <f>IF(OR(D642="",E642=""),"",D642*E642)</f>
        <v/>
      </c>
      <c r="I642" s="8">
        <f>IF(OR(D642="",E642=""),"",E642*(1+D642/30))</f>
        <v/>
      </c>
      <c r="J642">
        <f>IF(I642="","",IF(I642&gt;=MAXIFS($I$2:$I$5001,$B$2:$B$5001,B642,$A$2:$A$5001,"&lt;="&amp;A642),"PR",""))</f>
        <v/>
      </c>
    </row>
    <row r="643">
      <c r="A643" s="7" t="n"/>
      <c r="H643" s="11">
        <f>IF(OR(D643="",E643=""),"",D643*E643)</f>
        <v/>
      </c>
      <c r="I643" s="8">
        <f>IF(OR(D643="",E643=""),"",E643*(1+D643/30))</f>
        <v/>
      </c>
      <c r="J643">
        <f>IF(I643="","",IF(I643&gt;=MAXIFS($I$2:$I$5001,$B$2:$B$5001,B643,$A$2:$A$5001,"&lt;="&amp;A643),"PR",""))</f>
        <v/>
      </c>
    </row>
    <row r="644">
      <c r="A644" s="7" t="n"/>
      <c r="H644" s="11">
        <f>IF(OR(D644="",E644=""),"",D644*E644)</f>
        <v/>
      </c>
      <c r="I644" s="8">
        <f>IF(OR(D644="",E644=""),"",E644*(1+D644/30))</f>
        <v/>
      </c>
      <c r="J644">
        <f>IF(I644="","",IF(I644&gt;=MAXIFS($I$2:$I$5001,$B$2:$B$5001,B644,$A$2:$A$5001,"&lt;="&amp;A644),"PR",""))</f>
        <v/>
      </c>
    </row>
    <row r="645">
      <c r="A645" s="7" t="n"/>
      <c r="H645" s="11">
        <f>IF(OR(D645="",E645=""),"",D645*E645)</f>
        <v/>
      </c>
      <c r="I645" s="8">
        <f>IF(OR(D645="",E645=""),"",E645*(1+D645/30))</f>
        <v/>
      </c>
      <c r="J645">
        <f>IF(I645="","",IF(I645&gt;=MAXIFS($I$2:$I$5001,$B$2:$B$5001,B645,$A$2:$A$5001,"&lt;="&amp;A645),"PR",""))</f>
        <v/>
      </c>
    </row>
    <row r="646">
      <c r="A646" s="7" t="n"/>
      <c r="H646" s="11">
        <f>IF(OR(D646="",E646=""),"",D646*E646)</f>
        <v/>
      </c>
      <c r="I646" s="8">
        <f>IF(OR(D646="",E646=""),"",E646*(1+D646/30))</f>
        <v/>
      </c>
      <c r="J646">
        <f>IF(I646="","",IF(I646&gt;=MAXIFS($I$2:$I$5001,$B$2:$B$5001,B646,$A$2:$A$5001,"&lt;="&amp;A646),"PR",""))</f>
        <v/>
      </c>
    </row>
    <row r="647">
      <c r="A647" s="7" t="n"/>
      <c r="H647" s="11">
        <f>IF(OR(D647="",E647=""),"",D647*E647)</f>
        <v/>
      </c>
      <c r="I647" s="8">
        <f>IF(OR(D647="",E647=""),"",E647*(1+D647/30))</f>
        <v/>
      </c>
      <c r="J647">
        <f>IF(I647="","",IF(I647&gt;=MAXIFS($I$2:$I$5001,$B$2:$B$5001,B647,$A$2:$A$5001,"&lt;="&amp;A647),"PR",""))</f>
        <v/>
      </c>
    </row>
    <row r="648">
      <c r="A648" s="7" t="n"/>
      <c r="H648" s="11">
        <f>IF(OR(D648="",E648=""),"",D648*E648)</f>
        <v/>
      </c>
      <c r="I648" s="8">
        <f>IF(OR(D648="",E648=""),"",E648*(1+D648/30))</f>
        <v/>
      </c>
      <c r="J648">
        <f>IF(I648="","",IF(I648&gt;=MAXIFS($I$2:$I$5001,$B$2:$B$5001,B648,$A$2:$A$5001,"&lt;="&amp;A648),"PR",""))</f>
        <v/>
      </c>
    </row>
    <row r="649">
      <c r="A649" s="7" t="n"/>
      <c r="H649" s="11">
        <f>IF(OR(D649="",E649=""),"",D649*E649)</f>
        <v/>
      </c>
      <c r="I649" s="8">
        <f>IF(OR(D649="",E649=""),"",E649*(1+D649/30))</f>
        <v/>
      </c>
      <c r="J649">
        <f>IF(I649="","",IF(I649&gt;=MAXIFS($I$2:$I$5001,$B$2:$B$5001,B649,$A$2:$A$5001,"&lt;="&amp;A649),"PR",""))</f>
        <v/>
      </c>
    </row>
    <row r="650">
      <c r="A650" s="7" t="n"/>
      <c r="H650" s="11">
        <f>IF(OR(D650="",E650=""),"",D650*E650)</f>
        <v/>
      </c>
      <c r="I650" s="8">
        <f>IF(OR(D650="",E650=""),"",E650*(1+D650/30))</f>
        <v/>
      </c>
      <c r="J650">
        <f>IF(I650="","",IF(I650&gt;=MAXIFS($I$2:$I$5001,$B$2:$B$5001,B650,$A$2:$A$5001,"&lt;="&amp;A650),"PR",""))</f>
        <v/>
      </c>
    </row>
    <row r="651">
      <c r="A651" s="7" t="n"/>
      <c r="H651" s="11">
        <f>IF(OR(D651="",E651=""),"",D651*E651)</f>
        <v/>
      </c>
      <c r="I651" s="8">
        <f>IF(OR(D651="",E651=""),"",E651*(1+D651/30))</f>
        <v/>
      </c>
      <c r="J651">
        <f>IF(I651="","",IF(I651&gt;=MAXIFS($I$2:$I$5001,$B$2:$B$5001,B651,$A$2:$A$5001,"&lt;="&amp;A651),"PR",""))</f>
        <v/>
      </c>
    </row>
    <row r="652">
      <c r="A652" s="7" t="n"/>
      <c r="H652" s="11">
        <f>IF(OR(D652="",E652=""),"",D652*E652)</f>
        <v/>
      </c>
      <c r="I652" s="8">
        <f>IF(OR(D652="",E652=""),"",E652*(1+D652/30))</f>
        <v/>
      </c>
      <c r="J652">
        <f>IF(I652="","",IF(I652&gt;=MAXIFS($I$2:$I$5001,$B$2:$B$5001,B652,$A$2:$A$5001,"&lt;="&amp;A652),"PR",""))</f>
        <v/>
      </c>
    </row>
    <row r="653">
      <c r="A653" s="7" t="n"/>
      <c r="H653" s="11">
        <f>IF(OR(D653="",E653=""),"",D653*E653)</f>
        <v/>
      </c>
      <c r="I653" s="8">
        <f>IF(OR(D653="",E653=""),"",E653*(1+D653/30))</f>
        <v/>
      </c>
      <c r="J653">
        <f>IF(I653="","",IF(I653&gt;=MAXIFS($I$2:$I$5001,$B$2:$B$5001,B653,$A$2:$A$5001,"&lt;="&amp;A653),"PR",""))</f>
        <v/>
      </c>
    </row>
    <row r="654">
      <c r="A654" s="7" t="n"/>
      <c r="H654" s="11">
        <f>IF(OR(D654="",E654=""),"",D654*E654)</f>
        <v/>
      </c>
      <c r="I654" s="8">
        <f>IF(OR(D654="",E654=""),"",E654*(1+D654/30))</f>
        <v/>
      </c>
      <c r="J654">
        <f>IF(I654="","",IF(I654&gt;=MAXIFS($I$2:$I$5001,$B$2:$B$5001,B654,$A$2:$A$5001,"&lt;="&amp;A654),"PR",""))</f>
        <v/>
      </c>
    </row>
    <row r="655">
      <c r="A655" s="7" t="n"/>
      <c r="H655" s="11">
        <f>IF(OR(D655="",E655=""),"",D655*E655)</f>
        <v/>
      </c>
      <c r="I655" s="8">
        <f>IF(OR(D655="",E655=""),"",E655*(1+D655/30))</f>
        <v/>
      </c>
      <c r="J655">
        <f>IF(I655="","",IF(I655&gt;=MAXIFS($I$2:$I$5001,$B$2:$B$5001,B655,$A$2:$A$5001,"&lt;="&amp;A655),"PR",""))</f>
        <v/>
      </c>
    </row>
    <row r="656">
      <c r="A656" s="7" t="n"/>
      <c r="H656" s="11">
        <f>IF(OR(D656="",E656=""),"",D656*E656)</f>
        <v/>
      </c>
      <c r="I656" s="8">
        <f>IF(OR(D656="",E656=""),"",E656*(1+D656/30))</f>
        <v/>
      </c>
      <c r="J656">
        <f>IF(I656="","",IF(I656&gt;=MAXIFS($I$2:$I$5001,$B$2:$B$5001,B656,$A$2:$A$5001,"&lt;="&amp;A656),"PR",""))</f>
        <v/>
      </c>
    </row>
    <row r="657">
      <c r="A657" s="7" t="n"/>
      <c r="H657" s="11">
        <f>IF(OR(D657="",E657=""),"",D657*E657)</f>
        <v/>
      </c>
      <c r="I657" s="8">
        <f>IF(OR(D657="",E657=""),"",E657*(1+D657/30))</f>
        <v/>
      </c>
      <c r="J657">
        <f>IF(I657="","",IF(I657&gt;=MAXIFS($I$2:$I$5001,$B$2:$B$5001,B657,$A$2:$A$5001,"&lt;="&amp;A657),"PR",""))</f>
        <v/>
      </c>
    </row>
    <row r="658">
      <c r="A658" s="7" t="n"/>
      <c r="H658" s="11">
        <f>IF(OR(D658="",E658=""),"",D658*E658)</f>
        <v/>
      </c>
      <c r="I658" s="8">
        <f>IF(OR(D658="",E658=""),"",E658*(1+D658/30))</f>
        <v/>
      </c>
      <c r="J658">
        <f>IF(I658="","",IF(I658&gt;=MAXIFS($I$2:$I$5001,$B$2:$B$5001,B658,$A$2:$A$5001,"&lt;="&amp;A658),"PR",""))</f>
        <v/>
      </c>
    </row>
    <row r="659">
      <c r="A659" s="7" t="n"/>
      <c r="H659" s="11">
        <f>IF(OR(D659="",E659=""),"",D659*E659)</f>
        <v/>
      </c>
      <c r="I659" s="8">
        <f>IF(OR(D659="",E659=""),"",E659*(1+D659/30))</f>
        <v/>
      </c>
      <c r="J659">
        <f>IF(I659="","",IF(I659&gt;=MAXIFS($I$2:$I$5001,$B$2:$B$5001,B659,$A$2:$A$5001,"&lt;="&amp;A659),"PR",""))</f>
        <v/>
      </c>
    </row>
    <row r="660">
      <c r="A660" s="7" t="n"/>
      <c r="H660" s="11">
        <f>IF(OR(D660="",E660=""),"",D660*E660)</f>
        <v/>
      </c>
      <c r="I660" s="8">
        <f>IF(OR(D660="",E660=""),"",E660*(1+D660/30))</f>
        <v/>
      </c>
      <c r="J660">
        <f>IF(I660="","",IF(I660&gt;=MAXIFS($I$2:$I$5001,$B$2:$B$5001,B660,$A$2:$A$5001,"&lt;="&amp;A660),"PR",""))</f>
        <v/>
      </c>
    </row>
    <row r="661">
      <c r="A661" s="7" t="n"/>
      <c r="H661" s="11">
        <f>IF(OR(D661="",E661=""),"",D661*E661)</f>
        <v/>
      </c>
      <c r="I661" s="8">
        <f>IF(OR(D661="",E661=""),"",E661*(1+D661/30))</f>
        <v/>
      </c>
      <c r="J661">
        <f>IF(I661="","",IF(I661&gt;=MAXIFS($I$2:$I$5001,$B$2:$B$5001,B661,$A$2:$A$5001,"&lt;="&amp;A661),"PR",""))</f>
        <v/>
      </c>
    </row>
    <row r="662">
      <c r="A662" s="7" t="n"/>
      <c r="H662" s="11">
        <f>IF(OR(D662="",E662=""),"",D662*E662)</f>
        <v/>
      </c>
      <c r="I662" s="8">
        <f>IF(OR(D662="",E662=""),"",E662*(1+D662/30))</f>
        <v/>
      </c>
      <c r="J662">
        <f>IF(I662="","",IF(I662&gt;=MAXIFS($I$2:$I$5001,$B$2:$B$5001,B662,$A$2:$A$5001,"&lt;="&amp;A662),"PR",""))</f>
        <v/>
      </c>
    </row>
    <row r="663">
      <c r="A663" s="7" t="n"/>
      <c r="H663" s="11">
        <f>IF(OR(D663="",E663=""),"",D663*E663)</f>
        <v/>
      </c>
      <c r="I663" s="8">
        <f>IF(OR(D663="",E663=""),"",E663*(1+D663/30))</f>
        <v/>
      </c>
      <c r="J663">
        <f>IF(I663="","",IF(I663&gt;=MAXIFS($I$2:$I$5001,$B$2:$B$5001,B663,$A$2:$A$5001,"&lt;="&amp;A663),"PR",""))</f>
        <v/>
      </c>
    </row>
    <row r="664">
      <c r="A664" s="7" t="n"/>
      <c r="H664" s="11">
        <f>IF(OR(D664="",E664=""),"",D664*E664)</f>
        <v/>
      </c>
      <c r="I664" s="8">
        <f>IF(OR(D664="",E664=""),"",E664*(1+D664/30))</f>
        <v/>
      </c>
      <c r="J664">
        <f>IF(I664="","",IF(I664&gt;=MAXIFS($I$2:$I$5001,$B$2:$B$5001,B664,$A$2:$A$5001,"&lt;="&amp;A664),"PR",""))</f>
        <v/>
      </c>
    </row>
    <row r="665">
      <c r="A665" s="7" t="n"/>
      <c r="H665" s="11">
        <f>IF(OR(D665="",E665=""),"",D665*E665)</f>
        <v/>
      </c>
      <c r="I665" s="8">
        <f>IF(OR(D665="",E665=""),"",E665*(1+D665/30))</f>
        <v/>
      </c>
      <c r="J665">
        <f>IF(I665="","",IF(I665&gt;=MAXIFS($I$2:$I$5001,$B$2:$B$5001,B665,$A$2:$A$5001,"&lt;="&amp;A665),"PR",""))</f>
        <v/>
      </c>
    </row>
    <row r="666">
      <c r="A666" s="7" t="n"/>
      <c r="H666" s="11">
        <f>IF(OR(D666="",E666=""),"",D666*E666)</f>
        <v/>
      </c>
      <c r="I666" s="8">
        <f>IF(OR(D666="",E666=""),"",E666*(1+D666/30))</f>
        <v/>
      </c>
      <c r="J666">
        <f>IF(I666="","",IF(I666&gt;=MAXIFS($I$2:$I$5001,$B$2:$B$5001,B666,$A$2:$A$5001,"&lt;="&amp;A666),"PR",""))</f>
        <v/>
      </c>
    </row>
    <row r="667">
      <c r="A667" s="7" t="n"/>
      <c r="H667" s="11">
        <f>IF(OR(D667="",E667=""),"",D667*E667)</f>
        <v/>
      </c>
      <c r="I667" s="8">
        <f>IF(OR(D667="",E667=""),"",E667*(1+D667/30))</f>
        <v/>
      </c>
      <c r="J667">
        <f>IF(I667="","",IF(I667&gt;=MAXIFS($I$2:$I$5001,$B$2:$B$5001,B667,$A$2:$A$5001,"&lt;="&amp;A667),"PR",""))</f>
        <v/>
      </c>
    </row>
    <row r="668">
      <c r="A668" s="7" t="n"/>
      <c r="H668" s="11">
        <f>IF(OR(D668="",E668=""),"",D668*E668)</f>
        <v/>
      </c>
      <c r="I668" s="8">
        <f>IF(OR(D668="",E668=""),"",E668*(1+D668/30))</f>
        <v/>
      </c>
      <c r="J668">
        <f>IF(I668="","",IF(I668&gt;=MAXIFS($I$2:$I$5001,$B$2:$B$5001,B668,$A$2:$A$5001,"&lt;="&amp;A668),"PR",""))</f>
        <v/>
      </c>
    </row>
    <row r="669">
      <c r="A669" s="7" t="n"/>
      <c r="H669" s="11">
        <f>IF(OR(D669="",E669=""),"",D669*E669)</f>
        <v/>
      </c>
      <c r="I669" s="8">
        <f>IF(OR(D669="",E669=""),"",E669*(1+D669/30))</f>
        <v/>
      </c>
      <c r="J669">
        <f>IF(I669="","",IF(I669&gt;=MAXIFS($I$2:$I$5001,$B$2:$B$5001,B669,$A$2:$A$5001,"&lt;="&amp;A669),"PR",""))</f>
        <v/>
      </c>
    </row>
    <row r="670">
      <c r="A670" s="7" t="n"/>
      <c r="H670" s="11">
        <f>IF(OR(D670="",E670=""),"",D670*E670)</f>
        <v/>
      </c>
      <c r="I670" s="8">
        <f>IF(OR(D670="",E670=""),"",E670*(1+D670/30))</f>
        <v/>
      </c>
      <c r="J670">
        <f>IF(I670="","",IF(I670&gt;=MAXIFS($I$2:$I$5001,$B$2:$B$5001,B670,$A$2:$A$5001,"&lt;="&amp;A670),"PR",""))</f>
        <v/>
      </c>
    </row>
    <row r="671">
      <c r="A671" s="7" t="n"/>
      <c r="H671" s="11">
        <f>IF(OR(D671="",E671=""),"",D671*E671)</f>
        <v/>
      </c>
      <c r="I671" s="8">
        <f>IF(OR(D671="",E671=""),"",E671*(1+D671/30))</f>
        <v/>
      </c>
      <c r="J671">
        <f>IF(I671="","",IF(I671&gt;=MAXIFS($I$2:$I$5001,$B$2:$B$5001,B671,$A$2:$A$5001,"&lt;="&amp;A671),"PR",""))</f>
        <v/>
      </c>
    </row>
    <row r="672">
      <c r="A672" s="7" t="n"/>
      <c r="H672" s="11">
        <f>IF(OR(D672="",E672=""),"",D672*E672)</f>
        <v/>
      </c>
      <c r="I672" s="8">
        <f>IF(OR(D672="",E672=""),"",E672*(1+D672/30))</f>
        <v/>
      </c>
      <c r="J672">
        <f>IF(I672="","",IF(I672&gt;=MAXIFS($I$2:$I$5001,$B$2:$B$5001,B672,$A$2:$A$5001,"&lt;="&amp;A672),"PR",""))</f>
        <v/>
      </c>
    </row>
    <row r="673">
      <c r="A673" s="7" t="n"/>
      <c r="H673" s="11">
        <f>IF(OR(D673="",E673=""),"",D673*E673)</f>
        <v/>
      </c>
      <c r="I673" s="8">
        <f>IF(OR(D673="",E673=""),"",E673*(1+D673/30))</f>
        <v/>
      </c>
      <c r="J673">
        <f>IF(I673="","",IF(I673&gt;=MAXIFS($I$2:$I$5001,$B$2:$B$5001,B673,$A$2:$A$5001,"&lt;="&amp;A673),"PR",""))</f>
        <v/>
      </c>
    </row>
    <row r="674">
      <c r="A674" s="7" t="n"/>
      <c r="H674" s="11">
        <f>IF(OR(D674="",E674=""),"",D674*E674)</f>
        <v/>
      </c>
      <c r="I674" s="8">
        <f>IF(OR(D674="",E674=""),"",E674*(1+D674/30))</f>
        <v/>
      </c>
      <c r="J674">
        <f>IF(I674="","",IF(I674&gt;=MAXIFS($I$2:$I$5001,$B$2:$B$5001,B674,$A$2:$A$5001,"&lt;="&amp;A674),"PR",""))</f>
        <v/>
      </c>
    </row>
    <row r="675">
      <c r="A675" s="7" t="n"/>
      <c r="H675" s="11">
        <f>IF(OR(D675="",E675=""),"",D675*E675)</f>
        <v/>
      </c>
      <c r="I675" s="8">
        <f>IF(OR(D675="",E675=""),"",E675*(1+D675/30))</f>
        <v/>
      </c>
      <c r="J675">
        <f>IF(I675="","",IF(I675&gt;=MAXIFS($I$2:$I$5001,$B$2:$B$5001,B675,$A$2:$A$5001,"&lt;="&amp;A675),"PR",""))</f>
        <v/>
      </c>
    </row>
    <row r="676">
      <c r="A676" s="7" t="n"/>
      <c r="H676" s="11">
        <f>IF(OR(D676="",E676=""),"",D676*E676)</f>
        <v/>
      </c>
      <c r="I676" s="8">
        <f>IF(OR(D676="",E676=""),"",E676*(1+D676/30))</f>
        <v/>
      </c>
      <c r="J676">
        <f>IF(I676="","",IF(I676&gt;=MAXIFS($I$2:$I$5001,$B$2:$B$5001,B676,$A$2:$A$5001,"&lt;="&amp;A676),"PR",""))</f>
        <v/>
      </c>
    </row>
    <row r="677">
      <c r="A677" s="7" t="n"/>
      <c r="H677" s="11">
        <f>IF(OR(D677="",E677=""),"",D677*E677)</f>
        <v/>
      </c>
      <c r="I677" s="8">
        <f>IF(OR(D677="",E677=""),"",E677*(1+D677/30))</f>
        <v/>
      </c>
      <c r="J677">
        <f>IF(I677="","",IF(I677&gt;=MAXIFS($I$2:$I$5001,$B$2:$B$5001,B677,$A$2:$A$5001,"&lt;="&amp;A677),"PR",""))</f>
        <v/>
      </c>
    </row>
    <row r="678">
      <c r="A678" s="7" t="n"/>
      <c r="H678" s="11">
        <f>IF(OR(D678="",E678=""),"",D678*E678)</f>
        <v/>
      </c>
      <c r="I678" s="8">
        <f>IF(OR(D678="",E678=""),"",E678*(1+D678/30))</f>
        <v/>
      </c>
      <c r="J678">
        <f>IF(I678="","",IF(I678&gt;=MAXIFS($I$2:$I$5001,$B$2:$B$5001,B678,$A$2:$A$5001,"&lt;="&amp;A678),"PR",""))</f>
        <v/>
      </c>
    </row>
    <row r="679">
      <c r="A679" s="7" t="n"/>
      <c r="H679" s="11">
        <f>IF(OR(D679="",E679=""),"",D679*E679)</f>
        <v/>
      </c>
      <c r="I679" s="8">
        <f>IF(OR(D679="",E679=""),"",E679*(1+D679/30))</f>
        <v/>
      </c>
      <c r="J679">
        <f>IF(I679="","",IF(I679&gt;=MAXIFS($I$2:$I$5001,$B$2:$B$5001,B679,$A$2:$A$5001,"&lt;="&amp;A679),"PR",""))</f>
        <v/>
      </c>
    </row>
    <row r="680">
      <c r="A680" s="7" t="n"/>
      <c r="H680" s="11">
        <f>IF(OR(D680="",E680=""),"",D680*E680)</f>
        <v/>
      </c>
      <c r="I680" s="8">
        <f>IF(OR(D680="",E680=""),"",E680*(1+D680/30))</f>
        <v/>
      </c>
      <c r="J680">
        <f>IF(I680="","",IF(I680&gt;=MAXIFS($I$2:$I$5001,$B$2:$B$5001,B680,$A$2:$A$5001,"&lt;="&amp;A680),"PR",""))</f>
        <v/>
      </c>
    </row>
    <row r="681">
      <c r="A681" s="7" t="n"/>
      <c r="H681" s="11">
        <f>IF(OR(D681="",E681=""),"",D681*E681)</f>
        <v/>
      </c>
      <c r="I681" s="8">
        <f>IF(OR(D681="",E681=""),"",E681*(1+D681/30))</f>
        <v/>
      </c>
      <c r="J681">
        <f>IF(I681="","",IF(I681&gt;=MAXIFS($I$2:$I$5001,$B$2:$B$5001,B681,$A$2:$A$5001,"&lt;="&amp;A681),"PR",""))</f>
        <v/>
      </c>
    </row>
    <row r="682">
      <c r="A682" s="7" t="n"/>
      <c r="H682" s="11">
        <f>IF(OR(D682="",E682=""),"",D682*E682)</f>
        <v/>
      </c>
      <c r="I682" s="8">
        <f>IF(OR(D682="",E682=""),"",E682*(1+D682/30))</f>
        <v/>
      </c>
      <c r="J682">
        <f>IF(I682="","",IF(I682&gt;=MAXIFS($I$2:$I$5001,$B$2:$B$5001,B682,$A$2:$A$5001,"&lt;="&amp;A682),"PR",""))</f>
        <v/>
      </c>
    </row>
    <row r="683">
      <c r="A683" s="7" t="n"/>
      <c r="H683" s="11">
        <f>IF(OR(D683="",E683=""),"",D683*E683)</f>
        <v/>
      </c>
      <c r="I683" s="8">
        <f>IF(OR(D683="",E683=""),"",E683*(1+D683/30))</f>
        <v/>
      </c>
      <c r="J683">
        <f>IF(I683="","",IF(I683&gt;=MAXIFS($I$2:$I$5001,$B$2:$B$5001,B683,$A$2:$A$5001,"&lt;="&amp;A683),"PR",""))</f>
        <v/>
      </c>
    </row>
    <row r="684">
      <c r="A684" s="7" t="n"/>
      <c r="H684" s="11">
        <f>IF(OR(D684="",E684=""),"",D684*E684)</f>
        <v/>
      </c>
      <c r="I684" s="8">
        <f>IF(OR(D684="",E684=""),"",E684*(1+D684/30))</f>
        <v/>
      </c>
      <c r="J684">
        <f>IF(I684="","",IF(I684&gt;=MAXIFS($I$2:$I$5001,$B$2:$B$5001,B684,$A$2:$A$5001,"&lt;="&amp;A684),"PR",""))</f>
        <v/>
      </c>
    </row>
    <row r="685">
      <c r="A685" s="7" t="n"/>
      <c r="H685" s="11">
        <f>IF(OR(D685="",E685=""),"",D685*E685)</f>
        <v/>
      </c>
      <c r="I685" s="8">
        <f>IF(OR(D685="",E685=""),"",E685*(1+D685/30))</f>
        <v/>
      </c>
      <c r="J685">
        <f>IF(I685="","",IF(I685&gt;=MAXIFS($I$2:$I$5001,$B$2:$B$5001,B685,$A$2:$A$5001,"&lt;="&amp;A685),"PR",""))</f>
        <v/>
      </c>
    </row>
    <row r="686">
      <c r="A686" s="7" t="n"/>
      <c r="H686" s="11">
        <f>IF(OR(D686="",E686=""),"",D686*E686)</f>
        <v/>
      </c>
      <c r="I686" s="8">
        <f>IF(OR(D686="",E686=""),"",E686*(1+D686/30))</f>
        <v/>
      </c>
      <c r="J686">
        <f>IF(I686="","",IF(I686&gt;=MAXIFS($I$2:$I$5001,$B$2:$B$5001,B686,$A$2:$A$5001,"&lt;="&amp;A686),"PR",""))</f>
        <v/>
      </c>
    </row>
    <row r="687">
      <c r="A687" s="7" t="n"/>
      <c r="H687" s="11">
        <f>IF(OR(D687="",E687=""),"",D687*E687)</f>
        <v/>
      </c>
      <c r="I687" s="8">
        <f>IF(OR(D687="",E687=""),"",E687*(1+D687/30))</f>
        <v/>
      </c>
      <c r="J687">
        <f>IF(I687="","",IF(I687&gt;=MAXIFS($I$2:$I$5001,$B$2:$B$5001,B687,$A$2:$A$5001,"&lt;="&amp;A687),"PR",""))</f>
        <v/>
      </c>
    </row>
    <row r="688">
      <c r="A688" s="7" t="n"/>
      <c r="H688" s="11">
        <f>IF(OR(D688="",E688=""),"",D688*E688)</f>
        <v/>
      </c>
      <c r="I688" s="8">
        <f>IF(OR(D688="",E688=""),"",E688*(1+D688/30))</f>
        <v/>
      </c>
      <c r="J688">
        <f>IF(I688="","",IF(I688&gt;=MAXIFS($I$2:$I$5001,$B$2:$B$5001,B688,$A$2:$A$5001,"&lt;="&amp;A688),"PR",""))</f>
        <v/>
      </c>
    </row>
    <row r="689">
      <c r="A689" s="7" t="n"/>
      <c r="H689" s="11">
        <f>IF(OR(D689="",E689=""),"",D689*E689)</f>
        <v/>
      </c>
      <c r="I689" s="8">
        <f>IF(OR(D689="",E689=""),"",E689*(1+D689/30))</f>
        <v/>
      </c>
      <c r="J689">
        <f>IF(I689="","",IF(I689&gt;=MAXIFS($I$2:$I$5001,$B$2:$B$5001,B689,$A$2:$A$5001,"&lt;="&amp;A689),"PR",""))</f>
        <v/>
      </c>
    </row>
    <row r="690">
      <c r="A690" s="7" t="n"/>
      <c r="H690" s="11">
        <f>IF(OR(D690="",E690=""),"",D690*E690)</f>
        <v/>
      </c>
      <c r="I690" s="8">
        <f>IF(OR(D690="",E690=""),"",E690*(1+D690/30))</f>
        <v/>
      </c>
      <c r="J690">
        <f>IF(I690="","",IF(I690&gt;=MAXIFS($I$2:$I$5001,$B$2:$B$5001,B690,$A$2:$A$5001,"&lt;="&amp;A690),"PR",""))</f>
        <v/>
      </c>
    </row>
    <row r="691">
      <c r="A691" s="7" t="n"/>
      <c r="H691" s="11">
        <f>IF(OR(D691="",E691=""),"",D691*E691)</f>
        <v/>
      </c>
      <c r="I691" s="8">
        <f>IF(OR(D691="",E691=""),"",E691*(1+D691/30))</f>
        <v/>
      </c>
      <c r="J691">
        <f>IF(I691="","",IF(I691&gt;=MAXIFS($I$2:$I$5001,$B$2:$B$5001,B691,$A$2:$A$5001,"&lt;="&amp;A691),"PR",""))</f>
        <v/>
      </c>
    </row>
    <row r="692">
      <c r="A692" s="7" t="n"/>
      <c r="H692" s="11">
        <f>IF(OR(D692="",E692=""),"",D692*E692)</f>
        <v/>
      </c>
      <c r="I692" s="8">
        <f>IF(OR(D692="",E692=""),"",E692*(1+D692/30))</f>
        <v/>
      </c>
      <c r="J692">
        <f>IF(I692="","",IF(I692&gt;=MAXIFS($I$2:$I$5001,$B$2:$B$5001,B692,$A$2:$A$5001,"&lt;="&amp;A692),"PR",""))</f>
        <v/>
      </c>
    </row>
    <row r="693">
      <c r="A693" s="7" t="n"/>
      <c r="H693" s="11">
        <f>IF(OR(D693="",E693=""),"",D693*E693)</f>
        <v/>
      </c>
      <c r="I693" s="8">
        <f>IF(OR(D693="",E693=""),"",E693*(1+D693/30))</f>
        <v/>
      </c>
      <c r="J693">
        <f>IF(I693="","",IF(I693&gt;=MAXIFS($I$2:$I$5001,$B$2:$B$5001,B693,$A$2:$A$5001,"&lt;="&amp;A693),"PR",""))</f>
        <v/>
      </c>
    </row>
    <row r="694">
      <c r="A694" s="7" t="n"/>
      <c r="H694" s="11">
        <f>IF(OR(D694="",E694=""),"",D694*E694)</f>
        <v/>
      </c>
      <c r="I694" s="8">
        <f>IF(OR(D694="",E694=""),"",E694*(1+D694/30))</f>
        <v/>
      </c>
      <c r="J694">
        <f>IF(I694="","",IF(I694&gt;=MAXIFS($I$2:$I$5001,$B$2:$B$5001,B694,$A$2:$A$5001,"&lt;="&amp;A694),"PR",""))</f>
        <v/>
      </c>
    </row>
    <row r="695">
      <c r="A695" s="7" t="n"/>
      <c r="H695" s="11">
        <f>IF(OR(D695="",E695=""),"",D695*E695)</f>
        <v/>
      </c>
      <c r="I695" s="8">
        <f>IF(OR(D695="",E695=""),"",E695*(1+D695/30))</f>
        <v/>
      </c>
      <c r="J695">
        <f>IF(I695="","",IF(I695&gt;=MAXIFS($I$2:$I$5001,$B$2:$B$5001,B695,$A$2:$A$5001,"&lt;="&amp;A695),"PR",""))</f>
        <v/>
      </c>
    </row>
    <row r="696">
      <c r="A696" s="7" t="n"/>
      <c r="H696" s="11">
        <f>IF(OR(D696="",E696=""),"",D696*E696)</f>
        <v/>
      </c>
      <c r="I696" s="8">
        <f>IF(OR(D696="",E696=""),"",E696*(1+D696/30))</f>
        <v/>
      </c>
      <c r="J696">
        <f>IF(I696="","",IF(I696&gt;=MAXIFS($I$2:$I$5001,$B$2:$B$5001,B696,$A$2:$A$5001,"&lt;="&amp;A696),"PR",""))</f>
        <v/>
      </c>
    </row>
    <row r="697">
      <c r="A697" s="7" t="n"/>
      <c r="H697" s="11">
        <f>IF(OR(D697="",E697=""),"",D697*E697)</f>
        <v/>
      </c>
      <c r="I697" s="8">
        <f>IF(OR(D697="",E697=""),"",E697*(1+D697/30))</f>
        <v/>
      </c>
      <c r="J697">
        <f>IF(I697="","",IF(I697&gt;=MAXIFS($I$2:$I$5001,$B$2:$B$5001,B697,$A$2:$A$5001,"&lt;="&amp;A697),"PR",""))</f>
        <v/>
      </c>
    </row>
    <row r="698">
      <c r="A698" s="7" t="n"/>
      <c r="H698" s="11">
        <f>IF(OR(D698="",E698=""),"",D698*E698)</f>
        <v/>
      </c>
      <c r="I698" s="8">
        <f>IF(OR(D698="",E698=""),"",E698*(1+D698/30))</f>
        <v/>
      </c>
      <c r="J698">
        <f>IF(I698="","",IF(I698&gt;=MAXIFS($I$2:$I$5001,$B$2:$B$5001,B698,$A$2:$A$5001,"&lt;="&amp;A698),"PR",""))</f>
        <v/>
      </c>
    </row>
    <row r="699">
      <c r="A699" s="7" t="n"/>
      <c r="H699" s="11">
        <f>IF(OR(D699="",E699=""),"",D699*E699)</f>
        <v/>
      </c>
      <c r="I699" s="8">
        <f>IF(OR(D699="",E699=""),"",E699*(1+D699/30))</f>
        <v/>
      </c>
      <c r="J699">
        <f>IF(I699="","",IF(I699&gt;=MAXIFS($I$2:$I$5001,$B$2:$B$5001,B699,$A$2:$A$5001,"&lt;="&amp;A699),"PR",""))</f>
        <v/>
      </c>
    </row>
    <row r="700">
      <c r="A700" s="7" t="n"/>
      <c r="H700" s="11">
        <f>IF(OR(D700="",E700=""),"",D700*E700)</f>
        <v/>
      </c>
      <c r="I700" s="8">
        <f>IF(OR(D700="",E700=""),"",E700*(1+D700/30))</f>
        <v/>
      </c>
      <c r="J700">
        <f>IF(I700="","",IF(I700&gt;=MAXIFS($I$2:$I$5001,$B$2:$B$5001,B700,$A$2:$A$5001,"&lt;="&amp;A700),"PR",""))</f>
        <v/>
      </c>
    </row>
    <row r="701">
      <c r="A701" s="7" t="n"/>
      <c r="H701" s="11">
        <f>IF(OR(D701="",E701=""),"",D701*E701)</f>
        <v/>
      </c>
      <c r="I701" s="8">
        <f>IF(OR(D701="",E701=""),"",E701*(1+D701/30))</f>
        <v/>
      </c>
      <c r="J701">
        <f>IF(I701="","",IF(I701&gt;=MAXIFS($I$2:$I$5001,$B$2:$B$5001,B701,$A$2:$A$5001,"&lt;="&amp;A701),"PR",""))</f>
        <v/>
      </c>
    </row>
    <row r="702">
      <c r="A702" s="7" t="n"/>
      <c r="H702" s="11">
        <f>IF(OR(D702="",E702=""),"",D702*E702)</f>
        <v/>
      </c>
      <c r="I702" s="8">
        <f>IF(OR(D702="",E702=""),"",E702*(1+D702/30))</f>
        <v/>
      </c>
      <c r="J702">
        <f>IF(I702="","",IF(I702&gt;=MAXIFS($I$2:$I$5001,$B$2:$B$5001,B702,$A$2:$A$5001,"&lt;="&amp;A702),"PR",""))</f>
        <v/>
      </c>
    </row>
    <row r="703">
      <c r="A703" s="7" t="n"/>
      <c r="H703" s="11">
        <f>IF(OR(D703="",E703=""),"",D703*E703)</f>
        <v/>
      </c>
      <c r="I703" s="8">
        <f>IF(OR(D703="",E703=""),"",E703*(1+D703/30))</f>
        <v/>
      </c>
      <c r="J703">
        <f>IF(I703="","",IF(I703&gt;=MAXIFS($I$2:$I$5001,$B$2:$B$5001,B703,$A$2:$A$5001,"&lt;="&amp;A703),"PR",""))</f>
        <v/>
      </c>
    </row>
    <row r="704">
      <c r="A704" s="7" t="n"/>
      <c r="H704" s="11">
        <f>IF(OR(D704="",E704=""),"",D704*E704)</f>
        <v/>
      </c>
      <c r="I704" s="8">
        <f>IF(OR(D704="",E704=""),"",E704*(1+D704/30))</f>
        <v/>
      </c>
      <c r="J704">
        <f>IF(I704="","",IF(I704&gt;=MAXIFS($I$2:$I$5001,$B$2:$B$5001,B704,$A$2:$A$5001,"&lt;="&amp;A704),"PR",""))</f>
        <v/>
      </c>
    </row>
    <row r="705">
      <c r="A705" s="7" t="n"/>
      <c r="H705" s="11">
        <f>IF(OR(D705="",E705=""),"",D705*E705)</f>
        <v/>
      </c>
      <c r="I705" s="8">
        <f>IF(OR(D705="",E705=""),"",E705*(1+D705/30))</f>
        <v/>
      </c>
      <c r="J705">
        <f>IF(I705="","",IF(I705&gt;=MAXIFS($I$2:$I$5001,$B$2:$B$5001,B705,$A$2:$A$5001,"&lt;="&amp;A705),"PR",""))</f>
        <v/>
      </c>
    </row>
    <row r="706">
      <c r="A706" s="7" t="n"/>
      <c r="H706" s="11">
        <f>IF(OR(D706="",E706=""),"",D706*E706)</f>
        <v/>
      </c>
      <c r="I706" s="8">
        <f>IF(OR(D706="",E706=""),"",E706*(1+D706/30))</f>
        <v/>
      </c>
      <c r="J706">
        <f>IF(I706="","",IF(I706&gt;=MAXIFS($I$2:$I$5001,$B$2:$B$5001,B706,$A$2:$A$5001,"&lt;="&amp;A706),"PR",""))</f>
        <v/>
      </c>
    </row>
    <row r="707">
      <c r="A707" s="7" t="n"/>
      <c r="H707" s="11">
        <f>IF(OR(D707="",E707=""),"",D707*E707)</f>
        <v/>
      </c>
      <c r="I707" s="8">
        <f>IF(OR(D707="",E707=""),"",E707*(1+D707/30))</f>
        <v/>
      </c>
      <c r="J707">
        <f>IF(I707="","",IF(I707&gt;=MAXIFS($I$2:$I$5001,$B$2:$B$5001,B707,$A$2:$A$5001,"&lt;="&amp;A707),"PR",""))</f>
        <v/>
      </c>
    </row>
    <row r="708">
      <c r="A708" s="7" t="n"/>
      <c r="H708" s="11">
        <f>IF(OR(D708="",E708=""),"",D708*E708)</f>
        <v/>
      </c>
      <c r="I708" s="8">
        <f>IF(OR(D708="",E708=""),"",E708*(1+D708/30))</f>
        <v/>
      </c>
      <c r="J708">
        <f>IF(I708="","",IF(I708&gt;=MAXIFS($I$2:$I$5001,$B$2:$B$5001,B708,$A$2:$A$5001,"&lt;="&amp;A708),"PR",""))</f>
        <v/>
      </c>
    </row>
    <row r="709">
      <c r="A709" s="7" t="n"/>
      <c r="H709" s="11">
        <f>IF(OR(D709="",E709=""),"",D709*E709)</f>
        <v/>
      </c>
      <c r="I709" s="8">
        <f>IF(OR(D709="",E709=""),"",E709*(1+D709/30))</f>
        <v/>
      </c>
      <c r="J709">
        <f>IF(I709="","",IF(I709&gt;=MAXIFS($I$2:$I$5001,$B$2:$B$5001,B709,$A$2:$A$5001,"&lt;="&amp;A709),"PR",""))</f>
        <v/>
      </c>
    </row>
    <row r="710">
      <c r="A710" s="7" t="n"/>
      <c r="H710" s="11">
        <f>IF(OR(D710="",E710=""),"",D710*E710)</f>
        <v/>
      </c>
      <c r="I710" s="8">
        <f>IF(OR(D710="",E710=""),"",E710*(1+D710/30))</f>
        <v/>
      </c>
      <c r="J710">
        <f>IF(I710="","",IF(I710&gt;=MAXIFS($I$2:$I$5001,$B$2:$B$5001,B710,$A$2:$A$5001,"&lt;="&amp;A710),"PR",""))</f>
        <v/>
      </c>
    </row>
    <row r="711">
      <c r="A711" s="7" t="n"/>
      <c r="H711" s="11">
        <f>IF(OR(D711="",E711=""),"",D711*E711)</f>
        <v/>
      </c>
      <c r="I711" s="8">
        <f>IF(OR(D711="",E711=""),"",E711*(1+D711/30))</f>
        <v/>
      </c>
      <c r="J711">
        <f>IF(I711="","",IF(I711&gt;=MAXIFS($I$2:$I$5001,$B$2:$B$5001,B711,$A$2:$A$5001,"&lt;="&amp;A711),"PR",""))</f>
        <v/>
      </c>
    </row>
    <row r="712">
      <c r="A712" s="7" t="n"/>
      <c r="H712" s="11">
        <f>IF(OR(D712="",E712=""),"",D712*E712)</f>
        <v/>
      </c>
      <c r="I712" s="8">
        <f>IF(OR(D712="",E712=""),"",E712*(1+D712/30))</f>
        <v/>
      </c>
      <c r="J712">
        <f>IF(I712="","",IF(I712&gt;=MAXIFS($I$2:$I$5001,$B$2:$B$5001,B712,$A$2:$A$5001,"&lt;="&amp;A712),"PR",""))</f>
        <v/>
      </c>
    </row>
    <row r="713">
      <c r="A713" s="7" t="n"/>
      <c r="H713" s="11">
        <f>IF(OR(D713="",E713=""),"",D713*E713)</f>
        <v/>
      </c>
      <c r="I713" s="8">
        <f>IF(OR(D713="",E713=""),"",E713*(1+D713/30))</f>
        <v/>
      </c>
      <c r="J713">
        <f>IF(I713="","",IF(I713&gt;=MAXIFS($I$2:$I$5001,$B$2:$B$5001,B713,$A$2:$A$5001,"&lt;="&amp;A713),"PR",""))</f>
        <v/>
      </c>
    </row>
    <row r="714">
      <c r="A714" s="7" t="n"/>
      <c r="H714" s="11">
        <f>IF(OR(D714="",E714=""),"",D714*E714)</f>
        <v/>
      </c>
      <c r="I714" s="8">
        <f>IF(OR(D714="",E714=""),"",E714*(1+D714/30))</f>
        <v/>
      </c>
      <c r="J714">
        <f>IF(I714="","",IF(I714&gt;=MAXIFS($I$2:$I$5001,$B$2:$B$5001,B714,$A$2:$A$5001,"&lt;="&amp;A714),"PR",""))</f>
        <v/>
      </c>
    </row>
    <row r="715">
      <c r="A715" s="7" t="n"/>
      <c r="H715" s="11">
        <f>IF(OR(D715="",E715=""),"",D715*E715)</f>
        <v/>
      </c>
      <c r="I715" s="8">
        <f>IF(OR(D715="",E715=""),"",E715*(1+D715/30))</f>
        <v/>
      </c>
      <c r="J715">
        <f>IF(I715="","",IF(I715&gt;=MAXIFS($I$2:$I$5001,$B$2:$B$5001,B715,$A$2:$A$5001,"&lt;="&amp;A715),"PR",""))</f>
        <v/>
      </c>
    </row>
    <row r="716">
      <c r="A716" s="7" t="n"/>
      <c r="H716" s="11">
        <f>IF(OR(D716="",E716=""),"",D716*E716)</f>
        <v/>
      </c>
      <c r="I716" s="8">
        <f>IF(OR(D716="",E716=""),"",E716*(1+D716/30))</f>
        <v/>
      </c>
      <c r="J716">
        <f>IF(I716="","",IF(I716&gt;=MAXIFS($I$2:$I$5001,$B$2:$B$5001,B716,$A$2:$A$5001,"&lt;="&amp;A716),"PR",""))</f>
        <v/>
      </c>
    </row>
    <row r="717">
      <c r="A717" s="7" t="n"/>
      <c r="H717" s="11">
        <f>IF(OR(D717="",E717=""),"",D717*E717)</f>
        <v/>
      </c>
      <c r="I717" s="8">
        <f>IF(OR(D717="",E717=""),"",E717*(1+D717/30))</f>
        <v/>
      </c>
      <c r="J717">
        <f>IF(I717="","",IF(I717&gt;=MAXIFS($I$2:$I$5001,$B$2:$B$5001,B717,$A$2:$A$5001,"&lt;="&amp;A717),"PR",""))</f>
        <v/>
      </c>
    </row>
    <row r="718">
      <c r="A718" s="7" t="n"/>
      <c r="H718" s="11">
        <f>IF(OR(D718="",E718=""),"",D718*E718)</f>
        <v/>
      </c>
      <c r="I718" s="8">
        <f>IF(OR(D718="",E718=""),"",E718*(1+D718/30))</f>
        <v/>
      </c>
      <c r="J718">
        <f>IF(I718="","",IF(I718&gt;=MAXIFS($I$2:$I$5001,$B$2:$B$5001,B718,$A$2:$A$5001,"&lt;="&amp;A718),"PR",""))</f>
        <v/>
      </c>
    </row>
    <row r="719">
      <c r="A719" s="7" t="n"/>
      <c r="H719" s="11">
        <f>IF(OR(D719="",E719=""),"",D719*E719)</f>
        <v/>
      </c>
      <c r="I719" s="8">
        <f>IF(OR(D719="",E719=""),"",E719*(1+D719/30))</f>
        <v/>
      </c>
      <c r="J719">
        <f>IF(I719="","",IF(I719&gt;=MAXIFS($I$2:$I$5001,$B$2:$B$5001,B719,$A$2:$A$5001,"&lt;="&amp;A719),"PR",""))</f>
        <v/>
      </c>
    </row>
    <row r="720">
      <c r="A720" s="7" t="n"/>
      <c r="H720" s="11">
        <f>IF(OR(D720="",E720=""),"",D720*E720)</f>
        <v/>
      </c>
      <c r="I720" s="8">
        <f>IF(OR(D720="",E720=""),"",E720*(1+D720/30))</f>
        <v/>
      </c>
      <c r="J720">
        <f>IF(I720="","",IF(I720&gt;=MAXIFS($I$2:$I$5001,$B$2:$B$5001,B720,$A$2:$A$5001,"&lt;="&amp;A720),"PR",""))</f>
        <v/>
      </c>
    </row>
    <row r="721">
      <c r="A721" s="7" t="n"/>
      <c r="H721" s="11">
        <f>IF(OR(D721="",E721=""),"",D721*E721)</f>
        <v/>
      </c>
      <c r="I721" s="8">
        <f>IF(OR(D721="",E721=""),"",E721*(1+D721/30))</f>
        <v/>
      </c>
      <c r="J721">
        <f>IF(I721="","",IF(I721&gt;=MAXIFS($I$2:$I$5001,$B$2:$B$5001,B721,$A$2:$A$5001,"&lt;="&amp;A721),"PR",""))</f>
        <v/>
      </c>
    </row>
    <row r="722">
      <c r="A722" s="7" t="n"/>
      <c r="H722" s="11">
        <f>IF(OR(D722="",E722=""),"",D722*E722)</f>
        <v/>
      </c>
      <c r="I722" s="8">
        <f>IF(OR(D722="",E722=""),"",E722*(1+D722/30))</f>
        <v/>
      </c>
      <c r="J722">
        <f>IF(I722="","",IF(I722&gt;=MAXIFS($I$2:$I$5001,$B$2:$B$5001,B722,$A$2:$A$5001,"&lt;="&amp;A722),"PR",""))</f>
        <v/>
      </c>
    </row>
    <row r="723">
      <c r="A723" s="7" t="n"/>
      <c r="H723" s="11">
        <f>IF(OR(D723="",E723=""),"",D723*E723)</f>
        <v/>
      </c>
      <c r="I723" s="8">
        <f>IF(OR(D723="",E723=""),"",E723*(1+D723/30))</f>
        <v/>
      </c>
      <c r="J723">
        <f>IF(I723="","",IF(I723&gt;=MAXIFS($I$2:$I$5001,$B$2:$B$5001,B723,$A$2:$A$5001,"&lt;="&amp;A723),"PR",""))</f>
        <v/>
      </c>
    </row>
    <row r="724">
      <c r="A724" s="7" t="n"/>
      <c r="H724" s="11">
        <f>IF(OR(D724="",E724=""),"",D724*E724)</f>
        <v/>
      </c>
      <c r="I724" s="8">
        <f>IF(OR(D724="",E724=""),"",E724*(1+D724/30))</f>
        <v/>
      </c>
      <c r="J724">
        <f>IF(I724="","",IF(I724&gt;=MAXIFS($I$2:$I$5001,$B$2:$B$5001,B724,$A$2:$A$5001,"&lt;="&amp;A724),"PR",""))</f>
        <v/>
      </c>
    </row>
    <row r="725">
      <c r="A725" s="7" t="n"/>
      <c r="H725" s="11">
        <f>IF(OR(D725="",E725=""),"",D725*E725)</f>
        <v/>
      </c>
      <c r="I725" s="8">
        <f>IF(OR(D725="",E725=""),"",E725*(1+D725/30))</f>
        <v/>
      </c>
      <c r="J725">
        <f>IF(I725="","",IF(I725&gt;=MAXIFS($I$2:$I$5001,$B$2:$B$5001,B725,$A$2:$A$5001,"&lt;="&amp;A725),"PR",""))</f>
        <v/>
      </c>
    </row>
    <row r="726">
      <c r="A726" s="7" t="n"/>
      <c r="H726" s="11">
        <f>IF(OR(D726="",E726=""),"",D726*E726)</f>
        <v/>
      </c>
      <c r="I726" s="8">
        <f>IF(OR(D726="",E726=""),"",E726*(1+D726/30))</f>
        <v/>
      </c>
      <c r="J726">
        <f>IF(I726="","",IF(I726&gt;=MAXIFS($I$2:$I$5001,$B$2:$B$5001,B726,$A$2:$A$5001,"&lt;="&amp;A726),"PR",""))</f>
        <v/>
      </c>
    </row>
    <row r="727">
      <c r="A727" s="7" t="n"/>
      <c r="H727" s="11">
        <f>IF(OR(D727="",E727=""),"",D727*E727)</f>
        <v/>
      </c>
      <c r="I727" s="8">
        <f>IF(OR(D727="",E727=""),"",E727*(1+D727/30))</f>
        <v/>
      </c>
      <c r="J727">
        <f>IF(I727="","",IF(I727&gt;=MAXIFS($I$2:$I$5001,$B$2:$B$5001,B727,$A$2:$A$5001,"&lt;="&amp;A727),"PR",""))</f>
        <v/>
      </c>
    </row>
    <row r="728">
      <c r="A728" s="7" t="n"/>
      <c r="H728" s="11">
        <f>IF(OR(D728="",E728=""),"",D728*E728)</f>
        <v/>
      </c>
      <c r="I728" s="8">
        <f>IF(OR(D728="",E728=""),"",E728*(1+D728/30))</f>
        <v/>
      </c>
      <c r="J728">
        <f>IF(I728="","",IF(I728&gt;=MAXIFS($I$2:$I$5001,$B$2:$B$5001,B728,$A$2:$A$5001,"&lt;="&amp;A728),"PR",""))</f>
        <v/>
      </c>
    </row>
    <row r="729">
      <c r="A729" s="7" t="n"/>
      <c r="H729" s="11">
        <f>IF(OR(D729="",E729=""),"",D729*E729)</f>
        <v/>
      </c>
      <c r="I729" s="8">
        <f>IF(OR(D729="",E729=""),"",E729*(1+D729/30))</f>
        <v/>
      </c>
      <c r="J729">
        <f>IF(I729="","",IF(I729&gt;=MAXIFS($I$2:$I$5001,$B$2:$B$5001,B729,$A$2:$A$5001,"&lt;="&amp;A729),"PR",""))</f>
        <v/>
      </c>
    </row>
    <row r="730">
      <c r="A730" s="7" t="n"/>
      <c r="H730" s="11">
        <f>IF(OR(D730="",E730=""),"",D730*E730)</f>
        <v/>
      </c>
      <c r="I730" s="8">
        <f>IF(OR(D730="",E730=""),"",E730*(1+D730/30))</f>
        <v/>
      </c>
      <c r="J730">
        <f>IF(I730="","",IF(I730&gt;=MAXIFS($I$2:$I$5001,$B$2:$B$5001,B730,$A$2:$A$5001,"&lt;="&amp;A730),"PR",""))</f>
        <v/>
      </c>
    </row>
    <row r="731">
      <c r="A731" s="7" t="n"/>
      <c r="H731" s="11">
        <f>IF(OR(D731="",E731=""),"",D731*E731)</f>
        <v/>
      </c>
      <c r="I731" s="8">
        <f>IF(OR(D731="",E731=""),"",E731*(1+D731/30))</f>
        <v/>
      </c>
      <c r="J731">
        <f>IF(I731="","",IF(I731&gt;=MAXIFS($I$2:$I$5001,$B$2:$B$5001,B731,$A$2:$A$5001,"&lt;="&amp;A731),"PR",""))</f>
        <v/>
      </c>
    </row>
    <row r="732">
      <c r="A732" s="7" t="n"/>
      <c r="H732" s="11">
        <f>IF(OR(D732="",E732=""),"",D732*E732)</f>
        <v/>
      </c>
      <c r="I732" s="8">
        <f>IF(OR(D732="",E732=""),"",E732*(1+D732/30))</f>
        <v/>
      </c>
      <c r="J732">
        <f>IF(I732="","",IF(I732&gt;=MAXIFS($I$2:$I$5001,$B$2:$B$5001,B732,$A$2:$A$5001,"&lt;="&amp;A732),"PR",""))</f>
        <v/>
      </c>
    </row>
    <row r="733">
      <c r="A733" s="7" t="n"/>
      <c r="H733" s="11">
        <f>IF(OR(D733="",E733=""),"",D733*E733)</f>
        <v/>
      </c>
      <c r="I733" s="8">
        <f>IF(OR(D733="",E733=""),"",E733*(1+D733/30))</f>
        <v/>
      </c>
      <c r="J733">
        <f>IF(I733="","",IF(I733&gt;=MAXIFS($I$2:$I$5001,$B$2:$B$5001,B733,$A$2:$A$5001,"&lt;="&amp;A733),"PR",""))</f>
        <v/>
      </c>
    </row>
    <row r="734">
      <c r="A734" s="7" t="n"/>
      <c r="H734" s="11">
        <f>IF(OR(D734="",E734=""),"",D734*E734)</f>
        <v/>
      </c>
      <c r="I734" s="8">
        <f>IF(OR(D734="",E734=""),"",E734*(1+D734/30))</f>
        <v/>
      </c>
      <c r="J734">
        <f>IF(I734="","",IF(I734&gt;=MAXIFS($I$2:$I$5001,$B$2:$B$5001,B734,$A$2:$A$5001,"&lt;="&amp;A734),"PR",""))</f>
        <v/>
      </c>
    </row>
    <row r="735">
      <c r="A735" s="7" t="n"/>
      <c r="H735" s="11">
        <f>IF(OR(D735="",E735=""),"",D735*E735)</f>
        <v/>
      </c>
      <c r="I735" s="8">
        <f>IF(OR(D735="",E735=""),"",E735*(1+D735/30))</f>
        <v/>
      </c>
      <c r="J735">
        <f>IF(I735="","",IF(I735&gt;=MAXIFS($I$2:$I$5001,$B$2:$B$5001,B735,$A$2:$A$5001,"&lt;="&amp;A735),"PR",""))</f>
        <v/>
      </c>
    </row>
    <row r="736">
      <c r="A736" s="7" t="n"/>
      <c r="H736" s="11">
        <f>IF(OR(D736="",E736=""),"",D736*E736)</f>
        <v/>
      </c>
      <c r="I736" s="8">
        <f>IF(OR(D736="",E736=""),"",E736*(1+D736/30))</f>
        <v/>
      </c>
      <c r="J736">
        <f>IF(I736="","",IF(I736&gt;=MAXIFS($I$2:$I$5001,$B$2:$B$5001,B736,$A$2:$A$5001,"&lt;="&amp;A736),"PR",""))</f>
        <v/>
      </c>
    </row>
    <row r="737">
      <c r="A737" s="7" t="n"/>
      <c r="H737" s="11">
        <f>IF(OR(D737="",E737=""),"",D737*E737)</f>
        <v/>
      </c>
      <c r="I737" s="8">
        <f>IF(OR(D737="",E737=""),"",E737*(1+D737/30))</f>
        <v/>
      </c>
      <c r="J737">
        <f>IF(I737="","",IF(I737&gt;=MAXIFS($I$2:$I$5001,$B$2:$B$5001,B737,$A$2:$A$5001,"&lt;="&amp;A737),"PR",""))</f>
        <v/>
      </c>
    </row>
    <row r="738">
      <c r="A738" s="7" t="n"/>
      <c r="H738" s="11">
        <f>IF(OR(D738="",E738=""),"",D738*E738)</f>
        <v/>
      </c>
      <c r="I738" s="8">
        <f>IF(OR(D738="",E738=""),"",E738*(1+D738/30))</f>
        <v/>
      </c>
      <c r="J738">
        <f>IF(I738="","",IF(I738&gt;=MAXIFS($I$2:$I$5001,$B$2:$B$5001,B738,$A$2:$A$5001,"&lt;="&amp;A738),"PR",""))</f>
        <v/>
      </c>
    </row>
    <row r="739">
      <c r="A739" s="7" t="n"/>
      <c r="H739" s="11">
        <f>IF(OR(D739="",E739=""),"",D739*E739)</f>
        <v/>
      </c>
      <c r="I739" s="8">
        <f>IF(OR(D739="",E739=""),"",E739*(1+D739/30))</f>
        <v/>
      </c>
      <c r="J739">
        <f>IF(I739="","",IF(I739&gt;=MAXIFS($I$2:$I$5001,$B$2:$B$5001,B739,$A$2:$A$5001,"&lt;="&amp;A739),"PR",""))</f>
        <v/>
      </c>
    </row>
    <row r="740">
      <c r="A740" s="7" t="n"/>
      <c r="H740" s="11">
        <f>IF(OR(D740="",E740=""),"",D740*E740)</f>
        <v/>
      </c>
      <c r="I740" s="8">
        <f>IF(OR(D740="",E740=""),"",E740*(1+D740/30))</f>
        <v/>
      </c>
      <c r="J740">
        <f>IF(I740="","",IF(I740&gt;=MAXIFS($I$2:$I$5001,$B$2:$B$5001,B740,$A$2:$A$5001,"&lt;="&amp;A740),"PR",""))</f>
        <v/>
      </c>
    </row>
    <row r="741">
      <c r="A741" s="7" t="n"/>
      <c r="H741" s="11">
        <f>IF(OR(D741="",E741=""),"",D741*E741)</f>
        <v/>
      </c>
      <c r="I741" s="8">
        <f>IF(OR(D741="",E741=""),"",E741*(1+D741/30))</f>
        <v/>
      </c>
      <c r="J741">
        <f>IF(I741="","",IF(I741&gt;=MAXIFS($I$2:$I$5001,$B$2:$B$5001,B741,$A$2:$A$5001,"&lt;="&amp;A741),"PR",""))</f>
        <v/>
      </c>
    </row>
    <row r="742">
      <c r="A742" s="7" t="n"/>
      <c r="H742" s="11">
        <f>IF(OR(D742="",E742=""),"",D742*E742)</f>
        <v/>
      </c>
      <c r="I742" s="8">
        <f>IF(OR(D742="",E742=""),"",E742*(1+D742/30))</f>
        <v/>
      </c>
      <c r="J742">
        <f>IF(I742="","",IF(I742&gt;=MAXIFS($I$2:$I$5001,$B$2:$B$5001,B742,$A$2:$A$5001,"&lt;="&amp;A742),"PR",""))</f>
        <v/>
      </c>
    </row>
    <row r="743">
      <c r="A743" s="7" t="n"/>
      <c r="H743" s="11">
        <f>IF(OR(D743="",E743=""),"",D743*E743)</f>
        <v/>
      </c>
      <c r="I743" s="8">
        <f>IF(OR(D743="",E743=""),"",E743*(1+D743/30))</f>
        <v/>
      </c>
      <c r="J743">
        <f>IF(I743="","",IF(I743&gt;=MAXIFS($I$2:$I$5001,$B$2:$B$5001,B743,$A$2:$A$5001,"&lt;="&amp;A743),"PR",""))</f>
        <v/>
      </c>
    </row>
    <row r="744">
      <c r="A744" s="7" t="n"/>
      <c r="H744" s="11">
        <f>IF(OR(D744="",E744=""),"",D744*E744)</f>
        <v/>
      </c>
      <c r="I744" s="8">
        <f>IF(OR(D744="",E744=""),"",E744*(1+D744/30))</f>
        <v/>
      </c>
      <c r="J744">
        <f>IF(I744="","",IF(I744&gt;=MAXIFS($I$2:$I$5001,$B$2:$B$5001,B744,$A$2:$A$5001,"&lt;="&amp;A744),"PR",""))</f>
        <v/>
      </c>
    </row>
    <row r="745">
      <c r="A745" s="7" t="n"/>
      <c r="H745" s="11">
        <f>IF(OR(D745="",E745=""),"",D745*E745)</f>
        <v/>
      </c>
      <c r="I745" s="8">
        <f>IF(OR(D745="",E745=""),"",E745*(1+D745/30))</f>
        <v/>
      </c>
      <c r="J745">
        <f>IF(I745="","",IF(I745&gt;=MAXIFS($I$2:$I$5001,$B$2:$B$5001,B745,$A$2:$A$5001,"&lt;="&amp;A745),"PR",""))</f>
        <v/>
      </c>
    </row>
    <row r="746">
      <c r="A746" s="7" t="n"/>
      <c r="H746" s="11">
        <f>IF(OR(D746="",E746=""),"",D746*E746)</f>
        <v/>
      </c>
      <c r="I746" s="8">
        <f>IF(OR(D746="",E746=""),"",E746*(1+D746/30))</f>
        <v/>
      </c>
      <c r="J746">
        <f>IF(I746="","",IF(I746&gt;=MAXIFS($I$2:$I$5001,$B$2:$B$5001,B746,$A$2:$A$5001,"&lt;="&amp;A746),"PR",""))</f>
        <v/>
      </c>
    </row>
    <row r="747">
      <c r="A747" s="7" t="n"/>
      <c r="H747" s="11">
        <f>IF(OR(D747="",E747=""),"",D747*E747)</f>
        <v/>
      </c>
      <c r="I747" s="8">
        <f>IF(OR(D747="",E747=""),"",E747*(1+D747/30))</f>
        <v/>
      </c>
      <c r="J747">
        <f>IF(I747="","",IF(I747&gt;=MAXIFS($I$2:$I$5001,$B$2:$B$5001,B747,$A$2:$A$5001,"&lt;="&amp;A747),"PR",""))</f>
        <v/>
      </c>
    </row>
    <row r="748">
      <c r="A748" s="7" t="n"/>
      <c r="H748" s="11">
        <f>IF(OR(D748="",E748=""),"",D748*E748)</f>
        <v/>
      </c>
      <c r="I748" s="8">
        <f>IF(OR(D748="",E748=""),"",E748*(1+D748/30))</f>
        <v/>
      </c>
      <c r="J748">
        <f>IF(I748="","",IF(I748&gt;=MAXIFS($I$2:$I$5001,$B$2:$B$5001,B748,$A$2:$A$5001,"&lt;="&amp;A748),"PR",""))</f>
        <v/>
      </c>
    </row>
    <row r="749">
      <c r="A749" s="7" t="n"/>
      <c r="H749" s="11">
        <f>IF(OR(D749="",E749=""),"",D749*E749)</f>
        <v/>
      </c>
      <c r="I749" s="8">
        <f>IF(OR(D749="",E749=""),"",E749*(1+D749/30))</f>
        <v/>
      </c>
      <c r="J749">
        <f>IF(I749="","",IF(I749&gt;=MAXIFS($I$2:$I$5001,$B$2:$B$5001,B749,$A$2:$A$5001,"&lt;="&amp;A749),"PR",""))</f>
        <v/>
      </c>
    </row>
    <row r="750">
      <c r="A750" s="7" t="n"/>
      <c r="H750" s="11">
        <f>IF(OR(D750="",E750=""),"",D750*E750)</f>
        <v/>
      </c>
      <c r="I750" s="8">
        <f>IF(OR(D750="",E750=""),"",E750*(1+D750/30))</f>
        <v/>
      </c>
      <c r="J750">
        <f>IF(I750="","",IF(I750&gt;=MAXIFS($I$2:$I$5001,$B$2:$B$5001,B750,$A$2:$A$5001,"&lt;="&amp;A750),"PR",""))</f>
        <v/>
      </c>
    </row>
    <row r="751">
      <c r="A751" s="7" t="n"/>
      <c r="H751" s="11">
        <f>IF(OR(D751="",E751=""),"",D751*E751)</f>
        <v/>
      </c>
      <c r="I751" s="8">
        <f>IF(OR(D751="",E751=""),"",E751*(1+D751/30))</f>
        <v/>
      </c>
      <c r="J751">
        <f>IF(I751="","",IF(I751&gt;=MAXIFS($I$2:$I$5001,$B$2:$B$5001,B751,$A$2:$A$5001,"&lt;="&amp;A751),"PR",""))</f>
        <v/>
      </c>
    </row>
    <row r="752">
      <c r="A752" s="7" t="n"/>
      <c r="H752" s="11">
        <f>IF(OR(D752="",E752=""),"",D752*E752)</f>
        <v/>
      </c>
      <c r="I752" s="8">
        <f>IF(OR(D752="",E752=""),"",E752*(1+D752/30))</f>
        <v/>
      </c>
      <c r="J752">
        <f>IF(I752="","",IF(I752&gt;=MAXIFS($I$2:$I$5001,$B$2:$B$5001,B752,$A$2:$A$5001,"&lt;="&amp;A752),"PR",""))</f>
        <v/>
      </c>
    </row>
    <row r="753">
      <c r="A753" s="7" t="n"/>
      <c r="H753" s="11">
        <f>IF(OR(D753="",E753=""),"",D753*E753)</f>
        <v/>
      </c>
      <c r="I753" s="8">
        <f>IF(OR(D753="",E753=""),"",E753*(1+D753/30))</f>
        <v/>
      </c>
      <c r="J753">
        <f>IF(I753="","",IF(I753&gt;=MAXIFS($I$2:$I$5001,$B$2:$B$5001,B753,$A$2:$A$5001,"&lt;="&amp;A753),"PR",""))</f>
        <v/>
      </c>
    </row>
    <row r="754">
      <c r="A754" s="7" t="n"/>
      <c r="H754" s="11">
        <f>IF(OR(D754="",E754=""),"",D754*E754)</f>
        <v/>
      </c>
      <c r="I754" s="8">
        <f>IF(OR(D754="",E754=""),"",E754*(1+D754/30))</f>
        <v/>
      </c>
      <c r="J754">
        <f>IF(I754="","",IF(I754&gt;=MAXIFS($I$2:$I$5001,$B$2:$B$5001,B754,$A$2:$A$5001,"&lt;="&amp;A754),"PR",""))</f>
        <v/>
      </c>
    </row>
    <row r="755">
      <c r="A755" s="7" t="n"/>
      <c r="H755" s="11">
        <f>IF(OR(D755="",E755=""),"",D755*E755)</f>
        <v/>
      </c>
      <c r="I755" s="8">
        <f>IF(OR(D755="",E755=""),"",E755*(1+D755/30))</f>
        <v/>
      </c>
      <c r="J755">
        <f>IF(I755="","",IF(I755&gt;=MAXIFS($I$2:$I$5001,$B$2:$B$5001,B755,$A$2:$A$5001,"&lt;="&amp;A755),"PR",""))</f>
        <v/>
      </c>
    </row>
    <row r="756">
      <c r="A756" s="7" t="n"/>
      <c r="H756" s="11">
        <f>IF(OR(D756="",E756=""),"",D756*E756)</f>
        <v/>
      </c>
      <c r="I756" s="8">
        <f>IF(OR(D756="",E756=""),"",E756*(1+D756/30))</f>
        <v/>
      </c>
      <c r="J756">
        <f>IF(I756="","",IF(I756&gt;=MAXIFS($I$2:$I$5001,$B$2:$B$5001,B756,$A$2:$A$5001,"&lt;="&amp;A756),"PR",""))</f>
        <v/>
      </c>
    </row>
    <row r="757">
      <c r="A757" s="7" t="n"/>
      <c r="H757" s="11">
        <f>IF(OR(D757="",E757=""),"",D757*E757)</f>
        <v/>
      </c>
      <c r="I757" s="8">
        <f>IF(OR(D757="",E757=""),"",E757*(1+D757/30))</f>
        <v/>
      </c>
      <c r="J757">
        <f>IF(I757="","",IF(I757&gt;=MAXIFS($I$2:$I$5001,$B$2:$B$5001,B757,$A$2:$A$5001,"&lt;="&amp;A757),"PR",""))</f>
        <v/>
      </c>
    </row>
    <row r="758">
      <c r="A758" s="7" t="n"/>
      <c r="H758" s="11">
        <f>IF(OR(D758="",E758=""),"",D758*E758)</f>
        <v/>
      </c>
      <c r="I758" s="8">
        <f>IF(OR(D758="",E758=""),"",E758*(1+D758/30))</f>
        <v/>
      </c>
      <c r="J758">
        <f>IF(I758="","",IF(I758&gt;=MAXIFS($I$2:$I$5001,$B$2:$B$5001,B758,$A$2:$A$5001,"&lt;="&amp;A758),"PR",""))</f>
        <v/>
      </c>
    </row>
    <row r="759">
      <c r="A759" s="7" t="n"/>
      <c r="H759" s="11">
        <f>IF(OR(D759="",E759=""),"",D759*E759)</f>
        <v/>
      </c>
      <c r="I759" s="8">
        <f>IF(OR(D759="",E759=""),"",E759*(1+D759/30))</f>
        <v/>
      </c>
      <c r="J759">
        <f>IF(I759="","",IF(I759&gt;=MAXIFS($I$2:$I$5001,$B$2:$B$5001,B759,$A$2:$A$5001,"&lt;="&amp;A759),"PR",""))</f>
        <v/>
      </c>
    </row>
    <row r="760">
      <c r="A760" s="7" t="n"/>
      <c r="H760" s="11">
        <f>IF(OR(D760="",E760=""),"",D760*E760)</f>
        <v/>
      </c>
      <c r="I760" s="8">
        <f>IF(OR(D760="",E760=""),"",E760*(1+D760/30))</f>
        <v/>
      </c>
      <c r="J760">
        <f>IF(I760="","",IF(I760&gt;=MAXIFS($I$2:$I$5001,$B$2:$B$5001,B760,$A$2:$A$5001,"&lt;="&amp;A760),"PR",""))</f>
        <v/>
      </c>
    </row>
    <row r="761">
      <c r="A761" s="7" t="n"/>
      <c r="H761" s="11">
        <f>IF(OR(D761="",E761=""),"",D761*E761)</f>
        <v/>
      </c>
      <c r="I761" s="8">
        <f>IF(OR(D761="",E761=""),"",E761*(1+D761/30))</f>
        <v/>
      </c>
      <c r="J761">
        <f>IF(I761="","",IF(I761&gt;=MAXIFS($I$2:$I$5001,$B$2:$B$5001,B761,$A$2:$A$5001,"&lt;="&amp;A761),"PR",""))</f>
        <v/>
      </c>
    </row>
    <row r="762">
      <c r="A762" s="7" t="n"/>
      <c r="H762" s="11">
        <f>IF(OR(D762="",E762=""),"",D762*E762)</f>
        <v/>
      </c>
      <c r="I762" s="8">
        <f>IF(OR(D762="",E762=""),"",E762*(1+D762/30))</f>
        <v/>
      </c>
      <c r="J762">
        <f>IF(I762="","",IF(I762&gt;=MAXIFS($I$2:$I$5001,$B$2:$B$5001,B762,$A$2:$A$5001,"&lt;="&amp;A762),"PR",""))</f>
        <v/>
      </c>
    </row>
    <row r="763">
      <c r="A763" s="7" t="n"/>
      <c r="H763" s="11">
        <f>IF(OR(D763="",E763=""),"",D763*E763)</f>
        <v/>
      </c>
      <c r="I763" s="8">
        <f>IF(OR(D763="",E763=""),"",E763*(1+D763/30))</f>
        <v/>
      </c>
      <c r="J763">
        <f>IF(I763="","",IF(I763&gt;=MAXIFS($I$2:$I$5001,$B$2:$B$5001,B763,$A$2:$A$5001,"&lt;="&amp;A763),"PR",""))</f>
        <v/>
      </c>
    </row>
    <row r="764">
      <c r="A764" s="7" t="n"/>
      <c r="H764" s="11">
        <f>IF(OR(D764="",E764=""),"",D764*E764)</f>
        <v/>
      </c>
      <c r="I764" s="8">
        <f>IF(OR(D764="",E764=""),"",E764*(1+D764/30))</f>
        <v/>
      </c>
      <c r="J764">
        <f>IF(I764="","",IF(I764&gt;=MAXIFS($I$2:$I$5001,$B$2:$B$5001,B764,$A$2:$A$5001,"&lt;="&amp;A764),"PR",""))</f>
        <v/>
      </c>
    </row>
    <row r="765">
      <c r="A765" s="7" t="n"/>
      <c r="H765" s="11">
        <f>IF(OR(D765="",E765=""),"",D765*E765)</f>
        <v/>
      </c>
      <c r="I765" s="8">
        <f>IF(OR(D765="",E765=""),"",E765*(1+D765/30))</f>
        <v/>
      </c>
      <c r="J765">
        <f>IF(I765="","",IF(I765&gt;=MAXIFS($I$2:$I$5001,$B$2:$B$5001,B765,$A$2:$A$5001,"&lt;="&amp;A765),"PR",""))</f>
        <v/>
      </c>
    </row>
    <row r="766">
      <c r="A766" s="7" t="n"/>
      <c r="H766" s="11">
        <f>IF(OR(D766="",E766=""),"",D766*E766)</f>
        <v/>
      </c>
      <c r="I766" s="8">
        <f>IF(OR(D766="",E766=""),"",E766*(1+D766/30))</f>
        <v/>
      </c>
      <c r="J766">
        <f>IF(I766="","",IF(I766&gt;=MAXIFS($I$2:$I$5001,$B$2:$B$5001,B766,$A$2:$A$5001,"&lt;="&amp;A766),"PR",""))</f>
        <v/>
      </c>
    </row>
    <row r="767">
      <c r="A767" s="7" t="n"/>
      <c r="H767" s="11">
        <f>IF(OR(D767="",E767=""),"",D767*E767)</f>
        <v/>
      </c>
      <c r="I767" s="8">
        <f>IF(OR(D767="",E767=""),"",E767*(1+D767/30))</f>
        <v/>
      </c>
      <c r="J767">
        <f>IF(I767="","",IF(I767&gt;=MAXIFS($I$2:$I$5001,$B$2:$B$5001,B767,$A$2:$A$5001,"&lt;="&amp;A767),"PR",""))</f>
        <v/>
      </c>
    </row>
    <row r="768">
      <c r="A768" s="7" t="n"/>
      <c r="H768" s="11">
        <f>IF(OR(D768="",E768=""),"",D768*E768)</f>
        <v/>
      </c>
      <c r="I768" s="8">
        <f>IF(OR(D768="",E768=""),"",E768*(1+D768/30))</f>
        <v/>
      </c>
      <c r="J768">
        <f>IF(I768="","",IF(I768&gt;=MAXIFS($I$2:$I$5001,$B$2:$B$5001,B768,$A$2:$A$5001,"&lt;="&amp;A768),"PR",""))</f>
        <v/>
      </c>
    </row>
    <row r="769">
      <c r="A769" s="7" t="n"/>
      <c r="H769" s="11">
        <f>IF(OR(D769="",E769=""),"",D769*E769)</f>
        <v/>
      </c>
      <c r="I769" s="8">
        <f>IF(OR(D769="",E769=""),"",E769*(1+D769/30))</f>
        <v/>
      </c>
      <c r="J769">
        <f>IF(I769="","",IF(I769&gt;=MAXIFS($I$2:$I$5001,$B$2:$B$5001,B769,$A$2:$A$5001,"&lt;="&amp;A769),"PR",""))</f>
        <v/>
      </c>
    </row>
    <row r="770">
      <c r="A770" s="7" t="n"/>
      <c r="H770" s="11">
        <f>IF(OR(D770="",E770=""),"",D770*E770)</f>
        <v/>
      </c>
      <c r="I770" s="8">
        <f>IF(OR(D770="",E770=""),"",E770*(1+D770/30))</f>
        <v/>
      </c>
      <c r="J770">
        <f>IF(I770="","",IF(I770&gt;=MAXIFS($I$2:$I$5001,$B$2:$B$5001,B770,$A$2:$A$5001,"&lt;="&amp;A770),"PR",""))</f>
        <v/>
      </c>
    </row>
    <row r="771">
      <c r="A771" s="7" t="n"/>
      <c r="H771" s="11">
        <f>IF(OR(D771="",E771=""),"",D771*E771)</f>
        <v/>
      </c>
      <c r="I771" s="8">
        <f>IF(OR(D771="",E771=""),"",E771*(1+D771/30))</f>
        <v/>
      </c>
      <c r="J771">
        <f>IF(I771="","",IF(I771&gt;=MAXIFS($I$2:$I$5001,$B$2:$B$5001,B771,$A$2:$A$5001,"&lt;="&amp;A771),"PR",""))</f>
        <v/>
      </c>
    </row>
    <row r="772">
      <c r="A772" s="7" t="n"/>
      <c r="H772" s="11">
        <f>IF(OR(D772="",E772=""),"",D772*E772)</f>
        <v/>
      </c>
      <c r="I772" s="8">
        <f>IF(OR(D772="",E772=""),"",E772*(1+D772/30))</f>
        <v/>
      </c>
      <c r="J772">
        <f>IF(I772="","",IF(I772&gt;=MAXIFS($I$2:$I$5001,$B$2:$B$5001,B772,$A$2:$A$5001,"&lt;="&amp;A772),"PR",""))</f>
        <v/>
      </c>
    </row>
    <row r="773">
      <c r="A773" s="7" t="n"/>
      <c r="H773" s="11">
        <f>IF(OR(D773="",E773=""),"",D773*E773)</f>
        <v/>
      </c>
      <c r="I773" s="8">
        <f>IF(OR(D773="",E773=""),"",E773*(1+D773/30))</f>
        <v/>
      </c>
      <c r="J773">
        <f>IF(I773="","",IF(I773&gt;=MAXIFS($I$2:$I$5001,$B$2:$B$5001,B773,$A$2:$A$5001,"&lt;="&amp;A773),"PR",""))</f>
        <v/>
      </c>
    </row>
    <row r="774">
      <c r="A774" s="7" t="n"/>
      <c r="H774" s="11">
        <f>IF(OR(D774="",E774=""),"",D774*E774)</f>
        <v/>
      </c>
      <c r="I774" s="8">
        <f>IF(OR(D774="",E774=""),"",E774*(1+D774/30))</f>
        <v/>
      </c>
      <c r="J774">
        <f>IF(I774="","",IF(I774&gt;=MAXIFS($I$2:$I$5001,$B$2:$B$5001,B774,$A$2:$A$5001,"&lt;="&amp;A774),"PR",""))</f>
        <v/>
      </c>
    </row>
    <row r="775">
      <c r="A775" s="7" t="n"/>
      <c r="H775" s="11">
        <f>IF(OR(D775="",E775=""),"",D775*E775)</f>
        <v/>
      </c>
      <c r="I775" s="8">
        <f>IF(OR(D775="",E775=""),"",E775*(1+D775/30))</f>
        <v/>
      </c>
      <c r="J775">
        <f>IF(I775="","",IF(I775&gt;=MAXIFS($I$2:$I$5001,$B$2:$B$5001,B775,$A$2:$A$5001,"&lt;="&amp;A775),"PR",""))</f>
        <v/>
      </c>
    </row>
    <row r="776">
      <c r="A776" s="7" t="n"/>
      <c r="H776" s="11">
        <f>IF(OR(D776="",E776=""),"",D776*E776)</f>
        <v/>
      </c>
      <c r="I776" s="8">
        <f>IF(OR(D776="",E776=""),"",E776*(1+D776/30))</f>
        <v/>
      </c>
      <c r="J776">
        <f>IF(I776="","",IF(I776&gt;=MAXIFS($I$2:$I$5001,$B$2:$B$5001,B776,$A$2:$A$5001,"&lt;="&amp;A776),"PR",""))</f>
        <v/>
      </c>
    </row>
    <row r="777">
      <c r="A777" s="7" t="n"/>
      <c r="H777" s="11">
        <f>IF(OR(D777="",E777=""),"",D777*E777)</f>
        <v/>
      </c>
      <c r="I777" s="8">
        <f>IF(OR(D777="",E777=""),"",E777*(1+D777/30))</f>
        <v/>
      </c>
      <c r="J777">
        <f>IF(I777="","",IF(I777&gt;=MAXIFS($I$2:$I$5001,$B$2:$B$5001,B777,$A$2:$A$5001,"&lt;="&amp;A777),"PR",""))</f>
        <v/>
      </c>
    </row>
    <row r="778">
      <c r="A778" s="7" t="n"/>
      <c r="H778" s="11">
        <f>IF(OR(D778="",E778=""),"",D778*E778)</f>
        <v/>
      </c>
      <c r="I778" s="8">
        <f>IF(OR(D778="",E778=""),"",E778*(1+D778/30))</f>
        <v/>
      </c>
      <c r="J778">
        <f>IF(I778="","",IF(I778&gt;=MAXIFS($I$2:$I$5001,$B$2:$B$5001,B778,$A$2:$A$5001,"&lt;="&amp;A778),"PR",""))</f>
        <v/>
      </c>
    </row>
    <row r="779">
      <c r="A779" s="7" t="n"/>
      <c r="H779" s="11">
        <f>IF(OR(D779="",E779=""),"",D779*E779)</f>
        <v/>
      </c>
      <c r="I779" s="8">
        <f>IF(OR(D779="",E779=""),"",E779*(1+D779/30))</f>
        <v/>
      </c>
      <c r="J779">
        <f>IF(I779="","",IF(I779&gt;=MAXIFS($I$2:$I$5001,$B$2:$B$5001,B779,$A$2:$A$5001,"&lt;="&amp;A779),"PR",""))</f>
        <v/>
      </c>
    </row>
    <row r="780">
      <c r="A780" s="7" t="n"/>
      <c r="H780" s="11">
        <f>IF(OR(D780="",E780=""),"",D780*E780)</f>
        <v/>
      </c>
      <c r="I780" s="8">
        <f>IF(OR(D780="",E780=""),"",E780*(1+D780/30))</f>
        <v/>
      </c>
      <c r="J780">
        <f>IF(I780="","",IF(I780&gt;=MAXIFS($I$2:$I$5001,$B$2:$B$5001,B780,$A$2:$A$5001,"&lt;="&amp;A780),"PR",""))</f>
        <v/>
      </c>
    </row>
    <row r="781">
      <c r="A781" s="7" t="n"/>
      <c r="H781" s="11">
        <f>IF(OR(D781="",E781=""),"",D781*E781)</f>
        <v/>
      </c>
      <c r="I781" s="8">
        <f>IF(OR(D781="",E781=""),"",E781*(1+D781/30))</f>
        <v/>
      </c>
      <c r="J781">
        <f>IF(I781="","",IF(I781&gt;=MAXIFS($I$2:$I$5001,$B$2:$B$5001,B781,$A$2:$A$5001,"&lt;="&amp;A781),"PR",""))</f>
        <v/>
      </c>
    </row>
    <row r="782">
      <c r="A782" s="7" t="n"/>
      <c r="H782" s="11">
        <f>IF(OR(D782="",E782=""),"",D782*E782)</f>
        <v/>
      </c>
      <c r="I782" s="8">
        <f>IF(OR(D782="",E782=""),"",E782*(1+D782/30))</f>
        <v/>
      </c>
      <c r="J782">
        <f>IF(I782="","",IF(I782&gt;=MAXIFS($I$2:$I$5001,$B$2:$B$5001,B782,$A$2:$A$5001,"&lt;="&amp;A782),"PR",""))</f>
        <v/>
      </c>
    </row>
    <row r="783">
      <c r="A783" s="7" t="n"/>
      <c r="H783" s="11">
        <f>IF(OR(D783="",E783=""),"",D783*E783)</f>
        <v/>
      </c>
      <c r="I783" s="8">
        <f>IF(OR(D783="",E783=""),"",E783*(1+D783/30))</f>
        <v/>
      </c>
      <c r="J783">
        <f>IF(I783="","",IF(I783&gt;=MAXIFS($I$2:$I$5001,$B$2:$B$5001,B783,$A$2:$A$5001,"&lt;="&amp;A783),"PR",""))</f>
        <v/>
      </c>
    </row>
    <row r="784">
      <c r="A784" s="7" t="n"/>
      <c r="H784" s="11">
        <f>IF(OR(D784="",E784=""),"",D784*E784)</f>
        <v/>
      </c>
      <c r="I784" s="8">
        <f>IF(OR(D784="",E784=""),"",E784*(1+D784/30))</f>
        <v/>
      </c>
      <c r="J784">
        <f>IF(I784="","",IF(I784&gt;=MAXIFS($I$2:$I$5001,$B$2:$B$5001,B784,$A$2:$A$5001,"&lt;="&amp;A784),"PR",""))</f>
        <v/>
      </c>
    </row>
    <row r="785">
      <c r="A785" s="7" t="n"/>
      <c r="H785" s="11">
        <f>IF(OR(D785="",E785=""),"",D785*E785)</f>
        <v/>
      </c>
      <c r="I785" s="8">
        <f>IF(OR(D785="",E785=""),"",E785*(1+D785/30))</f>
        <v/>
      </c>
      <c r="J785">
        <f>IF(I785="","",IF(I785&gt;=MAXIFS($I$2:$I$5001,$B$2:$B$5001,B785,$A$2:$A$5001,"&lt;="&amp;A785),"PR",""))</f>
        <v/>
      </c>
    </row>
    <row r="786">
      <c r="A786" s="7" t="n"/>
      <c r="H786" s="11">
        <f>IF(OR(D786="",E786=""),"",D786*E786)</f>
        <v/>
      </c>
      <c r="I786" s="8">
        <f>IF(OR(D786="",E786=""),"",E786*(1+D786/30))</f>
        <v/>
      </c>
      <c r="J786">
        <f>IF(I786="","",IF(I786&gt;=MAXIFS($I$2:$I$5001,$B$2:$B$5001,B786,$A$2:$A$5001,"&lt;="&amp;A786),"PR",""))</f>
        <v/>
      </c>
    </row>
    <row r="787">
      <c r="A787" s="7" t="n"/>
      <c r="H787" s="11">
        <f>IF(OR(D787="",E787=""),"",D787*E787)</f>
        <v/>
      </c>
      <c r="I787" s="8">
        <f>IF(OR(D787="",E787=""),"",E787*(1+D787/30))</f>
        <v/>
      </c>
      <c r="J787">
        <f>IF(I787="","",IF(I787&gt;=MAXIFS($I$2:$I$5001,$B$2:$B$5001,B787,$A$2:$A$5001,"&lt;="&amp;A787),"PR",""))</f>
        <v/>
      </c>
    </row>
    <row r="788">
      <c r="A788" s="7" t="n"/>
      <c r="H788" s="11">
        <f>IF(OR(D788="",E788=""),"",D788*E788)</f>
        <v/>
      </c>
      <c r="I788" s="8">
        <f>IF(OR(D788="",E788=""),"",E788*(1+D788/30))</f>
        <v/>
      </c>
      <c r="J788">
        <f>IF(I788="","",IF(I788&gt;=MAXIFS($I$2:$I$5001,$B$2:$B$5001,B788,$A$2:$A$5001,"&lt;="&amp;A788),"PR",""))</f>
        <v/>
      </c>
    </row>
    <row r="789">
      <c r="A789" s="7" t="n"/>
      <c r="H789" s="11">
        <f>IF(OR(D789="",E789=""),"",D789*E789)</f>
        <v/>
      </c>
      <c r="I789" s="8">
        <f>IF(OR(D789="",E789=""),"",E789*(1+D789/30))</f>
        <v/>
      </c>
      <c r="J789">
        <f>IF(I789="","",IF(I789&gt;=MAXIFS($I$2:$I$5001,$B$2:$B$5001,B789,$A$2:$A$5001,"&lt;="&amp;A789),"PR",""))</f>
        <v/>
      </c>
    </row>
    <row r="790">
      <c r="A790" s="7" t="n"/>
      <c r="H790" s="11">
        <f>IF(OR(D790="",E790=""),"",D790*E790)</f>
        <v/>
      </c>
      <c r="I790" s="8">
        <f>IF(OR(D790="",E790=""),"",E790*(1+D790/30))</f>
        <v/>
      </c>
      <c r="J790">
        <f>IF(I790="","",IF(I790&gt;=MAXIFS($I$2:$I$5001,$B$2:$B$5001,B790,$A$2:$A$5001,"&lt;="&amp;A790),"PR",""))</f>
        <v/>
      </c>
    </row>
    <row r="791">
      <c r="A791" s="7" t="n"/>
      <c r="H791" s="11">
        <f>IF(OR(D791="",E791=""),"",D791*E791)</f>
        <v/>
      </c>
      <c r="I791" s="8">
        <f>IF(OR(D791="",E791=""),"",E791*(1+D791/30))</f>
        <v/>
      </c>
      <c r="J791">
        <f>IF(I791="","",IF(I791&gt;=MAXIFS($I$2:$I$5001,$B$2:$B$5001,B791,$A$2:$A$5001,"&lt;="&amp;A791),"PR",""))</f>
        <v/>
      </c>
    </row>
    <row r="792">
      <c r="A792" s="7" t="n"/>
      <c r="H792" s="11">
        <f>IF(OR(D792="",E792=""),"",D792*E792)</f>
        <v/>
      </c>
      <c r="I792" s="8">
        <f>IF(OR(D792="",E792=""),"",E792*(1+D792/30))</f>
        <v/>
      </c>
      <c r="J792">
        <f>IF(I792="","",IF(I792&gt;=MAXIFS($I$2:$I$5001,$B$2:$B$5001,B792,$A$2:$A$5001,"&lt;="&amp;A792),"PR",""))</f>
        <v/>
      </c>
    </row>
    <row r="793">
      <c r="A793" s="7" t="n"/>
      <c r="H793" s="11">
        <f>IF(OR(D793="",E793=""),"",D793*E793)</f>
        <v/>
      </c>
      <c r="I793" s="8">
        <f>IF(OR(D793="",E793=""),"",E793*(1+D793/30))</f>
        <v/>
      </c>
      <c r="J793">
        <f>IF(I793="","",IF(I793&gt;=MAXIFS($I$2:$I$5001,$B$2:$B$5001,B793,$A$2:$A$5001,"&lt;="&amp;A793),"PR",""))</f>
        <v/>
      </c>
    </row>
    <row r="794">
      <c r="A794" s="7" t="n"/>
      <c r="H794" s="11">
        <f>IF(OR(D794="",E794=""),"",D794*E794)</f>
        <v/>
      </c>
      <c r="I794" s="8">
        <f>IF(OR(D794="",E794=""),"",E794*(1+D794/30))</f>
        <v/>
      </c>
      <c r="J794">
        <f>IF(I794="","",IF(I794&gt;=MAXIFS($I$2:$I$5001,$B$2:$B$5001,B794,$A$2:$A$5001,"&lt;="&amp;A794),"PR",""))</f>
        <v/>
      </c>
    </row>
    <row r="795">
      <c r="A795" s="7" t="n"/>
      <c r="H795" s="11">
        <f>IF(OR(D795="",E795=""),"",D795*E795)</f>
        <v/>
      </c>
      <c r="I795" s="8">
        <f>IF(OR(D795="",E795=""),"",E795*(1+D795/30))</f>
        <v/>
      </c>
      <c r="J795">
        <f>IF(I795="","",IF(I795&gt;=MAXIFS($I$2:$I$5001,$B$2:$B$5001,B795,$A$2:$A$5001,"&lt;="&amp;A795),"PR",""))</f>
        <v/>
      </c>
    </row>
    <row r="796">
      <c r="A796" s="7" t="n"/>
      <c r="H796" s="11">
        <f>IF(OR(D796="",E796=""),"",D796*E796)</f>
        <v/>
      </c>
      <c r="I796" s="8">
        <f>IF(OR(D796="",E796=""),"",E796*(1+D796/30))</f>
        <v/>
      </c>
      <c r="J796">
        <f>IF(I796="","",IF(I796&gt;=MAXIFS($I$2:$I$5001,$B$2:$B$5001,B796,$A$2:$A$5001,"&lt;="&amp;A796),"PR",""))</f>
        <v/>
      </c>
    </row>
    <row r="797">
      <c r="A797" s="7" t="n"/>
      <c r="H797" s="11">
        <f>IF(OR(D797="",E797=""),"",D797*E797)</f>
        <v/>
      </c>
      <c r="I797" s="8">
        <f>IF(OR(D797="",E797=""),"",E797*(1+D797/30))</f>
        <v/>
      </c>
      <c r="J797">
        <f>IF(I797="","",IF(I797&gt;=MAXIFS($I$2:$I$5001,$B$2:$B$5001,B797,$A$2:$A$5001,"&lt;="&amp;A797),"PR",""))</f>
        <v/>
      </c>
    </row>
    <row r="798">
      <c r="A798" s="7" t="n"/>
      <c r="H798" s="11">
        <f>IF(OR(D798="",E798=""),"",D798*E798)</f>
        <v/>
      </c>
      <c r="I798" s="8">
        <f>IF(OR(D798="",E798=""),"",E798*(1+D798/30))</f>
        <v/>
      </c>
      <c r="J798">
        <f>IF(I798="","",IF(I798&gt;=MAXIFS($I$2:$I$5001,$B$2:$B$5001,B798,$A$2:$A$5001,"&lt;="&amp;A798),"PR",""))</f>
        <v/>
      </c>
    </row>
    <row r="799">
      <c r="A799" s="7" t="n"/>
      <c r="H799" s="11">
        <f>IF(OR(D799="",E799=""),"",D799*E799)</f>
        <v/>
      </c>
      <c r="I799" s="8">
        <f>IF(OR(D799="",E799=""),"",E799*(1+D799/30))</f>
        <v/>
      </c>
      <c r="J799">
        <f>IF(I799="","",IF(I799&gt;=MAXIFS($I$2:$I$5001,$B$2:$B$5001,B799,$A$2:$A$5001,"&lt;="&amp;A799),"PR",""))</f>
        <v/>
      </c>
    </row>
    <row r="800">
      <c r="A800" s="7" t="n"/>
      <c r="H800" s="11">
        <f>IF(OR(D800="",E800=""),"",D800*E800)</f>
        <v/>
      </c>
      <c r="I800" s="8">
        <f>IF(OR(D800="",E800=""),"",E800*(1+D800/30))</f>
        <v/>
      </c>
      <c r="J800">
        <f>IF(I800="","",IF(I800&gt;=MAXIFS($I$2:$I$5001,$B$2:$B$5001,B800,$A$2:$A$5001,"&lt;="&amp;A800),"PR",""))</f>
        <v/>
      </c>
    </row>
    <row r="801">
      <c r="A801" s="7" t="n"/>
      <c r="H801" s="11">
        <f>IF(OR(D801="",E801=""),"",D801*E801)</f>
        <v/>
      </c>
      <c r="I801" s="8">
        <f>IF(OR(D801="",E801=""),"",E801*(1+D801/30))</f>
        <v/>
      </c>
      <c r="J801">
        <f>IF(I801="","",IF(I801&gt;=MAXIFS($I$2:$I$5001,$B$2:$B$5001,B801,$A$2:$A$5001,"&lt;="&amp;A801),"PR",""))</f>
        <v/>
      </c>
    </row>
    <row r="802">
      <c r="A802" s="7" t="n"/>
      <c r="H802" s="11">
        <f>IF(OR(D802="",E802=""),"",D802*E802)</f>
        <v/>
      </c>
      <c r="I802" s="8">
        <f>IF(OR(D802="",E802=""),"",E802*(1+D802/30))</f>
        <v/>
      </c>
      <c r="J802">
        <f>IF(I802="","",IF(I802&gt;=MAXIFS($I$2:$I$5001,$B$2:$B$5001,B802,$A$2:$A$5001,"&lt;="&amp;A802),"PR",""))</f>
        <v/>
      </c>
    </row>
    <row r="803">
      <c r="A803" s="7" t="n"/>
      <c r="H803" s="11">
        <f>IF(OR(D803="",E803=""),"",D803*E803)</f>
        <v/>
      </c>
      <c r="I803" s="8">
        <f>IF(OR(D803="",E803=""),"",E803*(1+D803/30))</f>
        <v/>
      </c>
      <c r="J803">
        <f>IF(I803="","",IF(I803&gt;=MAXIFS($I$2:$I$5001,$B$2:$B$5001,B803,$A$2:$A$5001,"&lt;="&amp;A803),"PR",""))</f>
        <v/>
      </c>
    </row>
    <row r="804">
      <c r="A804" s="7" t="n"/>
      <c r="H804" s="11">
        <f>IF(OR(D804="",E804=""),"",D804*E804)</f>
        <v/>
      </c>
      <c r="I804" s="8">
        <f>IF(OR(D804="",E804=""),"",E804*(1+D804/30))</f>
        <v/>
      </c>
      <c r="J804">
        <f>IF(I804="","",IF(I804&gt;=MAXIFS($I$2:$I$5001,$B$2:$B$5001,B804,$A$2:$A$5001,"&lt;="&amp;A804),"PR",""))</f>
        <v/>
      </c>
    </row>
    <row r="805">
      <c r="A805" s="7" t="n"/>
      <c r="H805" s="11">
        <f>IF(OR(D805="",E805=""),"",D805*E805)</f>
        <v/>
      </c>
      <c r="I805" s="8">
        <f>IF(OR(D805="",E805=""),"",E805*(1+D805/30))</f>
        <v/>
      </c>
      <c r="J805">
        <f>IF(I805="","",IF(I805&gt;=MAXIFS($I$2:$I$5001,$B$2:$B$5001,B805,$A$2:$A$5001,"&lt;="&amp;A805),"PR",""))</f>
        <v/>
      </c>
    </row>
    <row r="806">
      <c r="A806" s="7" t="n"/>
      <c r="H806" s="11">
        <f>IF(OR(D806="",E806=""),"",D806*E806)</f>
        <v/>
      </c>
      <c r="I806" s="8">
        <f>IF(OR(D806="",E806=""),"",E806*(1+D806/30))</f>
        <v/>
      </c>
      <c r="J806">
        <f>IF(I806="","",IF(I806&gt;=MAXIFS($I$2:$I$5001,$B$2:$B$5001,B806,$A$2:$A$5001,"&lt;="&amp;A806),"PR",""))</f>
        <v/>
      </c>
    </row>
    <row r="807">
      <c r="A807" s="7" t="n"/>
      <c r="H807" s="11">
        <f>IF(OR(D807="",E807=""),"",D807*E807)</f>
        <v/>
      </c>
      <c r="I807" s="8">
        <f>IF(OR(D807="",E807=""),"",E807*(1+D807/30))</f>
        <v/>
      </c>
      <c r="J807">
        <f>IF(I807="","",IF(I807&gt;=MAXIFS($I$2:$I$5001,$B$2:$B$5001,B807,$A$2:$A$5001,"&lt;="&amp;A807),"PR",""))</f>
        <v/>
      </c>
    </row>
    <row r="808">
      <c r="A808" s="7" t="n"/>
      <c r="H808" s="11">
        <f>IF(OR(D808="",E808=""),"",D808*E808)</f>
        <v/>
      </c>
      <c r="I808" s="8">
        <f>IF(OR(D808="",E808=""),"",E808*(1+D808/30))</f>
        <v/>
      </c>
      <c r="J808">
        <f>IF(I808="","",IF(I808&gt;=MAXIFS($I$2:$I$5001,$B$2:$B$5001,B808,$A$2:$A$5001,"&lt;="&amp;A808),"PR",""))</f>
        <v/>
      </c>
    </row>
    <row r="809">
      <c r="A809" s="7" t="n"/>
      <c r="H809" s="11">
        <f>IF(OR(D809="",E809=""),"",D809*E809)</f>
        <v/>
      </c>
      <c r="I809" s="8">
        <f>IF(OR(D809="",E809=""),"",E809*(1+D809/30))</f>
        <v/>
      </c>
      <c r="J809">
        <f>IF(I809="","",IF(I809&gt;=MAXIFS($I$2:$I$5001,$B$2:$B$5001,B809,$A$2:$A$5001,"&lt;="&amp;A809),"PR",""))</f>
        <v/>
      </c>
    </row>
    <row r="810">
      <c r="A810" s="7" t="n"/>
      <c r="H810" s="11">
        <f>IF(OR(D810="",E810=""),"",D810*E810)</f>
        <v/>
      </c>
      <c r="I810" s="8">
        <f>IF(OR(D810="",E810=""),"",E810*(1+D810/30))</f>
        <v/>
      </c>
      <c r="J810">
        <f>IF(I810="","",IF(I810&gt;=MAXIFS($I$2:$I$5001,$B$2:$B$5001,B810,$A$2:$A$5001,"&lt;="&amp;A810),"PR",""))</f>
        <v/>
      </c>
    </row>
    <row r="811">
      <c r="A811" s="7" t="n"/>
      <c r="H811" s="11">
        <f>IF(OR(D811="",E811=""),"",D811*E811)</f>
        <v/>
      </c>
      <c r="I811" s="8">
        <f>IF(OR(D811="",E811=""),"",E811*(1+D811/30))</f>
        <v/>
      </c>
      <c r="J811">
        <f>IF(I811="","",IF(I811&gt;=MAXIFS($I$2:$I$5001,$B$2:$B$5001,B811,$A$2:$A$5001,"&lt;="&amp;A811),"PR",""))</f>
        <v/>
      </c>
    </row>
    <row r="812">
      <c r="A812" s="7" t="n"/>
      <c r="H812" s="11">
        <f>IF(OR(D812="",E812=""),"",D812*E812)</f>
        <v/>
      </c>
      <c r="I812" s="8">
        <f>IF(OR(D812="",E812=""),"",E812*(1+D812/30))</f>
        <v/>
      </c>
      <c r="J812">
        <f>IF(I812="","",IF(I812&gt;=MAXIFS($I$2:$I$5001,$B$2:$B$5001,B812,$A$2:$A$5001,"&lt;="&amp;A812),"PR",""))</f>
        <v/>
      </c>
    </row>
    <row r="813">
      <c r="A813" s="7" t="n"/>
      <c r="H813" s="11">
        <f>IF(OR(D813="",E813=""),"",D813*E813)</f>
        <v/>
      </c>
      <c r="I813" s="8">
        <f>IF(OR(D813="",E813=""),"",E813*(1+D813/30))</f>
        <v/>
      </c>
      <c r="J813">
        <f>IF(I813="","",IF(I813&gt;=MAXIFS($I$2:$I$5001,$B$2:$B$5001,B813,$A$2:$A$5001,"&lt;="&amp;A813),"PR",""))</f>
        <v/>
      </c>
    </row>
    <row r="814">
      <c r="A814" s="7" t="n"/>
      <c r="H814" s="11">
        <f>IF(OR(D814="",E814=""),"",D814*E814)</f>
        <v/>
      </c>
      <c r="I814" s="8">
        <f>IF(OR(D814="",E814=""),"",E814*(1+D814/30))</f>
        <v/>
      </c>
      <c r="J814">
        <f>IF(I814="","",IF(I814&gt;=MAXIFS($I$2:$I$5001,$B$2:$B$5001,B814,$A$2:$A$5001,"&lt;="&amp;A814),"PR",""))</f>
        <v/>
      </c>
    </row>
    <row r="815">
      <c r="A815" s="7" t="n"/>
      <c r="H815" s="11">
        <f>IF(OR(D815="",E815=""),"",D815*E815)</f>
        <v/>
      </c>
      <c r="I815" s="8">
        <f>IF(OR(D815="",E815=""),"",E815*(1+D815/30))</f>
        <v/>
      </c>
      <c r="J815">
        <f>IF(I815="","",IF(I815&gt;=MAXIFS($I$2:$I$5001,$B$2:$B$5001,B815,$A$2:$A$5001,"&lt;="&amp;A815),"PR",""))</f>
        <v/>
      </c>
    </row>
    <row r="816">
      <c r="A816" s="7" t="n"/>
      <c r="H816" s="11">
        <f>IF(OR(D816="",E816=""),"",D816*E816)</f>
        <v/>
      </c>
      <c r="I816" s="8">
        <f>IF(OR(D816="",E816=""),"",E816*(1+D816/30))</f>
        <v/>
      </c>
      <c r="J816">
        <f>IF(I816="","",IF(I816&gt;=MAXIFS($I$2:$I$5001,$B$2:$B$5001,B816,$A$2:$A$5001,"&lt;="&amp;A816),"PR",""))</f>
        <v/>
      </c>
    </row>
    <row r="817">
      <c r="A817" s="7" t="n"/>
      <c r="H817" s="11">
        <f>IF(OR(D817="",E817=""),"",D817*E817)</f>
        <v/>
      </c>
      <c r="I817" s="8">
        <f>IF(OR(D817="",E817=""),"",E817*(1+D817/30))</f>
        <v/>
      </c>
      <c r="J817">
        <f>IF(I817="","",IF(I817&gt;=MAXIFS($I$2:$I$5001,$B$2:$B$5001,B817,$A$2:$A$5001,"&lt;="&amp;A817),"PR",""))</f>
        <v/>
      </c>
    </row>
    <row r="818">
      <c r="A818" s="7" t="n"/>
      <c r="H818" s="11">
        <f>IF(OR(D818="",E818=""),"",D818*E818)</f>
        <v/>
      </c>
      <c r="I818" s="8">
        <f>IF(OR(D818="",E818=""),"",E818*(1+D818/30))</f>
        <v/>
      </c>
      <c r="J818">
        <f>IF(I818="","",IF(I818&gt;=MAXIFS($I$2:$I$5001,$B$2:$B$5001,B818,$A$2:$A$5001,"&lt;="&amp;A818),"PR",""))</f>
        <v/>
      </c>
    </row>
    <row r="819">
      <c r="A819" s="7" t="n"/>
      <c r="H819" s="11">
        <f>IF(OR(D819="",E819=""),"",D819*E819)</f>
        <v/>
      </c>
      <c r="I819" s="8">
        <f>IF(OR(D819="",E819=""),"",E819*(1+D819/30))</f>
        <v/>
      </c>
      <c r="J819">
        <f>IF(I819="","",IF(I819&gt;=MAXIFS($I$2:$I$5001,$B$2:$B$5001,B819,$A$2:$A$5001,"&lt;="&amp;A819),"PR",""))</f>
        <v/>
      </c>
    </row>
    <row r="820">
      <c r="A820" s="7" t="n"/>
      <c r="H820" s="11">
        <f>IF(OR(D820="",E820=""),"",D820*E820)</f>
        <v/>
      </c>
      <c r="I820" s="8">
        <f>IF(OR(D820="",E820=""),"",E820*(1+D820/30))</f>
        <v/>
      </c>
      <c r="J820">
        <f>IF(I820="","",IF(I820&gt;=MAXIFS($I$2:$I$5001,$B$2:$B$5001,B820,$A$2:$A$5001,"&lt;="&amp;A820),"PR",""))</f>
        <v/>
      </c>
    </row>
    <row r="821">
      <c r="A821" s="7" t="n"/>
      <c r="H821" s="11">
        <f>IF(OR(D821="",E821=""),"",D821*E821)</f>
        <v/>
      </c>
      <c r="I821" s="8">
        <f>IF(OR(D821="",E821=""),"",E821*(1+D821/30))</f>
        <v/>
      </c>
      <c r="J821">
        <f>IF(I821="","",IF(I821&gt;=MAXIFS($I$2:$I$5001,$B$2:$B$5001,B821,$A$2:$A$5001,"&lt;="&amp;A821),"PR",""))</f>
        <v/>
      </c>
    </row>
    <row r="822">
      <c r="A822" s="7" t="n"/>
      <c r="H822" s="11">
        <f>IF(OR(D822="",E822=""),"",D822*E822)</f>
        <v/>
      </c>
      <c r="I822" s="8">
        <f>IF(OR(D822="",E822=""),"",E822*(1+D822/30))</f>
        <v/>
      </c>
      <c r="J822">
        <f>IF(I822="","",IF(I822&gt;=MAXIFS($I$2:$I$5001,$B$2:$B$5001,B822,$A$2:$A$5001,"&lt;="&amp;A822),"PR",""))</f>
        <v/>
      </c>
    </row>
    <row r="823">
      <c r="A823" s="7" t="n"/>
      <c r="H823" s="11">
        <f>IF(OR(D823="",E823=""),"",D823*E823)</f>
        <v/>
      </c>
      <c r="I823" s="8">
        <f>IF(OR(D823="",E823=""),"",E823*(1+D823/30))</f>
        <v/>
      </c>
      <c r="J823">
        <f>IF(I823="","",IF(I823&gt;=MAXIFS($I$2:$I$5001,$B$2:$B$5001,B823,$A$2:$A$5001,"&lt;="&amp;A823),"PR",""))</f>
        <v/>
      </c>
    </row>
    <row r="824">
      <c r="A824" s="7" t="n"/>
      <c r="H824" s="11">
        <f>IF(OR(D824="",E824=""),"",D824*E824)</f>
        <v/>
      </c>
      <c r="I824" s="8">
        <f>IF(OR(D824="",E824=""),"",E824*(1+D824/30))</f>
        <v/>
      </c>
      <c r="J824">
        <f>IF(I824="","",IF(I824&gt;=MAXIFS($I$2:$I$5001,$B$2:$B$5001,B824,$A$2:$A$5001,"&lt;="&amp;A824),"PR",""))</f>
        <v/>
      </c>
    </row>
    <row r="825">
      <c r="A825" s="7" t="n"/>
      <c r="H825" s="11">
        <f>IF(OR(D825="",E825=""),"",D825*E825)</f>
        <v/>
      </c>
      <c r="I825" s="8">
        <f>IF(OR(D825="",E825=""),"",E825*(1+D825/30))</f>
        <v/>
      </c>
      <c r="J825">
        <f>IF(I825="","",IF(I825&gt;=MAXIFS($I$2:$I$5001,$B$2:$B$5001,B825,$A$2:$A$5001,"&lt;="&amp;A825),"PR",""))</f>
        <v/>
      </c>
    </row>
    <row r="826">
      <c r="A826" s="7" t="n"/>
      <c r="H826" s="11">
        <f>IF(OR(D826="",E826=""),"",D826*E826)</f>
        <v/>
      </c>
      <c r="I826" s="8">
        <f>IF(OR(D826="",E826=""),"",E826*(1+D826/30))</f>
        <v/>
      </c>
      <c r="J826">
        <f>IF(I826="","",IF(I826&gt;=MAXIFS($I$2:$I$5001,$B$2:$B$5001,B826,$A$2:$A$5001,"&lt;="&amp;A826),"PR",""))</f>
        <v/>
      </c>
    </row>
    <row r="827">
      <c r="A827" s="7" t="n"/>
      <c r="H827" s="11">
        <f>IF(OR(D827="",E827=""),"",D827*E827)</f>
        <v/>
      </c>
      <c r="I827" s="8">
        <f>IF(OR(D827="",E827=""),"",E827*(1+D827/30))</f>
        <v/>
      </c>
      <c r="J827">
        <f>IF(I827="","",IF(I827&gt;=MAXIFS($I$2:$I$5001,$B$2:$B$5001,B827,$A$2:$A$5001,"&lt;="&amp;A827),"PR",""))</f>
        <v/>
      </c>
    </row>
    <row r="828">
      <c r="A828" s="7" t="n"/>
      <c r="H828" s="11">
        <f>IF(OR(D828="",E828=""),"",D828*E828)</f>
        <v/>
      </c>
      <c r="I828" s="8">
        <f>IF(OR(D828="",E828=""),"",E828*(1+D828/30))</f>
        <v/>
      </c>
      <c r="J828">
        <f>IF(I828="","",IF(I828&gt;=MAXIFS($I$2:$I$5001,$B$2:$B$5001,B828,$A$2:$A$5001,"&lt;="&amp;A828),"PR",""))</f>
        <v/>
      </c>
    </row>
    <row r="829">
      <c r="A829" s="7" t="n"/>
      <c r="H829" s="11">
        <f>IF(OR(D829="",E829=""),"",D829*E829)</f>
        <v/>
      </c>
      <c r="I829" s="8">
        <f>IF(OR(D829="",E829=""),"",E829*(1+D829/30))</f>
        <v/>
      </c>
      <c r="J829">
        <f>IF(I829="","",IF(I829&gt;=MAXIFS($I$2:$I$5001,$B$2:$B$5001,B829,$A$2:$A$5001,"&lt;="&amp;A829),"PR",""))</f>
        <v/>
      </c>
    </row>
    <row r="830">
      <c r="A830" s="7" t="n"/>
      <c r="H830" s="11">
        <f>IF(OR(D830="",E830=""),"",D830*E830)</f>
        <v/>
      </c>
      <c r="I830" s="8">
        <f>IF(OR(D830="",E830=""),"",E830*(1+D830/30))</f>
        <v/>
      </c>
      <c r="J830">
        <f>IF(I830="","",IF(I830&gt;=MAXIFS($I$2:$I$5001,$B$2:$B$5001,B830,$A$2:$A$5001,"&lt;="&amp;A830),"PR",""))</f>
        <v/>
      </c>
    </row>
    <row r="831">
      <c r="A831" s="7" t="n"/>
      <c r="H831" s="11">
        <f>IF(OR(D831="",E831=""),"",D831*E831)</f>
        <v/>
      </c>
      <c r="I831" s="8">
        <f>IF(OR(D831="",E831=""),"",E831*(1+D831/30))</f>
        <v/>
      </c>
      <c r="J831">
        <f>IF(I831="","",IF(I831&gt;=MAXIFS($I$2:$I$5001,$B$2:$B$5001,B831,$A$2:$A$5001,"&lt;="&amp;A831),"PR",""))</f>
        <v/>
      </c>
    </row>
    <row r="832">
      <c r="A832" s="7" t="n"/>
      <c r="H832" s="11">
        <f>IF(OR(D832="",E832=""),"",D832*E832)</f>
        <v/>
      </c>
      <c r="I832" s="8">
        <f>IF(OR(D832="",E832=""),"",E832*(1+D832/30))</f>
        <v/>
      </c>
      <c r="J832">
        <f>IF(I832="","",IF(I832&gt;=MAXIFS($I$2:$I$5001,$B$2:$B$5001,B832,$A$2:$A$5001,"&lt;="&amp;A832),"PR",""))</f>
        <v/>
      </c>
    </row>
    <row r="833">
      <c r="A833" s="7" t="n"/>
      <c r="H833" s="11">
        <f>IF(OR(D833="",E833=""),"",D833*E833)</f>
        <v/>
      </c>
      <c r="I833" s="8">
        <f>IF(OR(D833="",E833=""),"",E833*(1+D833/30))</f>
        <v/>
      </c>
      <c r="J833">
        <f>IF(I833="","",IF(I833&gt;=MAXIFS($I$2:$I$5001,$B$2:$B$5001,B833,$A$2:$A$5001,"&lt;="&amp;A833),"PR",""))</f>
        <v/>
      </c>
    </row>
    <row r="834">
      <c r="A834" s="7" t="n"/>
      <c r="H834" s="11">
        <f>IF(OR(D834="",E834=""),"",D834*E834)</f>
        <v/>
      </c>
      <c r="I834" s="8">
        <f>IF(OR(D834="",E834=""),"",E834*(1+D834/30))</f>
        <v/>
      </c>
      <c r="J834">
        <f>IF(I834="","",IF(I834&gt;=MAXIFS($I$2:$I$5001,$B$2:$B$5001,B834,$A$2:$A$5001,"&lt;="&amp;A834),"PR",""))</f>
        <v/>
      </c>
    </row>
    <row r="835">
      <c r="A835" s="7" t="n"/>
      <c r="H835" s="11">
        <f>IF(OR(D835="",E835=""),"",D835*E835)</f>
        <v/>
      </c>
      <c r="I835" s="8">
        <f>IF(OR(D835="",E835=""),"",E835*(1+D835/30))</f>
        <v/>
      </c>
      <c r="J835">
        <f>IF(I835="","",IF(I835&gt;=MAXIFS($I$2:$I$5001,$B$2:$B$5001,B835,$A$2:$A$5001,"&lt;="&amp;A835),"PR",""))</f>
        <v/>
      </c>
    </row>
    <row r="836">
      <c r="A836" s="7" t="n"/>
      <c r="H836" s="11">
        <f>IF(OR(D836="",E836=""),"",D836*E836)</f>
        <v/>
      </c>
      <c r="I836" s="8">
        <f>IF(OR(D836="",E836=""),"",E836*(1+D836/30))</f>
        <v/>
      </c>
      <c r="J836">
        <f>IF(I836="","",IF(I836&gt;=MAXIFS($I$2:$I$5001,$B$2:$B$5001,B836,$A$2:$A$5001,"&lt;="&amp;A836),"PR",""))</f>
        <v/>
      </c>
    </row>
    <row r="837">
      <c r="A837" s="7" t="n"/>
      <c r="H837" s="11">
        <f>IF(OR(D837="",E837=""),"",D837*E837)</f>
        <v/>
      </c>
      <c r="I837" s="8">
        <f>IF(OR(D837="",E837=""),"",E837*(1+D837/30))</f>
        <v/>
      </c>
      <c r="J837">
        <f>IF(I837="","",IF(I837&gt;=MAXIFS($I$2:$I$5001,$B$2:$B$5001,B837,$A$2:$A$5001,"&lt;="&amp;A837),"PR",""))</f>
        <v/>
      </c>
    </row>
    <row r="838">
      <c r="A838" s="7" t="n"/>
      <c r="H838" s="11">
        <f>IF(OR(D838="",E838=""),"",D838*E838)</f>
        <v/>
      </c>
      <c r="I838" s="8">
        <f>IF(OR(D838="",E838=""),"",E838*(1+D838/30))</f>
        <v/>
      </c>
      <c r="J838">
        <f>IF(I838="","",IF(I838&gt;=MAXIFS($I$2:$I$5001,$B$2:$B$5001,B838,$A$2:$A$5001,"&lt;="&amp;A838),"PR",""))</f>
        <v/>
      </c>
    </row>
    <row r="839">
      <c r="A839" s="7" t="n"/>
      <c r="H839" s="11">
        <f>IF(OR(D839="",E839=""),"",D839*E839)</f>
        <v/>
      </c>
      <c r="I839" s="8">
        <f>IF(OR(D839="",E839=""),"",E839*(1+D839/30))</f>
        <v/>
      </c>
      <c r="J839">
        <f>IF(I839="","",IF(I839&gt;=MAXIFS($I$2:$I$5001,$B$2:$B$5001,B839,$A$2:$A$5001,"&lt;="&amp;A839),"PR",""))</f>
        <v/>
      </c>
    </row>
    <row r="840">
      <c r="A840" s="7" t="n"/>
      <c r="H840" s="11">
        <f>IF(OR(D840="",E840=""),"",D840*E840)</f>
        <v/>
      </c>
      <c r="I840" s="8">
        <f>IF(OR(D840="",E840=""),"",E840*(1+D840/30))</f>
        <v/>
      </c>
      <c r="J840">
        <f>IF(I840="","",IF(I840&gt;=MAXIFS($I$2:$I$5001,$B$2:$B$5001,B840,$A$2:$A$5001,"&lt;="&amp;A840),"PR",""))</f>
        <v/>
      </c>
    </row>
    <row r="841">
      <c r="A841" s="7" t="n"/>
      <c r="H841" s="11">
        <f>IF(OR(D841="",E841=""),"",D841*E841)</f>
        <v/>
      </c>
      <c r="I841" s="8">
        <f>IF(OR(D841="",E841=""),"",E841*(1+D841/30))</f>
        <v/>
      </c>
      <c r="J841">
        <f>IF(I841="","",IF(I841&gt;=MAXIFS($I$2:$I$5001,$B$2:$B$5001,B841,$A$2:$A$5001,"&lt;="&amp;A841),"PR",""))</f>
        <v/>
      </c>
    </row>
    <row r="842">
      <c r="A842" s="7" t="n"/>
      <c r="H842" s="11">
        <f>IF(OR(D842="",E842=""),"",D842*E842)</f>
        <v/>
      </c>
      <c r="I842" s="8">
        <f>IF(OR(D842="",E842=""),"",E842*(1+D842/30))</f>
        <v/>
      </c>
      <c r="J842">
        <f>IF(I842="","",IF(I842&gt;=MAXIFS($I$2:$I$5001,$B$2:$B$5001,B842,$A$2:$A$5001,"&lt;="&amp;A842),"PR",""))</f>
        <v/>
      </c>
    </row>
    <row r="843">
      <c r="A843" s="7" t="n"/>
      <c r="H843" s="11">
        <f>IF(OR(D843="",E843=""),"",D843*E843)</f>
        <v/>
      </c>
      <c r="I843" s="8">
        <f>IF(OR(D843="",E843=""),"",E843*(1+D843/30))</f>
        <v/>
      </c>
      <c r="J843">
        <f>IF(I843="","",IF(I843&gt;=MAXIFS($I$2:$I$5001,$B$2:$B$5001,B843,$A$2:$A$5001,"&lt;="&amp;A843),"PR",""))</f>
        <v/>
      </c>
    </row>
    <row r="844">
      <c r="A844" s="7" t="n"/>
      <c r="H844" s="11">
        <f>IF(OR(D844="",E844=""),"",D844*E844)</f>
        <v/>
      </c>
      <c r="I844" s="8">
        <f>IF(OR(D844="",E844=""),"",E844*(1+D844/30))</f>
        <v/>
      </c>
      <c r="J844">
        <f>IF(I844="","",IF(I844&gt;=MAXIFS($I$2:$I$5001,$B$2:$B$5001,B844,$A$2:$A$5001,"&lt;="&amp;A844),"PR",""))</f>
        <v/>
      </c>
    </row>
    <row r="845">
      <c r="A845" s="7" t="n"/>
      <c r="H845" s="11">
        <f>IF(OR(D845="",E845=""),"",D845*E845)</f>
        <v/>
      </c>
      <c r="I845" s="8">
        <f>IF(OR(D845="",E845=""),"",E845*(1+D845/30))</f>
        <v/>
      </c>
      <c r="J845">
        <f>IF(I845="","",IF(I845&gt;=MAXIFS($I$2:$I$5001,$B$2:$B$5001,B845,$A$2:$A$5001,"&lt;="&amp;A845),"PR",""))</f>
        <v/>
      </c>
    </row>
    <row r="846">
      <c r="A846" s="7" t="n"/>
      <c r="H846" s="11">
        <f>IF(OR(D846="",E846=""),"",D846*E846)</f>
        <v/>
      </c>
      <c r="I846" s="8">
        <f>IF(OR(D846="",E846=""),"",E846*(1+D846/30))</f>
        <v/>
      </c>
      <c r="J846">
        <f>IF(I846="","",IF(I846&gt;=MAXIFS($I$2:$I$5001,$B$2:$B$5001,B846,$A$2:$A$5001,"&lt;="&amp;A846),"PR",""))</f>
        <v/>
      </c>
    </row>
    <row r="847">
      <c r="A847" s="7" t="n"/>
      <c r="H847" s="11">
        <f>IF(OR(D847="",E847=""),"",D847*E847)</f>
        <v/>
      </c>
      <c r="I847" s="8">
        <f>IF(OR(D847="",E847=""),"",E847*(1+D847/30))</f>
        <v/>
      </c>
      <c r="J847">
        <f>IF(I847="","",IF(I847&gt;=MAXIFS($I$2:$I$5001,$B$2:$B$5001,B847,$A$2:$A$5001,"&lt;="&amp;A847),"PR",""))</f>
        <v/>
      </c>
    </row>
    <row r="848">
      <c r="A848" s="7" t="n"/>
      <c r="H848" s="11">
        <f>IF(OR(D848="",E848=""),"",D848*E848)</f>
        <v/>
      </c>
      <c r="I848" s="8">
        <f>IF(OR(D848="",E848=""),"",E848*(1+D848/30))</f>
        <v/>
      </c>
      <c r="J848">
        <f>IF(I848="","",IF(I848&gt;=MAXIFS($I$2:$I$5001,$B$2:$B$5001,B848,$A$2:$A$5001,"&lt;="&amp;A848),"PR",""))</f>
        <v/>
      </c>
    </row>
    <row r="849">
      <c r="A849" s="7" t="n"/>
      <c r="H849" s="11">
        <f>IF(OR(D849="",E849=""),"",D849*E849)</f>
        <v/>
      </c>
      <c r="I849" s="8">
        <f>IF(OR(D849="",E849=""),"",E849*(1+D849/30))</f>
        <v/>
      </c>
      <c r="J849">
        <f>IF(I849="","",IF(I849&gt;=MAXIFS($I$2:$I$5001,$B$2:$B$5001,B849,$A$2:$A$5001,"&lt;="&amp;A849),"PR",""))</f>
        <v/>
      </c>
    </row>
    <row r="850">
      <c r="A850" s="7" t="n"/>
      <c r="H850" s="11">
        <f>IF(OR(D850="",E850=""),"",D850*E850)</f>
        <v/>
      </c>
      <c r="I850" s="8">
        <f>IF(OR(D850="",E850=""),"",E850*(1+D850/30))</f>
        <v/>
      </c>
      <c r="J850">
        <f>IF(I850="","",IF(I850&gt;=MAXIFS($I$2:$I$5001,$B$2:$B$5001,B850,$A$2:$A$5001,"&lt;="&amp;A850),"PR",""))</f>
        <v/>
      </c>
    </row>
    <row r="851">
      <c r="A851" s="7" t="n"/>
      <c r="H851" s="11">
        <f>IF(OR(D851="",E851=""),"",D851*E851)</f>
        <v/>
      </c>
      <c r="I851" s="8">
        <f>IF(OR(D851="",E851=""),"",E851*(1+D851/30))</f>
        <v/>
      </c>
      <c r="J851">
        <f>IF(I851="","",IF(I851&gt;=MAXIFS($I$2:$I$5001,$B$2:$B$5001,B851,$A$2:$A$5001,"&lt;="&amp;A851),"PR",""))</f>
        <v/>
      </c>
    </row>
    <row r="852">
      <c r="A852" s="7" t="n"/>
      <c r="H852" s="11">
        <f>IF(OR(D852="",E852=""),"",D852*E852)</f>
        <v/>
      </c>
      <c r="I852" s="8">
        <f>IF(OR(D852="",E852=""),"",E852*(1+D852/30))</f>
        <v/>
      </c>
      <c r="J852">
        <f>IF(I852="","",IF(I852&gt;=MAXIFS($I$2:$I$5001,$B$2:$B$5001,B852,$A$2:$A$5001,"&lt;="&amp;A852),"PR",""))</f>
        <v/>
      </c>
    </row>
    <row r="853">
      <c r="A853" s="7" t="n"/>
      <c r="H853" s="11">
        <f>IF(OR(D853="",E853=""),"",D853*E853)</f>
        <v/>
      </c>
      <c r="I853" s="8">
        <f>IF(OR(D853="",E853=""),"",E853*(1+D853/30))</f>
        <v/>
      </c>
      <c r="J853">
        <f>IF(I853="","",IF(I853&gt;=MAXIFS($I$2:$I$5001,$B$2:$B$5001,B853,$A$2:$A$5001,"&lt;="&amp;A853),"PR",""))</f>
        <v/>
      </c>
    </row>
    <row r="854">
      <c r="A854" s="7" t="n"/>
      <c r="H854" s="11">
        <f>IF(OR(D854="",E854=""),"",D854*E854)</f>
        <v/>
      </c>
      <c r="I854" s="8">
        <f>IF(OR(D854="",E854=""),"",E854*(1+D854/30))</f>
        <v/>
      </c>
      <c r="J854">
        <f>IF(I854="","",IF(I854&gt;=MAXIFS($I$2:$I$5001,$B$2:$B$5001,B854,$A$2:$A$5001,"&lt;="&amp;A854),"PR",""))</f>
        <v/>
      </c>
    </row>
    <row r="855">
      <c r="A855" s="7" t="n"/>
      <c r="H855" s="11">
        <f>IF(OR(D855="",E855=""),"",D855*E855)</f>
        <v/>
      </c>
      <c r="I855" s="8">
        <f>IF(OR(D855="",E855=""),"",E855*(1+D855/30))</f>
        <v/>
      </c>
      <c r="J855">
        <f>IF(I855="","",IF(I855&gt;=MAXIFS($I$2:$I$5001,$B$2:$B$5001,B855,$A$2:$A$5001,"&lt;="&amp;A855),"PR",""))</f>
        <v/>
      </c>
    </row>
    <row r="856">
      <c r="A856" s="7" t="n"/>
      <c r="H856" s="11">
        <f>IF(OR(D856="",E856=""),"",D856*E856)</f>
        <v/>
      </c>
      <c r="I856" s="8">
        <f>IF(OR(D856="",E856=""),"",E856*(1+D856/30))</f>
        <v/>
      </c>
      <c r="J856">
        <f>IF(I856="","",IF(I856&gt;=MAXIFS($I$2:$I$5001,$B$2:$B$5001,B856,$A$2:$A$5001,"&lt;="&amp;A856),"PR",""))</f>
        <v/>
      </c>
    </row>
    <row r="857">
      <c r="A857" s="7" t="n"/>
      <c r="H857" s="11">
        <f>IF(OR(D857="",E857=""),"",D857*E857)</f>
        <v/>
      </c>
      <c r="I857" s="8">
        <f>IF(OR(D857="",E857=""),"",E857*(1+D857/30))</f>
        <v/>
      </c>
      <c r="J857">
        <f>IF(I857="","",IF(I857&gt;=MAXIFS($I$2:$I$5001,$B$2:$B$5001,B857,$A$2:$A$5001,"&lt;="&amp;A857),"PR",""))</f>
        <v/>
      </c>
    </row>
    <row r="858">
      <c r="A858" s="7" t="n"/>
      <c r="H858" s="11">
        <f>IF(OR(D858="",E858=""),"",D858*E858)</f>
        <v/>
      </c>
      <c r="I858" s="8">
        <f>IF(OR(D858="",E858=""),"",E858*(1+D858/30))</f>
        <v/>
      </c>
      <c r="J858">
        <f>IF(I858="","",IF(I858&gt;=MAXIFS($I$2:$I$5001,$B$2:$B$5001,B858,$A$2:$A$5001,"&lt;="&amp;A858),"PR",""))</f>
        <v/>
      </c>
    </row>
    <row r="859">
      <c r="A859" s="7" t="n"/>
      <c r="H859" s="11">
        <f>IF(OR(D859="",E859=""),"",D859*E859)</f>
        <v/>
      </c>
      <c r="I859" s="8">
        <f>IF(OR(D859="",E859=""),"",E859*(1+D859/30))</f>
        <v/>
      </c>
      <c r="J859">
        <f>IF(I859="","",IF(I859&gt;=MAXIFS($I$2:$I$5001,$B$2:$B$5001,B859,$A$2:$A$5001,"&lt;="&amp;A859),"PR",""))</f>
        <v/>
      </c>
    </row>
    <row r="860">
      <c r="A860" s="7" t="n"/>
      <c r="H860" s="11">
        <f>IF(OR(D860="",E860=""),"",D860*E860)</f>
        <v/>
      </c>
      <c r="I860" s="8">
        <f>IF(OR(D860="",E860=""),"",E860*(1+D860/30))</f>
        <v/>
      </c>
      <c r="J860">
        <f>IF(I860="","",IF(I860&gt;=MAXIFS($I$2:$I$5001,$B$2:$B$5001,B860,$A$2:$A$5001,"&lt;="&amp;A860),"PR",""))</f>
        <v/>
      </c>
    </row>
    <row r="861">
      <c r="A861" s="7" t="n"/>
      <c r="H861" s="11">
        <f>IF(OR(D861="",E861=""),"",D861*E861)</f>
        <v/>
      </c>
      <c r="I861" s="8">
        <f>IF(OR(D861="",E861=""),"",E861*(1+D861/30))</f>
        <v/>
      </c>
      <c r="J861">
        <f>IF(I861="","",IF(I861&gt;=MAXIFS($I$2:$I$5001,$B$2:$B$5001,B861,$A$2:$A$5001,"&lt;="&amp;A861),"PR",""))</f>
        <v/>
      </c>
    </row>
    <row r="862">
      <c r="A862" s="7" t="n"/>
      <c r="H862" s="11">
        <f>IF(OR(D862="",E862=""),"",D862*E862)</f>
        <v/>
      </c>
      <c r="I862" s="8">
        <f>IF(OR(D862="",E862=""),"",E862*(1+D862/30))</f>
        <v/>
      </c>
      <c r="J862">
        <f>IF(I862="","",IF(I862&gt;=MAXIFS($I$2:$I$5001,$B$2:$B$5001,B862,$A$2:$A$5001,"&lt;="&amp;A862),"PR",""))</f>
        <v/>
      </c>
    </row>
    <row r="863">
      <c r="A863" s="7" t="n"/>
      <c r="H863" s="11">
        <f>IF(OR(D863="",E863=""),"",D863*E863)</f>
        <v/>
      </c>
      <c r="I863" s="8">
        <f>IF(OR(D863="",E863=""),"",E863*(1+D863/30))</f>
        <v/>
      </c>
      <c r="J863">
        <f>IF(I863="","",IF(I863&gt;=MAXIFS($I$2:$I$5001,$B$2:$B$5001,B863,$A$2:$A$5001,"&lt;="&amp;A863),"PR",""))</f>
        <v/>
      </c>
    </row>
    <row r="864">
      <c r="A864" s="7" t="n"/>
      <c r="H864" s="11">
        <f>IF(OR(D864="",E864=""),"",D864*E864)</f>
        <v/>
      </c>
      <c r="I864" s="8">
        <f>IF(OR(D864="",E864=""),"",E864*(1+D864/30))</f>
        <v/>
      </c>
      <c r="J864">
        <f>IF(I864="","",IF(I864&gt;=MAXIFS($I$2:$I$5001,$B$2:$B$5001,B864,$A$2:$A$5001,"&lt;="&amp;A864),"PR",""))</f>
        <v/>
      </c>
    </row>
    <row r="865">
      <c r="A865" s="7" t="n"/>
      <c r="H865" s="11">
        <f>IF(OR(D865="",E865=""),"",D865*E865)</f>
        <v/>
      </c>
      <c r="I865" s="8">
        <f>IF(OR(D865="",E865=""),"",E865*(1+D865/30))</f>
        <v/>
      </c>
      <c r="J865">
        <f>IF(I865="","",IF(I865&gt;=MAXIFS($I$2:$I$5001,$B$2:$B$5001,B865,$A$2:$A$5001,"&lt;="&amp;A865),"PR",""))</f>
        <v/>
      </c>
    </row>
    <row r="866">
      <c r="A866" s="7" t="n"/>
      <c r="H866" s="11">
        <f>IF(OR(D866="",E866=""),"",D866*E866)</f>
        <v/>
      </c>
      <c r="I866" s="8">
        <f>IF(OR(D866="",E866=""),"",E866*(1+D866/30))</f>
        <v/>
      </c>
      <c r="J866">
        <f>IF(I866="","",IF(I866&gt;=MAXIFS($I$2:$I$5001,$B$2:$B$5001,B866,$A$2:$A$5001,"&lt;="&amp;A866),"PR",""))</f>
        <v/>
      </c>
    </row>
    <row r="867">
      <c r="A867" s="7" t="n"/>
      <c r="H867" s="11">
        <f>IF(OR(D867="",E867=""),"",D867*E867)</f>
        <v/>
      </c>
      <c r="I867" s="8">
        <f>IF(OR(D867="",E867=""),"",E867*(1+D867/30))</f>
        <v/>
      </c>
      <c r="J867">
        <f>IF(I867="","",IF(I867&gt;=MAXIFS($I$2:$I$5001,$B$2:$B$5001,B867,$A$2:$A$5001,"&lt;="&amp;A867),"PR",""))</f>
        <v/>
      </c>
    </row>
    <row r="868">
      <c r="A868" s="7" t="n"/>
      <c r="H868" s="11">
        <f>IF(OR(D868="",E868=""),"",D868*E868)</f>
        <v/>
      </c>
      <c r="I868" s="8">
        <f>IF(OR(D868="",E868=""),"",E868*(1+D868/30))</f>
        <v/>
      </c>
      <c r="J868">
        <f>IF(I868="","",IF(I868&gt;=MAXIFS($I$2:$I$5001,$B$2:$B$5001,B868,$A$2:$A$5001,"&lt;="&amp;A868),"PR",""))</f>
        <v/>
      </c>
    </row>
    <row r="869">
      <c r="A869" s="7" t="n"/>
      <c r="H869" s="11">
        <f>IF(OR(D869="",E869=""),"",D869*E869)</f>
        <v/>
      </c>
      <c r="I869" s="8">
        <f>IF(OR(D869="",E869=""),"",E869*(1+D869/30))</f>
        <v/>
      </c>
      <c r="J869">
        <f>IF(I869="","",IF(I869&gt;=MAXIFS($I$2:$I$5001,$B$2:$B$5001,B869,$A$2:$A$5001,"&lt;="&amp;A869),"PR",""))</f>
        <v/>
      </c>
    </row>
    <row r="870">
      <c r="A870" s="7" t="n"/>
      <c r="H870" s="11">
        <f>IF(OR(D870="",E870=""),"",D870*E870)</f>
        <v/>
      </c>
      <c r="I870" s="8">
        <f>IF(OR(D870="",E870=""),"",E870*(1+D870/30))</f>
        <v/>
      </c>
      <c r="J870">
        <f>IF(I870="","",IF(I870&gt;=MAXIFS($I$2:$I$5001,$B$2:$B$5001,B870,$A$2:$A$5001,"&lt;="&amp;A870),"PR",""))</f>
        <v/>
      </c>
    </row>
    <row r="871">
      <c r="A871" s="7" t="n"/>
      <c r="H871" s="11">
        <f>IF(OR(D871="",E871=""),"",D871*E871)</f>
        <v/>
      </c>
      <c r="I871" s="8">
        <f>IF(OR(D871="",E871=""),"",E871*(1+D871/30))</f>
        <v/>
      </c>
      <c r="J871">
        <f>IF(I871="","",IF(I871&gt;=MAXIFS($I$2:$I$5001,$B$2:$B$5001,B871,$A$2:$A$5001,"&lt;="&amp;A871),"PR",""))</f>
        <v/>
      </c>
    </row>
    <row r="872">
      <c r="A872" s="7" t="n"/>
      <c r="H872" s="11">
        <f>IF(OR(D872="",E872=""),"",D872*E872)</f>
        <v/>
      </c>
      <c r="I872" s="8">
        <f>IF(OR(D872="",E872=""),"",E872*(1+D872/30))</f>
        <v/>
      </c>
      <c r="J872">
        <f>IF(I872="","",IF(I872&gt;=MAXIFS($I$2:$I$5001,$B$2:$B$5001,B872,$A$2:$A$5001,"&lt;="&amp;A872),"PR",""))</f>
        <v/>
      </c>
    </row>
    <row r="873">
      <c r="A873" s="7" t="n"/>
      <c r="H873" s="11">
        <f>IF(OR(D873="",E873=""),"",D873*E873)</f>
        <v/>
      </c>
      <c r="I873" s="8">
        <f>IF(OR(D873="",E873=""),"",E873*(1+D873/30))</f>
        <v/>
      </c>
      <c r="J873">
        <f>IF(I873="","",IF(I873&gt;=MAXIFS($I$2:$I$5001,$B$2:$B$5001,B873,$A$2:$A$5001,"&lt;="&amp;A873),"PR",""))</f>
        <v/>
      </c>
    </row>
    <row r="874">
      <c r="A874" s="7" t="n"/>
      <c r="H874" s="11">
        <f>IF(OR(D874="",E874=""),"",D874*E874)</f>
        <v/>
      </c>
      <c r="I874" s="8">
        <f>IF(OR(D874="",E874=""),"",E874*(1+D874/30))</f>
        <v/>
      </c>
      <c r="J874">
        <f>IF(I874="","",IF(I874&gt;=MAXIFS($I$2:$I$5001,$B$2:$B$5001,B874,$A$2:$A$5001,"&lt;="&amp;A874),"PR",""))</f>
        <v/>
      </c>
    </row>
    <row r="875">
      <c r="A875" s="7" t="n"/>
      <c r="H875" s="11">
        <f>IF(OR(D875="",E875=""),"",D875*E875)</f>
        <v/>
      </c>
      <c r="I875" s="8">
        <f>IF(OR(D875="",E875=""),"",E875*(1+D875/30))</f>
        <v/>
      </c>
      <c r="J875">
        <f>IF(I875="","",IF(I875&gt;=MAXIFS($I$2:$I$5001,$B$2:$B$5001,B875,$A$2:$A$5001,"&lt;="&amp;A875),"PR",""))</f>
        <v/>
      </c>
    </row>
    <row r="876">
      <c r="A876" s="7" t="n"/>
      <c r="H876" s="11">
        <f>IF(OR(D876="",E876=""),"",D876*E876)</f>
        <v/>
      </c>
      <c r="I876" s="8">
        <f>IF(OR(D876="",E876=""),"",E876*(1+D876/30))</f>
        <v/>
      </c>
      <c r="J876">
        <f>IF(I876="","",IF(I876&gt;=MAXIFS($I$2:$I$5001,$B$2:$B$5001,B876,$A$2:$A$5001,"&lt;="&amp;A876),"PR",""))</f>
        <v/>
      </c>
    </row>
    <row r="877">
      <c r="A877" s="7" t="n"/>
      <c r="H877" s="11">
        <f>IF(OR(D877="",E877=""),"",D877*E877)</f>
        <v/>
      </c>
      <c r="I877" s="8">
        <f>IF(OR(D877="",E877=""),"",E877*(1+D877/30))</f>
        <v/>
      </c>
      <c r="J877">
        <f>IF(I877="","",IF(I877&gt;=MAXIFS($I$2:$I$5001,$B$2:$B$5001,B877,$A$2:$A$5001,"&lt;="&amp;A877),"PR",""))</f>
        <v/>
      </c>
    </row>
    <row r="878">
      <c r="A878" s="7" t="n"/>
      <c r="H878" s="11">
        <f>IF(OR(D878="",E878=""),"",D878*E878)</f>
        <v/>
      </c>
      <c r="I878" s="8">
        <f>IF(OR(D878="",E878=""),"",E878*(1+D878/30))</f>
        <v/>
      </c>
      <c r="J878">
        <f>IF(I878="","",IF(I878&gt;=MAXIFS($I$2:$I$5001,$B$2:$B$5001,B878,$A$2:$A$5001,"&lt;="&amp;A878),"PR",""))</f>
        <v/>
      </c>
    </row>
    <row r="879">
      <c r="A879" s="7" t="n"/>
      <c r="H879" s="11">
        <f>IF(OR(D879="",E879=""),"",D879*E879)</f>
        <v/>
      </c>
      <c r="I879" s="8">
        <f>IF(OR(D879="",E879=""),"",E879*(1+D879/30))</f>
        <v/>
      </c>
      <c r="J879">
        <f>IF(I879="","",IF(I879&gt;=MAXIFS($I$2:$I$5001,$B$2:$B$5001,B879,$A$2:$A$5001,"&lt;="&amp;A879),"PR",""))</f>
        <v/>
      </c>
    </row>
    <row r="880">
      <c r="A880" s="7" t="n"/>
      <c r="H880" s="11">
        <f>IF(OR(D880="",E880=""),"",D880*E880)</f>
        <v/>
      </c>
      <c r="I880" s="8">
        <f>IF(OR(D880="",E880=""),"",E880*(1+D880/30))</f>
        <v/>
      </c>
      <c r="J880">
        <f>IF(I880="","",IF(I880&gt;=MAXIFS($I$2:$I$5001,$B$2:$B$5001,B880,$A$2:$A$5001,"&lt;="&amp;A880),"PR",""))</f>
        <v/>
      </c>
    </row>
    <row r="881">
      <c r="A881" s="7" t="n"/>
      <c r="H881" s="11">
        <f>IF(OR(D881="",E881=""),"",D881*E881)</f>
        <v/>
      </c>
      <c r="I881" s="8">
        <f>IF(OR(D881="",E881=""),"",E881*(1+D881/30))</f>
        <v/>
      </c>
      <c r="J881">
        <f>IF(I881="","",IF(I881&gt;=MAXIFS($I$2:$I$5001,$B$2:$B$5001,B881,$A$2:$A$5001,"&lt;="&amp;A881),"PR",""))</f>
        <v/>
      </c>
    </row>
    <row r="882">
      <c r="A882" s="7" t="n"/>
      <c r="H882" s="11">
        <f>IF(OR(D882="",E882=""),"",D882*E882)</f>
        <v/>
      </c>
      <c r="I882" s="8">
        <f>IF(OR(D882="",E882=""),"",E882*(1+D882/30))</f>
        <v/>
      </c>
      <c r="J882">
        <f>IF(I882="","",IF(I882&gt;=MAXIFS($I$2:$I$5001,$B$2:$B$5001,B882,$A$2:$A$5001,"&lt;="&amp;A882),"PR",""))</f>
        <v/>
      </c>
    </row>
    <row r="883">
      <c r="A883" s="7" t="n"/>
      <c r="H883" s="11">
        <f>IF(OR(D883="",E883=""),"",D883*E883)</f>
        <v/>
      </c>
      <c r="I883" s="8">
        <f>IF(OR(D883="",E883=""),"",E883*(1+D883/30))</f>
        <v/>
      </c>
      <c r="J883">
        <f>IF(I883="","",IF(I883&gt;=MAXIFS($I$2:$I$5001,$B$2:$B$5001,B883,$A$2:$A$5001,"&lt;="&amp;A883),"PR",""))</f>
        <v/>
      </c>
    </row>
    <row r="884">
      <c r="A884" s="7" t="n"/>
      <c r="H884" s="11">
        <f>IF(OR(D884="",E884=""),"",D884*E884)</f>
        <v/>
      </c>
      <c r="I884" s="8">
        <f>IF(OR(D884="",E884=""),"",E884*(1+D884/30))</f>
        <v/>
      </c>
      <c r="J884">
        <f>IF(I884="","",IF(I884&gt;=MAXIFS($I$2:$I$5001,$B$2:$B$5001,B884,$A$2:$A$5001,"&lt;="&amp;A884),"PR",""))</f>
        <v/>
      </c>
    </row>
    <row r="885">
      <c r="A885" s="7" t="n"/>
      <c r="H885" s="11">
        <f>IF(OR(D885="",E885=""),"",D885*E885)</f>
        <v/>
      </c>
      <c r="I885" s="8">
        <f>IF(OR(D885="",E885=""),"",E885*(1+D885/30))</f>
        <v/>
      </c>
      <c r="J885">
        <f>IF(I885="","",IF(I885&gt;=MAXIFS($I$2:$I$5001,$B$2:$B$5001,B885,$A$2:$A$5001,"&lt;="&amp;A885),"PR",""))</f>
        <v/>
      </c>
    </row>
    <row r="886">
      <c r="A886" s="7" t="n"/>
      <c r="H886" s="11">
        <f>IF(OR(D886="",E886=""),"",D886*E886)</f>
        <v/>
      </c>
      <c r="I886" s="8">
        <f>IF(OR(D886="",E886=""),"",E886*(1+D886/30))</f>
        <v/>
      </c>
      <c r="J886">
        <f>IF(I886="","",IF(I886&gt;=MAXIFS($I$2:$I$5001,$B$2:$B$5001,B886,$A$2:$A$5001,"&lt;="&amp;A886),"PR",""))</f>
        <v/>
      </c>
    </row>
    <row r="887">
      <c r="A887" s="7" t="n"/>
      <c r="H887" s="11">
        <f>IF(OR(D887="",E887=""),"",D887*E887)</f>
        <v/>
      </c>
      <c r="I887" s="8">
        <f>IF(OR(D887="",E887=""),"",E887*(1+D887/30))</f>
        <v/>
      </c>
      <c r="J887">
        <f>IF(I887="","",IF(I887&gt;=MAXIFS($I$2:$I$5001,$B$2:$B$5001,B887,$A$2:$A$5001,"&lt;="&amp;A887),"PR",""))</f>
        <v/>
      </c>
    </row>
    <row r="888">
      <c r="A888" s="7" t="n"/>
      <c r="H888" s="11">
        <f>IF(OR(D888="",E888=""),"",D888*E888)</f>
        <v/>
      </c>
      <c r="I888" s="8">
        <f>IF(OR(D888="",E888=""),"",E888*(1+D888/30))</f>
        <v/>
      </c>
      <c r="J888">
        <f>IF(I888="","",IF(I888&gt;=MAXIFS($I$2:$I$5001,$B$2:$B$5001,B888,$A$2:$A$5001,"&lt;="&amp;A888),"PR",""))</f>
        <v/>
      </c>
    </row>
    <row r="889">
      <c r="A889" s="7" t="n"/>
      <c r="H889" s="11">
        <f>IF(OR(D889="",E889=""),"",D889*E889)</f>
        <v/>
      </c>
      <c r="I889" s="8">
        <f>IF(OR(D889="",E889=""),"",E889*(1+D889/30))</f>
        <v/>
      </c>
      <c r="J889">
        <f>IF(I889="","",IF(I889&gt;=MAXIFS($I$2:$I$5001,$B$2:$B$5001,B889,$A$2:$A$5001,"&lt;="&amp;A889),"PR",""))</f>
        <v/>
      </c>
    </row>
    <row r="890">
      <c r="A890" s="7" t="n"/>
      <c r="H890" s="11">
        <f>IF(OR(D890="",E890=""),"",D890*E890)</f>
        <v/>
      </c>
      <c r="I890" s="8">
        <f>IF(OR(D890="",E890=""),"",E890*(1+D890/30))</f>
        <v/>
      </c>
      <c r="J890">
        <f>IF(I890="","",IF(I890&gt;=MAXIFS($I$2:$I$5001,$B$2:$B$5001,B890,$A$2:$A$5001,"&lt;="&amp;A890),"PR",""))</f>
        <v/>
      </c>
    </row>
    <row r="891">
      <c r="A891" s="7" t="n"/>
      <c r="H891" s="11">
        <f>IF(OR(D891="",E891=""),"",D891*E891)</f>
        <v/>
      </c>
      <c r="I891" s="8">
        <f>IF(OR(D891="",E891=""),"",E891*(1+D891/30))</f>
        <v/>
      </c>
      <c r="J891">
        <f>IF(I891="","",IF(I891&gt;=MAXIFS($I$2:$I$5001,$B$2:$B$5001,B891,$A$2:$A$5001,"&lt;="&amp;A891),"PR",""))</f>
        <v/>
      </c>
    </row>
    <row r="892">
      <c r="A892" s="7" t="n"/>
      <c r="H892" s="11">
        <f>IF(OR(D892="",E892=""),"",D892*E892)</f>
        <v/>
      </c>
      <c r="I892" s="8">
        <f>IF(OR(D892="",E892=""),"",E892*(1+D892/30))</f>
        <v/>
      </c>
      <c r="J892">
        <f>IF(I892="","",IF(I892&gt;=MAXIFS($I$2:$I$5001,$B$2:$B$5001,B892,$A$2:$A$5001,"&lt;="&amp;A892),"PR",""))</f>
        <v/>
      </c>
    </row>
    <row r="893">
      <c r="A893" s="7" t="n"/>
      <c r="H893" s="11">
        <f>IF(OR(D893="",E893=""),"",D893*E893)</f>
        <v/>
      </c>
      <c r="I893" s="8">
        <f>IF(OR(D893="",E893=""),"",E893*(1+D893/30))</f>
        <v/>
      </c>
      <c r="J893">
        <f>IF(I893="","",IF(I893&gt;=MAXIFS($I$2:$I$5001,$B$2:$B$5001,B893,$A$2:$A$5001,"&lt;="&amp;A893),"PR",""))</f>
        <v/>
      </c>
    </row>
    <row r="894">
      <c r="A894" s="7" t="n"/>
      <c r="H894" s="11">
        <f>IF(OR(D894="",E894=""),"",D894*E894)</f>
        <v/>
      </c>
      <c r="I894" s="8">
        <f>IF(OR(D894="",E894=""),"",E894*(1+D894/30))</f>
        <v/>
      </c>
      <c r="J894">
        <f>IF(I894="","",IF(I894&gt;=MAXIFS($I$2:$I$5001,$B$2:$B$5001,B894,$A$2:$A$5001,"&lt;="&amp;A894),"PR",""))</f>
        <v/>
      </c>
    </row>
    <row r="895">
      <c r="A895" s="7" t="n"/>
      <c r="H895" s="11">
        <f>IF(OR(D895="",E895=""),"",D895*E895)</f>
        <v/>
      </c>
      <c r="I895" s="8">
        <f>IF(OR(D895="",E895=""),"",E895*(1+D895/30))</f>
        <v/>
      </c>
      <c r="J895">
        <f>IF(I895="","",IF(I895&gt;=MAXIFS($I$2:$I$5001,$B$2:$B$5001,B895,$A$2:$A$5001,"&lt;="&amp;A895),"PR",""))</f>
        <v/>
      </c>
    </row>
    <row r="896">
      <c r="A896" s="7" t="n"/>
      <c r="H896" s="11">
        <f>IF(OR(D896="",E896=""),"",D896*E896)</f>
        <v/>
      </c>
      <c r="I896" s="8">
        <f>IF(OR(D896="",E896=""),"",E896*(1+D896/30))</f>
        <v/>
      </c>
      <c r="J896">
        <f>IF(I896="","",IF(I896&gt;=MAXIFS($I$2:$I$5001,$B$2:$B$5001,B896,$A$2:$A$5001,"&lt;="&amp;A896),"PR",""))</f>
        <v/>
      </c>
    </row>
    <row r="897">
      <c r="A897" s="7" t="n"/>
      <c r="H897" s="11">
        <f>IF(OR(D897="",E897=""),"",D897*E897)</f>
        <v/>
      </c>
      <c r="I897" s="8">
        <f>IF(OR(D897="",E897=""),"",E897*(1+D897/30))</f>
        <v/>
      </c>
      <c r="J897">
        <f>IF(I897="","",IF(I897&gt;=MAXIFS($I$2:$I$5001,$B$2:$B$5001,B897,$A$2:$A$5001,"&lt;="&amp;A897),"PR",""))</f>
        <v/>
      </c>
    </row>
    <row r="898">
      <c r="A898" s="7" t="n"/>
      <c r="H898" s="11">
        <f>IF(OR(D898="",E898=""),"",D898*E898)</f>
        <v/>
      </c>
      <c r="I898" s="8">
        <f>IF(OR(D898="",E898=""),"",E898*(1+D898/30))</f>
        <v/>
      </c>
      <c r="J898">
        <f>IF(I898="","",IF(I898&gt;=MAXIFS($I$2:$I$5001,$B$2:$B$5001,B898,$A$2:$A$5001,"&lt;="&amp;A898),"PR",""))</f>
        <v/>
      </c>
    </row>
    <row r="899">
      <c r="A899" s="7" t="n"/>
      <c r="H899" s="11">
        <f>IF(OR(D899="",E899=""),"",D899*E899)</f>
        <v/>
      </c>
      <c r="I899" s="8">
        <f>IF(OR(D899="",E899=""),"",E899*(1+D899/30))</f>
        <v/>
      </c>
      <c r="J899">
        <f>IF(I899="","",IF(I899&gt;=MAXIFS($I$2:$I$5001,$B$2:$B$5001,B899,$A$2:$A$5001,"&lt;="&amp;A899),"PR",""))</f>
        <v/>
      </c>
    </row>
    <row r="900">
      <c r="A900" s="7" t="n"/>
      <c r="H900" s="11">
        <f>IF(OR(D900="",E900=""),"",D900*E900)</f>
        <v/>
      </c>
      <c r="I900" s="8">
        <f>IF(OR(D900="",E900=""),"",E900*(1+D900/30))</f>
        <v/>
      </c>
      <c r="J900">
        <f>IF(I900="","",IF(I900&gt;=MAXIFS($I$2:$I$5001,$B$2:$B$5001,B900,$A$2:$A$5001,"&lt;="&amp;A900),"PR",""))</f>
        <v/>
      </c>
    </row>
    <row r="901">
      <c r="A901" s="7" t="n"/>
      <c r="H901" s="11">
        <f>IF(OR(D901="",E901=""),"",D901*E901)</f>
        <v/>
      </c>
      <c r="I901" s="8">
        <f>IF(OR(D901="",E901=""),"",E901*(1+D901/30))</f>
        <v/>
      </c>
      <c r="J901">
        <f>IF(I901="","",IF(I901&gt;=MAXIFS($I$2:$I$5001,$B$2:$B$5001,B901,$A$2:$A$5001,"&lt;="&amp;A901),"PR",""))</f>
        <v/>
      </c>
    </row>
    <row r="902">
      <c r="A902" s="7" t="n"/>
      <c r="H902" s="11">
        <f>IF(OR(D902="",E902=""),"",D902*E902)</f>
        <v/>
      </c>
      <c r="I902" s="8">
        <f>IF(OR(D902="",E902=""),"",E902*(1+D902/30))</f>
        <v/>
      </c>
      <c r="J902">
        <f>IF(I902="","",IF(I902&gt;=MAXIFS($I$2:$I$5001,$B$2:$B$5001,B902,$A$2:$A$5001,"&lt;="&amp;A902),"PR",""))</f>
        <v/>
      </c>
    </row>
    <row r="903">
      <c r="A903" s="7" t="n"/>
      <c r="H903" s="11">
        <f>IF(OR(D903="",E903=""),"",D903*E903)</f>
        <v/>
      </c>
      <c r="I903" s="8">
        <f>IF(OR(D903="",E903=""),"",E903*(1+D903/30))</f>
        <v/>
      </c>
      <c r="J903">
        <f>IF(I903="","",IF(I903&gt;=MAXIFS($I$2:$I$5001,$B$2:$B$5001,B903,$A$2:$A$5001,"&lt;="&amp;A903),"PR",""))</f>
        <v/>
      </c>
    </row>
    <row r="904">
      <c r="A904" s="7" t="n"/>
      <c r="H904" s="11">
        <f>IF(OR(D904="",E904=""),"",D904*E904)</f>
        <v/>
      </c>
      <c r="I904" s="8">
        <f>IF(OR(D904="",E904=""),"",E904*(1+D904/30))</f>
        <v/>
      </c>
      <c r="J904">
        <f>IF(I904="","",IF(I904&gt;=MAXIFS($I$2:$I$5001,$B$2:$B$5001,B904,$A$2:$A$5001,"&lt;="&amp;A904),"PR",""))</f>
        <v/>
      </c>
    </row>
    <row r="905">
      <c r="A905" s="7" t="n"/>
      <c r="H905" s="11">
        <f>IF(OR(D905="",E905=""),"",D905*E905)</f>
        <v/>
      </c>
      <c r="I905" s="8">
        <f>IF(OR(D905="",E905=""),"",E905*(1+D905/30))</f>
        <v/>
      </c>
      <c r="J905">
        <f>IF(I905="","",IF(I905&gt;=MAXIFS($I$2:$I$5001,$B$2:$B$5001,B905,$A$2:$A$5001,"&lt;="&amp;A905),"PR",""))</f>
        <v/>
      </c>
    </row>
    <row r="906">
      <c r="A906" s="7" t="n"/>
      <c r="H906" s="11">
        <f>IF(OR(D906="",E906=""),"",D906*E906)</f>
        <v/>
      </c>
      <c r="I906" s="8">
        <f>IF(OR(D906="",E906=""),"",E906*(1+D906/30))</f>
        <v/>
      </c>
      <c r="J906">
        <f>IF(I906="","",IF(I906&gt;=MAXIFS($I$2:$I$5001,$B$2:$B$5001,B906,$A$2:$A$5001,"&lt;="&amp;A906),"PR",""))</f>
        <v/>
      </c>
    </row>
    <row r="907">
      <c r="A907" s="7" t="n"/>
      <c r="H907" s="11">
        <f>IF(OR(D907="",E907=""),"",D907*E907)</f>
        <v/>
      </c>
      <c r="I907" s="8">
        <f>IF(OR(D907="",E907=""),"",E907*(1+D907/30))</f>
        <v/>
      </c>
      <c r="J907">
        <f>IF(I907="","",IF(I907&gt;=MAXIFS($I$2:$I$5001,$B$2:$B$5001,B907,$A$2:$A$5001,"&lt;="&amp;A907),"PR",""))</f>
        <v/>
      </c>
    </row>
    <row r="908">
      <c r="A908" s="7" t="n"/>
      <c r="H908" s="11">
        <f>IF(OR(D908="",E908=""),"",D908*E908)</f>
        <v/>
      </c>
      <c r="I908" s="8">
        <f>IF(OR(D908="",E908=""),"",E908*(1+D908/30))</f>
        <v/>
      </c>
      <c r="J908">
        <f>IF(I908="","",IF(I908&gt;=MAXIFS($I$2:$I$5001,$B$2:$B$5001,B908,$A$2:$A$5001,"&lt;="&amp;A908),"PR",""))</f>
        <v/>
      </c>
    </row>
    <row r="909">
      <c r="A909" s="7" t="n"/>
      <c r="H909" s="11">
        <f>IF(OR(D909="",E909=""),"",D909*E909)</f>
        <v/>
      </c>
      <c r="I909" s="8">
        <f>IF(OR(D909="",E909=""),"",E909*(1+D909/30))</f>
        <v/>
      </c>
      <c r="J909">
        <f>IF(I909="","",IF(I909&gt;=MAXIFS($I$2:$I$5001,$B$2:$B$5001,B909,$A$2:$A$5001,"&lt;="&amp;A909),"PR",""))</f>
        <v/>
      </c>
    </row>
    <row r="910">
      <c r="A910" s="7" t="n"/>
      <c r="H910" s="11">
        <f>IF(OR(D910="",E910=""),"",D910*E910)</f>
        <v/>
      </c>
      <c r="I910" s="8">
        <f>IF(OR(D910="",E910=""),"",E910*(1+D910/30))</f>
        <v/>
      </c>
      <c r="J910">
        <f>IF(I910="","",IF(I910&gt;=MAXIFS($I$2:$I$5001,$B$2:$B$5001,B910,$A$2:$A$5001,"&lt;="&amp;A910),"PR",""))</f>
        <v/>
      </c>
    </row>
    <row r="911">
      <c r="A911" s="7" t="n"/>
      <c r="H911" s="11">
        <f>IF(OR(D911="",E911=""),"",D911*E911)</f>
        <v/>
      </c>
      <c r="I911" s="8">
        <f>IF(OR(D911="",E911=""),"",E911*(1+D911/30))</f>
        <v/>
      </c>
      <c r="J911">
        <f>IF(I911="","",IF(I911&gt;=MAXIFS($I$2:$I$5001,$B$2:$B$5001,B911,$A$2:$A$5001,"&lt;="&amp;A911),"PR",""))</f>
        <v/>
      </c>
    </row>
    <row r="912">
      <c r="A912" s="7" t="n"/>
      <c r="H912" s="11">
        <f>IF(OR(D912="",E912=""),"",D912*E912)</f>
        <v/>
      </c>
      <c r="I912" s="8">
        <f>IF(OR(D912="",E912=""),"",E912*(1+D912/30))</f>
        <v/>
      </c>
      <c r="J912">
        <f>IF(I912="","",IF(I912&gt;=MAXIFS($I$2:$I$5001,$B$2:$B$5001,B912,$A$2:$A$5001,"&lt;="&amp;A912),"PR",""))</f>
        <v/>
      </c>
    </row>
    <row r="913">
      <c r="A913" s="7" t="n"/>
      <c r="H913" s="11">
        <f>IF(OR(D913="",E913=""),"",D913*E913)</f>
        <v/>
      </c>
      <c r="I913" s="8">
        <f>IF(OR(D913="",E913=""),"",E913*(1+D913/30))</f>
        <v/>
      </c>
      <c r="J913">
        <f>IF(I913="","",IF(I913&gt;=MAXIFS($I$2:$I$5001,$B$2:$B$5001,B913,$A$2:$A$5001,"&lt;="&amp;A913),"PR",""))</f>
        <v/>
      </c>
    </row>
    <row r="914">
      <c r="A914" s="7" t="n"/>
      <c r="H914" s="11">
        <f>IF(OR(D914="",E914=""),"",D914*E914)</f>
        <v/>
      </c>
      <c r="I914" s="8">
        <f>IF(OR(D914="",E914=""),"",E914*(1+D914/30))</f>
        <v/>
      </c>
      <c r="J914">
        <f>IF(I914="","",IF(I914&gt;=MAXIFS($I$2:$I$5001,$B$2:$B$5001,B914,$A$2:$A$5001,"&lt;="&amp;A914),"PR",""))</f>
        <v/>
      </c>
    </row>
    <row r="915">
      <c r="A915" s="7" t="n"/>
      <c r="H915" s="11">
        <f>IF(OR(D915="",E915=""),"",D915*E915)</f>
        <v/>
      </c>
      <c r="I915" s="8">
        <f>IF(OR(D915="",E915=""),"",E915*(1+D915/30))</f>
        <v/>
      </c>
      <c r="J915">
        <f>IF(I915="","",IF(I915&gt;=MAXIFS($I$2:$I$5001,$B$2:$B$5001,B915,$A$2:$A$5001,"&lt;="&amp;A915),"PR",""))</f>
        <v/>
      </c>
    </row>
    <row r="916">
      <c r="A916" s="7" t="n"/>
      <c r="H916" s="11">
        <f>IF(OR(D916="",E916=""),"",D916*E916)</f>
        <v/>
      </c>
      <c r="I916" s="8">
        <f>IF(OR(D916="",E916=""),"",E916*(1+D916/30))</f>
        <v/>
      </c>
      <c r="J916">
        <f>IF(I916="","",IF(I916&gt;=MAXIFS($I$2:$I$5001,$B$2:$B$5001,B916,$A$2:$A$5001,"&lt;="&amp;A916),"PR",""))</f>
        <v/>
      </c>
    </row>
    <row r="917">
      <c r="A917" s="7" t="n"/>
      <c r="H917" s="11">
        <f>IF(OR(D917="",E917=""),"",D917*E917)</f>
        <v/>
      </c>
      <c r="I917" s="8">
        <f>IF(OR(D917="",E917=""),"",E917*(1+D917/30))</f>
        <v/>
      </c>
      <c r="J917">
        <f>IF(I917="","",IF(I917&gt;=MAXIFS($I$2:$I$5001,$B$2:$B$5001,B917,$A$2:$A$5001,"&lt;="&amp;A917),"PR",""))</f>
        <v/>
      </c>
    </row>
    <row r="918">
      <c r="A918" s="7" t="n"/>
      <c r="H918" s="11">
        <f>IF(OR(D918="",E918=""),"",D918*E918)</f>
        <v/>
      </c>
      <c r="I918" s="8">
        <f>IF(OR(D918="",E918=""),"",E918*(1+D918/30))</f>
        <v/>
      </c>
      <c r="J918">
        <f>IF(I918="","",IF(I918&gt;=MAXIFS($I$2:$I$5001,$B$2:$B$5001,B918,$A$2:$A$5001,"&lt;="&amp;A918),"PR",""))</f>
        <v/>
      </c>
    </row>
    <row r="919">
      <c r="A919" s="7" t="n"/>
      <c r="H919" s="11">
        <f>IF(OR(D919="",E919=""),"",D919*E919)</f>
        <v/>
      </c>
      <c r="I919" s="8">
        <f>IF(OR(D919="",E919=""),"",E919*(1+D919/30))</f>
        <v/>
      </c>
      <c r="J919">
        <f>IF(I919="","",IF(I919&gt;=MAXIFS($I$2:$I$5001,$B$2:$B$5001,B919,$A$2:$A$5001,"&lt;="&amp;A919),"PR",""))</f>
        <v/>
      </c>
    </row>
    <row r="920">
      <c r="A920" s="7" t="n"/>
      <c r="H920" s="11">
        <f>IF(OR(D920="",E920=""),"",D920*E920)</f>
        <v/>
      </c>
      <c r="I920" s="8">
        <f>IF(OR(D920="",E920=""),"",E920*(1+D920/30))</f>
        <v/>
      </c>
      <c r="J920">
        <f>IF(I920="","",IF(I920&gt;=MAXIFS($I$2:$I$5001,$B$2:$B$5001,B920,$A$2:$A$5001,"&lt;="&amp;A920),"PR",""))</f>
        <v/>
      </c>
    </row>
    <row r="921">
      <c r="A921" s="7" t="n"/>
      <c r="H921" s="11">
        <f>IF(OR(D921="",E921=""),"",D921*E921)</f>
        <v/>
      </c>
      <c r="I921" s="8">
        <f>IF(OR(D921="",E921=""),"",E921*(1+D921/30))</f>
        <v/>
      </c>
      <c r="J921">
        <f>IF(I921="","",IF(I921&gt;=MAXIFS($I$2:$I$5001,$B$2:$B$5001,B921,$A$2:$A$5001,"&lt;="&amp;A921),"PR",""))</f>
        <v/>
      </c>
    </row>
    <row r="922">
      <c r="A922" s="7" t="n"/>
      <c r="H922" s="11">
        <f>IF(OR(D922="",E922=""),"",D922*E922)</f>
        <v/>
      </c>
      <c r="I922" s="8">
        <f>IF(OR(D922="",E922=""),"",E922*(1+D922/30))</f>
        <v/>
      </c>
      <c r="J922">
        <f>IF(I922="","",IF(I922&gt;=MAXIFS($I$2:$I$5001,$B$2:$B$5001,B922,$A$2:$A$5001,"&lt;="&amp;A922),"PR",""))</f>
        <v/>
      </c>
    </row>
    <row r="923">
      <c r="A923" s="7" t="n"/>
      <c r="H923" s="11">
        <f>IF(OR(D923="",E923=""),"",D923*E923)</f>
        <v/>
      </c>
      <c r="I923" s="8">
        <f>IF(OR(D923="",E923=""),"",E923*(1+D923/30))</f>
        <v/>
      </c>
      <c r="J923">
        <f>IF(I923="","",IF(I923&gt;=MAXIFS($I$2:$I$5001,$B$2:$B$5001,B923,$A$2:$A$5001,"&lt;="&amp;A923),"PR",""))</f>
        <v/>
      </c>
    </row>
    <row r="924">
      <c r="A924" s="7" t="n"/>
      <c r="H924" s="11">
        <f>IF(OR(D924="",E924=""),"",D924*E924)</f>
        <v/>
      </c>
      <c r="I924" s="8">
        <f>IF(OR(D924="",E924=""),"",E924*(1+D924/30))</f>
        <v/>
      </c>
      <c r="J924">
        <f>IF(I924="","",IF(I924&gt;=MAXIFS($I$2:$I$5001,$B$2:$B$5001,B924,$A$2:$A$5001,"&lt;="&amp;A924),"PR",""))</f>
        <v/>
      </c>
    </row>
    <row r="925">
      <c r="A925" s="7" t="n"/>
      <c r="H925" s="11">
        <f>IF(OR(D925="",E925=""),"",D925*E925)</f>
        <v/>
      </c>
      <c r="I925" s="8">
        <f>IF(OR(D925="",E925=""),"",E925*(1+D925/30))</f>
        <v/>
      </c>
      <c r="J925">
        <f>IF(I925="","",IF(I925&gt;=MAXIFS($I$2:$I$5001,$B$2:$B$5001,B925,$A$2:$A$5001,"&lt;="&amp;A925),"PR",""))</f>
        <v/>
      </c>
    </row>
    <row r="926">
      <c r="A926" s="7" t="n"/>
      <c r="H926" s="11">
        <f>IF(OR(D926="",E926=""),"",D926*E926)</f>
        <v/>
      </c>
      <c r="I926" s="8">
        <f>IF(OR(D926="",E926=""),"",E926*(1+D926/30))</f>
        <v/>
      </c>
      <c r="J926">
        <f>IF(I926="","",IF(I926&gt;=MAXIFS($I$2:$I$5001,$B$2:$B$5001,B926,$A$2:$A$5001,"&lt;="&amp;A926),"PR",""))</f>
        <v/>
      </c>
    </row>
    <row r="927">
      <c r="A927" s="7" t="n"/>
      <c r="H927" s="11">
        <f>IF(OR(D927="",E927=""),"",D927*E927)</f>
        <v/>
      </c>
      <c r="I927" s="8">
        <f>IF(OR(D927="",E927=""),"",E927*(1+D927/30))</f>
        <v/>
      </c>
      <c r="J927">
        <f>IF(I927="","",IF(I927&gt;=MAXIFS($I$2:$I$5001,$B$2:$B$5001,B927,$A$2:$A$5001,"&lt;="&amp;A927),"PR",""))</f>
        <v/>
      </c>
    </row>
    <row r="928">
      <c r="A928" s="7" t="n"/>
      <c r="H928" s="11">
        <f>IF(OR(D928="",E928=""),"",D928*E928)</f>
        <v/>
      </c>
      <c r="I928" s="8">
        <f>IF(OR(D928="",E928=""),"",E928*(1+D928/30))</f>
        <v/>
      </c>
      <c r="J928">
        <f>IF(I928="","",IF(I928&gt;=MAXIFS($I$2:$I$5001,$B$2:$B$5001,B928,$A$2:$A$5001,"&lt;="&amp;A928),"PR",""))</f>
        <v/>
      </c>
    </row>
    <row r="929">
      <c r="A929" s="7" t="n"/>
      <c r="H929" s="11">
        <f>IF(OR(D929="",E929=""),"",D929*E929)</f>
        <v/>
      </c>
      <c r="I929" s="8">
        <f>IF(OR(D929="",E929=""),"",E929*(1+D929/30))</f>
        <v/>
      </c>
      <c r="J929">
        <f>IF(I929="","",IF(I929&gt;=MAXIFS($I$2:$I$5001,$B$2:$B$5001,B929,$A$2:$A$5001,"&lt;="&amp;A929),"PR",""))</f>
        <v/>
      </c>
    </row>
    <row r="930">
      <c r="A930" s="7" t="n"/>
      <c r="H930" s="11">
        <f>IF(OR(D930="",E930=""),"",D930*E930)</f>
        <v/>
      </c>
      <c r="I930" s="8">
        <f>IF(OR(D930="",E930=""),"",E930*(1+D930/30))</f>
        <v/>
      </c>
      <c r="J930">
        <f>IF(I930="","",IF(I930&gt;=MAXIFS($I$2:$I$5001,$B$2:$B$5001,B930,$A$2:$A$5001,"&lt;="&amp;A930),"PR",""))</f>
        <v/>
      </c>
    </row>
    <row r="931">
      <c r="A931" s="7" t="n"/>
      <c r="H931" s="11">
        <f>IF(OR(D931="",E931=""),"",D931*E931)</f>
        <v/>
      </c>
      <c r="I931" s="8">
        <f>IF(OR(D931="",E931=""),"",E931*(1+D931/30))</f>
        <v/>
      </c>
      <c r="J931">
        <f>IF(I931="","",IF(I931&gt;=MAXIFS($I$2:$I$5001,$B$2:$B$5001,B931,$A$2:$A$5001,"&lt;="&amp;A931),"PR",""))</f>
        <v/>
      </c>
    </row>
    <row r="932">
      <c r="A932" s="7" t="n"/>
      <c r="H932" s="11">
        <f>IF(OR(D932="",E932=""),"",D932*E932)</f>
        <v/>
      </c>
      <c r="I932" s="8">
        <f>IF(OR(D932="",E932=""),"",E932*(1+D932/30))</f>
        <v/>
      </c>
      <c r="J932">
        <f>IF(I932="","",IF(I932&gt;=MAXIFS($I$2:$I$5001,$B$2:$B$5001,B932,$A$2:$A$5001,"&lt;="&amp;A932),"PR",""))</f>
        <v/>
      </c>
    </row>
    <row r="933">
      <c r="A933" s="7" t="n"/>
      <c r="H933" s="11">
        <f>IF(OR(D933="",E933=""),"",D933*E933)</f>
        <v/>
      </c>
      <c r="I933" s="8">
        <f>IF(OR(D933="",E933=""),"",E933*(1+D933/30))</f>
        <v/>
      </c>
      <c r="J933">
        <f>IF(I933="","",IF(I933&gt;=MAXIFS($I$2:$I$5001,$B$2:$B$5001,B933,$A$2:$A$5001,"&lt;="&amp;A933),"PR",""))</f>
        <v/>
      </c>
    </row>
    <row r="934">
      <c r="A934" s="7" t="n"/>
      <c r="H934" s="11">
        <f>IF(OR(D934="",E934=""),"",D934*E934)</f>
        <v/>
      </c>
      <c r="I934" s="8">
        <f>IF(OR(D934="",E934=""),"",E934*(1+D934/30))</f>
        <v/>
      </c>
      <c r="J934">
        <f>IF(I934="","",IF(I934&gt;=MAXIFS($I$2:$I$5001,$B$2:$B$5001,B934,$A$2:$A$5001,"&lt;="&amp;A934),"PR",""))</f>
        <v/>
      </c>
    </row>
    <row r="935">
      <c r="A935" s="7" t="n"/>
      <c r="H935" s="11">
        <f>IF(OR(D935="",E935=""),"",D935*E935)</f>
        <v/>
      </c>
      <c r="I935" s="8">
        <f>IF(OR(D935="",E935=""),"",E935*(1+D935/30))</f>
        <v/>
      </c>
      <c r="J935">
        <f>IF(I935="","",IF(I935&gt;=MAXIFS($I$2:$I$5001,$B$2:$B$5001,B935,$A$2:$A$5001,"&lt;="&amp;A935),"PR",""))</f>
        <v/>
      </c>
    </row>
    <row r="936">
      <c r="A936" s="7" t="n"/>
      <c r="H936" s="11">
        <f>IF(OR(D936="",E936=""),"",D936*E936)</f>
        <v/>
      </c>
      <c r="I936" s="8">
        <f>IF(OR(D936="",E936=""),"",E936*(1+D936/30))</f>
        <v/>
      </c>
      <c r="J936">
        <f>IF(I936="","",IF(I936&gt;=MAXIFS($I$2:$I$5001,$B$2:$B$5001,B936,$A$2:$A$5001,"&lt;="&amp;A936),"PR",""))</f>
        <v/>
      </c>
    </row>
    <row r="937">
      <c r="A937" s="7" t="n"/>
      <c r="H937" s="11">
        <f>IF(OR(D937="",E937=""),"",D937*E937)</f>
        <v/>
      </c>
      <c r="I937" s="8">
        <f>IF(OR(D937="",E937=""),"",E937*(1+D937/30))</f>
        <v/>
      </c>
      <c r="J937">
        <f>IF(I937="","",IF(I937&gt;=MAXIFS($I$2:$I$5001,$B$2:$B$5001,B937,$A$2:$A$5001,"&lt;="&amp;A937),"PR",""))</f>
        <v/>
      </c>
    </row>
    <row r="938">
      <c r="A938" s="7" t="n"/>
      <c r="H938" s="11">
        <f>IF(OR(D938="",E938=""),"",D938*E938)</f>
        <v/>
      </c>
      <c r="I938" s="8">
        <f>IF(OR(D938="",E938=""),"",E938*(1+D938/30))</f>
        <v/>
      </c>
      <c r="J938">
        <f>IF(I938="","",IF(I938&gt;=MAXIFS($I$2:$I$5001,$B$2:$B$5001,B938,$A$2:$A$5001,"&lt;="&amp;A938),"PR",""))</f>
        <v/>
      </c>
    </row>
    <row r="939">
      <c r="A939" s="7" t="n"/>
      <c r="H939" s="11">
        <f>IF(OR(D939="",E939=""),"",D939*E939)</f>
        <v/>
      </c>
      <c r="I939" s="8">
        <f>IF(OR(D939="",E939=""),"",E939*(1+D939/30))</f>
        <v/>
      </c>
      <c r="J939">
        <f>IF(I939="","",IF(I939&gt;=MAXIFS($I$2:$I$5001,$B$2:$B$5001,B939,$A$2:$A$5001,"&lt;="&amp;A939),"PR",""))</f>
        <v/>
      </c>
    </row>
    <row r="940">
      <c r="A940" s="7" t="n"/>
      <c r="H940" s="11">
        <f>IF(OR(D940="",E940=""),"",D940*E940)</f>
        <v/>
      </c>
      <c r="I940" s="8">
        <f>IF(OR(D940="",E940=""),"",E940*(1+D940/30))</f>
        <v/>
      </c>
      <c r="J940">
        <f>IF(I940="","",IF(I940&gt;=MAXIFS($I$2:$I$5001,$B$2:$B$5001,B940,$A$2:$A$5001,"&lt;="&amp;A940),"PR",""))</f>
        <v/>
      </c>
    </row>
    <row r="941">
      <c r="A941" s="7" t="n"/>
      <c r="H941" s="11">
        <f>IF(OR(D941="",E941=""),"",D941*E941)</f>
        <v/>
      </c>
      <c r="I941" s="8">
        <f>IF(OR(D941="",E941=""),"",E941*(1+D941/30))</f>
        <v/>
      </c>
      <c r="J941">
        <f>IF(I941="","",IF(I941&gt;=MAXIFS($I$2:$I$5001,$B$2:$B$5001,B941,$A$2:$A$5001,"&lt;="&amp;A941),"PR",""))</f>
        <v/>
      </c>
    </row>
    <row r="942">
      <c r="A942" s="7" t="n"/>
      <c r="H942" s="11">
        <f>IF(OR(D942="",E942=""),"",D942*E942)</f>
        <v/>
      </c>
      <c r="I942" s="8">
        <f>IF(OR(D942="",E942=""),"",E942*(1+D942/30))</f>
        <v/>
      </c>
      <c r="J942">
        <f>IF(I942="","",IF(I942&gt;=MAXIFS($I$2:$I$5001,$B$2:$B$5001,B942,$A$2:$A$5001,"&lt;="&amp;A942),"PR",""))</f>
        <v/>
      </c>
    </row>
    <row r="943">
      <c r="A943" s="7" t="n"/>
      <c r="H943" s="11">
        <f>IF(OR(D943="",E943=""),"",D943*E943)</f>
        <v/>
      </c>
      <c r="I943" s="8">
        <f>IF(OR(D943="",E943=""),"",E943*(1+D943/30))</f>
        <v/>
      </c>
      <c r="J943">
        <f>IF(I943="","",IF(I943&gt;=MAXIFS($I$2:$I$5001,$B$2:$B$5001,B943,$A$2:$A$5001,"&lt;="&amp;A943),"PR",""))</f>
        <v/>
      </c>
    </row>
    <row r="944">
      <c r="A944" s="7" t="n"/>
      <c r="H944" s="11">
        <f>IF(OR(D944="",E944=""),"",D944*E944)</f>
        <v/>
      </c>
      <c r="I944" s="8">
        <f>IF(OR(D944="",E944=""),"",E944*(1+D944/30))</f>
        <v/>
      </c>
      <c r="J944">
        <f>IF(I944="","",IF(I944&gt;=MAXIFS($I$2:$I$5001,$B$2:$B$5001,B944,$A$2:$A$5001,"&lt;="&amp;A944),"PR",""))</f>
        <v/>
      </c>
    </row>
    <row r="945">
      <c r="A945" s="7" t="n"/>
      <c r="H945" s="11">
        <f>IF(OR(D945="",E945=""),"",D945*E945)</f>
        <v/>
      </c>
      <c r="I945" s="8">
        <f>IF(OR(D945="",E945=""),"",E945*(1+D945/30))</f>
        <v/>
      </c>
      <c r="J945">
        <f>IF(I945="","",IF(I945&gt;=MAXIFS($I$2:$I$5001,$B$2:$B$5001,B945,$A$2:$A$5001,"&lt;="&amp;A945),"PR",""))</f>
        <v/>
      </c>
    </row>
    <row r="946">
      <c r="A946" s="7" t="n"/>
      <c r="H946" s="11">
        <f>IF(OR(D946="",E946=""),"",D946*E946)</f>
        <v/>
      </c>
      <c r="I946" s="8">
        <f>IF(OR(D946="",E946=""),"",E946*(1+D946/30))</f>
        <v/>
      </c>
      <c r="J946">
        <f>IF(I946="","",IF(I946&gt;=MAXIFS($I$2:$I$5001,$B$2:$B$5001,B946,$A$2:$A$5001,"&lt;="&amp;A946),"PR",""))</f>
        <v/>
      </c>
    </row>
    <row r="947">
      <c r="A947" s="7" t="n"/>
      <c r="H947" s="11">
        <f>IF(OR(D947="",E947=""),"",D947*E947)</f>
        <v/>
      </c>
      <c r="I947" s="8">
        <f>IF(OR(D947="",E947=""),"",E947*(1+D947/30))</f>
        <v/>
      </c>
      <c r="J947">
        <f>IF(I947="","",IF(I947&gt;=MAXIFS($I$2:$I$5001,$B$2:$B$5001,B947,$A$2:$A$5001,"&lt;="&amp;A947),"PR",""))</f>
        <v/>
      </c>
    </row>
    <row r="948">
      <c r="A948" s="7" t="n"/>
      <c r="H948" s="11">
        <f>IF(OR(D948="",E948=""),"",D948*E948)</f>
        <v/>
      </c>
      <c r="I948" s="8">
        <f>IF(OR(D948="",E948=""),"",E948*(1+D948/30))</f>
        <v/>
      </c>
      <c r="J948">
        <f>IF(I948="","",IF(I948&gt;=MAXIFS($I$2:$I$5001,$B$2:$B$5001,B948,$A$2:$A$5001,"&lt;="&amp;A948),"PR",""))</f>
        <v/>
      </c>
    </row>
    <row r="949">
      <c r="A949" s="7" t="n"/>
      <c r="H949" s="11">
        <f>IF(OR(D949="",E949=""),"",D949*E949)</f>
        <v/>
      </c>
      <c r="I949" s="8">
        <f>IF(OR(D949="",E949=""),"",E949*(1+D949/30))</f>
        <v/>
      </c>
      <c r="J949">
        <f>IF(I949="","",IF(I949&gt;=MAXIFS($I$2:$I$5001,$B$2:$B$5001,B949,$A$2:$A$5001,"&lt;="&amp;A949),"PR",""))</f>
        <v/>
      </c>
    </row>
    <row r="950">
      <c r="A950" s="7" t="n"/>
      <c r="H950" s="11">
        <f>IF(OR(D950="",E950=""),"",D950*E950)</f>
        <v/>
      </c>
      <c r="I950" s="8">
        <f>IF(OR(D950="",E950=""),"",E950*(1+D950/30))</f>
        <v/>
      </c>
      <c r="J950">
        <f>IF(I950="","",IF(I950&gt;=MAXIFS($I$2:$I$5001,$B$2:$B$5001,B950,$A$2:$A$5001,"&lt;="&amp;A950),"PR",""))</f>
        <v/>
      </c>
    </row>
    <row r="951">
      <c r="A951" s="7" t="n"/>
      <c r="H951" s="11">
        <f>IF(OR(D951="",E951=""),"",D951*E951)</f>
        <v/>
      </c>
      <c r="I951" s="8">
        <f>IF(OR(D951="",E951=""),"",E951*(1+D951/30))</f>
        <v/>
      </c>
      <c r="J951">
        <f>IF(I951="","",IF(I951&gt;=MAXIFS($I$2:$I$5001,$B$2:$B$5001,B951,$A$2:$A$5001,"&lt;="&amp;A951),"PR",""))</f>
        <v/>
      </c>
    </row>
    <row r="952">
      <c r="A952" s="7" t="n"/>
      <c r="H952" s="11">
        <f>IF(OR(D952="",E952=""),"",D952*E952)</f>
        <v/>
      </c>
      <c r="I952" s="8">
        <f>IF(OR(D952="",E952=""),"",E952*(1+D952/30))</f>
        <v/>
      </c>
      <c r="J952">
        <f>IF(I952="","",IF(I952&gt;=MAXIFS($I$2:$I$5001,$B$2:$B$5001,B952,$A$2:$A$5001,"&lt;="&amp;A952),"PR",""))</f>
        <v/>
      </c>
    </row>
    <row r="953">
      <c r="A953" s="7" t="n"/>
      <c r="H953" s="11">
        <f>IF(OR(D953="",E953=""),"",D953*E953)</f>
        <v/>
      </c>
      <c r="I953" s="8">
        <f>IF(OR(D953="",E953=""),"",E953*(1+D953/30))</f>
        <v/>
      </c>
      <c r="J953">
        <f>IF(I953="","",IF(I953&gt;=MAXIFS($I$2:$I$5001,$B$2:$B$5001,B953,$A$2:$A$5001,"&lt;="&amp;A953),"PR",""))</f>
        <v/>
      </c>
    </row>
    <row r="954">
      <c r="A954" s="7" t="n"/>
      <c r="H954" s="11">
        <f>IF(OR(D954="",E954=""),"",D954*E954)</f>
        <v/>
      </c>
      <c r="I954" s="8">
        <f>IF(OR(D954="",E954=""),"",E954*(1+D954/30))</f>
        <v/>
      </c>
      <c r="J954">
        <f>IF(I954="","",IF(I954&gt;=MAXIFS($I$2:$I$5001,$B$2:$B$5001,B954,$A$2:$A$5001,"&lt;="&amp;A954),"PR",""))</f>
        <v/>
      </c>
    </row>
    <row r="955">
      <c r="A955" s="7" t="n"/>
      <c r="H955" s="11">
        <f>IF(OR(D955="",E955=""),"",D955*E955)</f>
        <v/>
      </c>
      <c r="I955" s="8">
        <f>IF(OR(D955="",E955=""),"",E955*(1+D955/30))</f>
        <v/>
      </c>
      <c r="J955">
        <f>IF(I955="","",IF(I955&gt;=MAXIFS($I$2:$I$5001,$B$2:$B$5001,B955,$A$2:$A$5001,"&lt;="&amp;A955),"PR",""))</f>
        <v/>
      </c>
    </row>
    <row r="956">
      <c r="A956" s="7" t="n"/>
      <c r="H956" s="11">
        <f>IF(OR(D956="",E956=""),"",D956*E956)</f>
        <v/>
      </c>
      <c r="I956" s="8">
        <f>IF(OR(D956="",E956=""),"",E956*(1+D956/30))</f>
        <v/>
      </c>
      <c r="J956">
        <f>IF(I956="","",IF(I956&gt;=MAXIFS($I$2:$I$5001,$B$2:$B$5001,B956,$A$2:$A$5001,"&lt;="&amp;A956),"PR",""))</f>
        <v/>
      </c>
    </row>
    <row r="957">
      <c r="A957" s="7" t="n"/>
      <c r="H957" s="11">
        <f>IF(OR(D957="",E957=""),"",D957*E957)</f>
        <v/>
      </c>
      <c r="I957" s="8">
        <f>IF(OR(D957="",E957=""),"",E957*(1+D957/30))</f>
        <v/>
      </c>
      <c r="J957">
        <f>IF(I957="","",IF(I957&gt;=MAXIFS($I$2:$I$5001,$B$2:$B$5001,B957,$A$2:$A$5001,"&lt;="&amp;A957),"PR",""))</f>
        <v/>
      </c>
    </row>
    <row r="958">
      <c r="A958" s="7" t="n"/>
      <c r="H958" s="11">
        <f>IF(OR(D958="",E958=""),"",D958*E958)</f>
        <v/>
      </c>
      <c r="I958" s="8">
        <f>IF(OR(D958="",E958=""),"",E958*(1+D958/30))</f>
        <v/>
      </c>
      <c r="J958">
        <f>IF(I958="","",IF(I958&gt;=MAXIFS($I$2:$I$5001,$B$2:$B$5001,B958,$A$2:$A$5001,"&lt;="&amp;A958),"PR",""))</f>
        <v/>
      </c>
    </row>
    <row r="959">
      <c r="A959" s="7" t="n"/>
      <c r="H959" s="11">
        <f>IF(OR(D959="",E959=""),"",D959*E959)</f>
        <v/>
      </c>
      <c r="I959" s="8">
        <f>IF(OR(D959="",E959=""),"",E959*(1+D959/30))</f>
        <v/>
      </c>
      <c r="J959">
        <f>IF(I959="","",IF(I959&gt;=MAXIFS($I$2:$I$5001,$B$2:$B$5001,B959,$A$2:$A$5001,"&lt;="&amp;A959),"PR",""))</f>
        <v/>
      </c>
    </row>
    <row r="960">
      <c r="A960" s="7" t="n"/>
      <c r="H960" s="11">
        <f>IF(OR(D960="",E960=""),"",D960*E960)</f>
        <v/>
      </c>
      <c r="I960" s="8">
        <f>IF(OR(D960="",E960=""),"",E960*(1+D960/30))</f>
        <v/>
      </c>
      <c r="J960">
        <f>IF(I960="","",IF(I960&gt;=MAXIFS($I$2:$I$5001,$B$2:$B$5001,B960,$A$2:$A$5001,"&lt;="&amp;A960),"PR",""))</f>
        <v/>
      </c>
    </row>
    <row r="961">
      <c r="A961" s="7" t="n"/>
      <c r="H961" s="11">
        <f>IF(OR(D961="",E961=""),"",D961*E961)</f>
        <v/>
      </c>
      <c r="I961" s="8">
        <f>IF(OR(D961="",E961=""),"",E961*(1+D961/30))</f>
        <v/>
      </c>
      <c r="J961">
        <f>IF(I961="","",IF(I961&gt;=MAXIFS($I$2:$I$5001,$B$2:$B$5001,B961,$A$2:$A$5001,"&lt;="&amp;A961),"PR",""))</f>
        <v/>
      </c>
    </row>
    <row r="962">
      <c r="A962" s="7" t="n"/>
      <c r="H962" s="11">
        <f>IF(OR(D962="",E962=""),"",D962*E962)</f>
        <v/>
      </c>
      <c r="I962" s="8">
        <f>IF(OR(D962="",E962=""),"",E962*(1+D962/30))</f>
        <v/>
      </c>
      <c r="J962">
        <f>IF(I962="","",IF(I962&gt;=MAXIFS($I$2:$I$5001,$B$2:$B$5001,B962,$A$2:$A$5001,"&lt;="&amp;A962),"PR",""))</f>
        <v/>
      </c>
    </row>
    <row r="963">
      <c r="A963" s="7" t="n"/>
      <c r="H963" s="11">
        <f>IF(OR(D963="",E963=""),"",D963*E963)</f>
        <v/>
      </c>
      <c r="I963" s="8">
        <f>IF(OR(D963="",E963=""),"",E963*(1+D963/30))</f>
        <v/>
      </c>
      <c r="J963">
        <f>IF(I963="","",IF(I963&gt;=MAXIFS($I$2:$I$5001,$B$2:$B$5001,B963,$A$2:$A$5001,"&lt;="&amp;A963),"PR",""))</f>
        <v/>
      </c>
    </row>
    <row r="964">
      <c r="A964" s="7" t="n"/>
      <c r="H964" s="11">
        <f>IF(OR(D964="",E964=""),"",D964*E964)</f>
        <v/>
      </c>
      <c r="I964" s="8">
        <f>IF(OR(D964="",E964=""),"",E964*(1+D964/30))</f>
        <v/>
      </c>
      <c r="J964">
        <f>IF(I964="","",IF(I964&gt;=MAXIFS($I$2:$I$5001,$B$2:$B$5001,B964,$A$2:$A$5001,"&lt;="&amp;A964),"PR",""))</f>
        <v/>
      </c>
    </row>
    <row r="965">
      <c r="A965" s="7" t="n"/>
      <c r="H965" s="11">
        <f>IF(OR(D965="",E965=""),"",D965*E965)</f>
        <v/>
      </c>
      <c r="I965" s="8">
        <f>IF(OR(D965="",E965=""),"",E965*(1+D965/30))</f>
        <v/>
      </c>
      <c r="J965">
        <f>IF(I965="","",IF(I965&gt;=MAXIFS($I$2:$I$5001,$B$2:$B$5001,B965,$A$2:$A$5001,"&lt;="&amp;A965),"PR",""))</f>
        <v/>
      </c>
    </row>
    <row r="966">
      <c r="A966" s="7" t="n"/>
      <c r="H966" s="11">
        <f>IF(OR(D966="",E966=""),"",D966*E966)</f>
        <v/>
      </c>
      <c r="I966" s="8">
        <f>IF(OR(D966="",E966=""),"",E966*(1+D966/30))</f>
        <v/>
      </c>
      <c r="J966">
        <f>IF(I966="","",IF(I966&gt;=MAXIFS($I$2:$I$5001,$B$2:$B$5001,B966,$A$2:$A$5001,"&lt;="&amp;A966),"PR",""))</f>
        <v/>
      </c>
    </row>
    <row r="967">
      <c r="A967" s="7" t="n"/>
      <c r="H967" s="11">
        <f>IF(OR(D967="",E967=""),"",D967*E967)</f>
        <v/>
      </c>
      <c r="I967" s="8">
        <f>IF(OR(D967="",E967=""),"",E967*(1+D967/30))</f>
        <v/>
      </c>
      <c r="J967">
        <f>IF(I967="","",IF(I967&gt;=MAXIFS($I$2:$I$5001,$B$2:$B$5001,B967,$A$2:$A$5001,"&lt;="&amp;A967),"PR",""))</f>
        <v/>
      </c>
    </row>
    <row r="968">
      <c r="A968" s="7" t="n"/>
      <c r="H968" s="11">
        <f>IF(OR(D968="",E968=""),"",D968*E968)</f>
        <v/>
      </c>
      <c r="I968" s="8">
        <f>IF(OR(D968="",E968=""),"",E968*(1+D968/30))</f>
        <v/>
      </c>
      <c r="J968">
        <f>IF(I968="","",IF(I968&gt;=MAXIFS($I$2:$I$5001,$B$2:$B$5001,B968,$A$2:$A$5001,"&lt;="&amp;A968),"PR",""))</f>
        <v/>
      </c>
    </row>
    <row r="969">
      <c r="A969" s="7" t="n"/>
      <c r="H969" s="11">
        <f>IF(OR(D969="",E969=""),"",D969*E969)</f>
        <v/>
      </c>
      <c r="I969" s="8">
        <f>IF(OR(D969="",E969=""),"",E969*(1+D969/30))</f>
        <v/>
      </c>
      <c r="J969">
        <f>IF(I969="","",IF(I969&gt;=MAXIFS($I$2:$I$5001,$B$2:$B$5001,B969,$A$2:$A$5001,"&lt;="&amp;A969),"PR",""))</f>
        <v/>
      </c>
    </row>
    <row r="970">
      <c r="A970" s="7" t="n"/>
      <c r="H970" s="11">
        <f>IF(OR(D970="",E970=""),"",D970*E970)</f>
        <v/>
      </c>
      <c r="I970" s="8">
        <f>IF(OR(D970="",E970=""),"",E970*(1+D970/30))</f>
        <v/>
      </c>
      <c r="J970">
        <f>IF(I970="","",IF(I970&gt;=MAXIFS($I$2:$I$5001,$B$2:$B$5001,B970,$A$2:$A$5001,"&lt;="&amp;A970),"PR",""))</f>
        <v/>
      </c>
    </row>
    <row r="971">
      <c r="A971" s="7" t="n"/>
      <c r="H971" s="11">
        <f>IF(OR(D971="",E971=""),"",D971*E971)</f>
        <v/>
      </c>
      <c r="I971" s="8">
        <f>IF(OR(D971="",E971=""),"",E971*(1+D971/30))</f>
        <v/>
      </c>
      <c r="J971">
        <f>IF(I971="","",IF(I971&gt;=MAXIFS($I$2:$I$5001,$B$2:$B$5001,B971,$A$2:$A$5001,"&lt;="&amp;A971),"PR",""))</f>
        <v/>
      </c>
    </row>
    <row r="972">
      <c r="A972" s="7" t="n"/>
      <c r="H972" s="11">
        <f>IF(OR(D972="",E972=""),"",D972*E972)</f>
        <v/>
      </c>
      <c r="I972" s="8">
        <f>IF(OR(D972="",E972=""),"",E972*(1+D972/30))</f>
        <v/>
      </c>
      <c r="J972">
        <f>IF(I972="","",IF(I972&gt;=MAXIFS($I$2:$I$5001,$B$2:$B$5001,B972,$A$2:$A$5001,"&lt;="&amp;A972),"PR",""))</f>
        <v/>
      </c>
    </row>
    <row r="973">
      <c r="A973" s="7" t="n"/>
      <c r="H973" s="11">
        <f>IF(OR(D973="",E973=""),"",D973*E973)</f>
        <v/>
      </c>
      <c r="I973" s="8">
        <f>IF(OR(D973="",E973=""),"",E973*(1+D973/30))</f>
        <v/>
      </c>
      <c r="J973">
        <f>IF(I973="","",IF(I973&gt;=MAXIFS($I$2:$I$5001,$B$2:$B$5001,B973,$A$2:$A$5001,"&lt;="&amp;A973),"PR",""))</f>
        <v/>
      </c>
    </row>
    <row r="974">
      <c r="A974" s="7" t="n"/>
      <c r="H974" s="11">
        <f>IF(OR(D974="",E974=""),"",D974*E974)</f>
        <v/>
      </c>
      <c r="I974" s="8">
        <f>IF(OR(D974="",E974=""),"",E974*(1+D974/30))</f>
        <v/>
      </c>
      <c r="J974">
        <f>IF(I974="","",IF(I974&gt;=MAXIFS($I$2:$I$5001,$B$2:$B$5001,B974,$A$2:$A$5001,"&lt;="&amp;A974),"PR",""))</f>
        <v/>
      </c>
    </row>
    <row r="975">
      <c r="A975" s="7" t="n"/>
      <c r="H975" s="11">
        <f>IF(OR(D975="",E975=""),"",D975*E975)</f>
        <v/>
      </c>
      <c r="I975" s="8">
        <f>IF(OR(D975="",E975=""),"",E975*(1+D975/30))</f>
        <v/>
      </c>
      <c r="J975">
        <f>IF(I975="","",IF(I975&gt;=MAXIFS($I$2:$I$5001,$B$2:$B$5001,B975,$A$2:$A$5001,"&lt;="&amp;A975),"PR",""))</f>
        <v/>
      </c>
    </row>
    <row r="976">
      <c r="A976" s="7" t="n"/>
      <c r="H976" s="11">
        <f>IF(OR(D976="",E976=""),"",D976*E976)</f>
        <v/>
      </c>
      <c r="I976" s="8">
        <f>IF(OR(D976="",E976=""),"",E976*(1+D976/30))</f>
        <v/>
      </c>
      <c r="J976">
        <f>IF(I976="","",IF(I976&gt;=MAXIFS($I$2:$I$5001,$B$2:$B$5001,B976,$A$2:$A$5001,"&lt;="&amp;A976),"PR",""))</f>
        <v/>
      </c>
    </row>
    <row r="977">
      <c r="A977" s="7" t="n"/>
      <c r="H977" s="11">
        <f>IF(OR(D977="",E977=""),"",D977*E977)</f>
        <v/>
      </c>
      <c r="I977" s="8">
        <f>IF(OR(D977="",E977=""),"",E977*(1+D977/30))</f>
        <v/>
      </c>
      <c r="J977">
        <f>IF(I977="","",IF(I977&gt;=MAXIFS($I$2:$I$5001,$B$2:$B$5001,B977,$A$2:$A$5001,"&lt;="&amp;A977),"PR",""))</f>
        <v/>
      </c>
    </row>
    <row r="978">
      <c r="A978" s="7" t="n"/>
      <c r="H978" s="11">
        <f>IF(OR(D978="",E978=""),"",D978*E978)</f>
        <v/>
      </c>
      <c r="I978" s="8">
        <f>IF(OR(D978="",E978=""),"",E978*(1+D978/30))</f>
        <v/>
      </c>
      <c r="J978">
        <f>IF(I978="","",IF(I978&gt;=MAXIFS($I$2:$I$5001,$B$2:$B$5001,B978,$A$2:$A$5001,"&lt;="&amp;A978),"PR",""))</f>
        <v/>
      </c>
    </row>
    <row r="979">
      <c r="A979" s="7" t="n"/>
      <c r="H979" s="11">
        <f>IF(OR(D979="",E979=""),"",D979*E979)</f>
        <v/>
      </c>
      <c r="I979" s="8">
        <f>IF(OR(D979="",E979=""),"",E979*(1+D979/30))</f>
        <v/>
      </c>
      <c r="J979">
        <f>IF(I979="","",IF(I979&gt;=MAXIFS($I$2:$I$5001,$B$2:$B$5001,B979,$A$2:$A$5001,"&lt;="&amp;A979),"PR",""))</f>
        <v/>
      </c>
    </row>
    <row r="980">
      <c r="A980" s="7" t="n"/>
      <c r="H980" s="11">
        <f>IF(OR(D980="",E980=""),"",D980*E980)</f>
        <v/>
      </c>
      <c r="I980" s="8">
        <f>IF(OR(D980="",E980=""),"",E980*(1+D980/30))</f>
        <v/>
      </c>
      <c r="J980">
        <f>IF(I980="","",IF(I980&gt;=MAXIFS($I$2:$I$5001,$B$2:$B$5001,B980,$A$2:$A$5001,"&lt;="&amp;A980),"PR",""))</f>
        <v/>
      </c>
    </row>
    <row r="981">
      <c r="A981" s="7" t="n"/>
      <c r="H981" s="11">
        <f>IF(OR(D981="",E981=""),"",D981*E981)</f>
        <v/>
      </c>
      <c r="I981" s="8">
        <f>IF(OR(D981="",E981=""),"",E981*(1+D981/30))</f>
        <v/>
      </c>
      <c r="J981">
        <f>IF(I981="","",IF(I981&gt;=MAXIFS($I$2:$I$5001,$B$2:$B$5001,B981,$A$2:$A$5001,"&lt;="&amp;A981),"PR",""))</f>
        <v/>
      </c>
    </row>
    <row r="982">
      <c r="A982" s="7" t="n"/>
      <c r="H982" s="11">
        <f>IF(OR(D982="",E982=""),"",D982*E982)</f>
        <v/>
      </c>
      <c r="I982" s="8">
        <f>IF(OR(D982="",E982=""),"",E982*(1+D982/30))</f>
        <v/>
      </c>
      <c r="J982">
        <f>IF(I982="","",IF(I982&gt;=MAXIFS($I$2:$I$5001,$B$2:$B$5001,B982,$A$2:$A$5001,"&lt;="&amp;A982),"PR",""))</f>
        <v/>
      </c>
    </row>
    <row r="983">
      <c r="A983" s="7" t="n"/>
      <c r="H983" s="11">
        <f>IF(OR(D983="",E983=""),"",D983*E983)</f>
        <v/>
      </c>
      <c r="I983" s="8">
        <f>IF(OR(D983="",E983=""),"",E983*(1+D983/30))</f>
        <v/>
      </c>
      <c r="J983">
        <f>IF(I983="","",IF(I983&gt;=MAXIFS($I$2:$I$5001,$B$2:$B$5001,B983,$A$2:$A$5001,"&lt;="&amp;A983),"PR",""))</f>
        <v/>
      </c>
    </row>
    <row r="984">
      <c r="A984" s="7" t="n"/>
      <c r="H984" s="11">
        <f>IF(OR(D984="",E984=""),"",D984*E984)</f>
        <v/>
      </c>
      <c r="I984" s="8">
        <f>IF(OR(D984="",E984=""),"",E984*(1+D984/30))</f>
        <v/>
      </c>
      <c r="J984">
        <f>IF(I984="","",IF(I984&gt;=MAXIFS($I$2:$I$5001,$B$2:$B$5001,B984,$A$2:$A$5001,"&lt;="&amp;A984),"PR",""))</f>
        <v/>
      </c>
    </row>
    <row r="985">
      <c r="A985" s="7" t="n"/>
      <c r="H985" s="11">
        <f>IF(OR(D985="",E985=""),"",D985*E985)</f>
        <v/>
      </c>
      <c r="I985" s="8">
        <f>IF(OR(D985="",E985=""),"",E985*(1+D985/30))</f>
        <v/>
      </c>
      <c r="J985">
        <f>IF(I985="","",IF(I985&gt;=MAXIFS($I$2:$I$5001,$B$2:$B$5001,B985,$A$2:$A$5001,"&lt;="&amp;A985),"PR",""))</f>
        <v/>
      </c>
    </row>
    <row r="986">
      <c r="A986" s="7" t="n"/>
      <c r="H986" s="11">
        <f>IF(OR(D986="",E986=""),"",D986*E986)</f>
        <v/>
      </c>
      <c r="I986" s="8">
        <f>IF(OR(D986="",E986=""),"",E986*(1+D986/30))</f>
        <v/>
      </c>
      <c r="J986">
        <f>IF(I986="","",IF(I986&gt;=MAXIFS($I$2:$I$5001,$B$2:$B$5001,B986,$A$2:$A$5001,"&lt;="&amp;A986),"PR",""))</f>
        <v/>
      </c>
    </row>
    <row r="987">
      <c r="A987" s="7" t="n"/>
      <c r="H987" s="11">
        <f>IF(OR(D987="",E987=""),"",D987*E987)</f>
        <v/>
      </c>
      <c r="I987" s="8">
        <f>IF(OR(D987="",E987=""),"",E987*(1+D987/30))</f>
        <v/>
      </c>
      <c r="J987">
        <f>IF(I987="","",IF(I987&gt;=MAXIFS($I$2:$I$5001,$B$2:$B$5001,B987,$A$2:$A$5001,"&lt;="&amp;A987),"PR",""))</f>
        <v/>
      </c>
    </row>
    <row r="988">
      <c r="A988" s="7" t="n"/>
      <c r="H988" s="11">
        <f>IF(OR(D988="",E988=""),"",D988*E988)</f>
        <v/>
      </c>
      <c r="I988" s="8">
        <f>IF(OR(D988="",E988=""),"",E988*(1+D988/30))</f>
        <v/>
      </c>
      <c r="J988">
        <f>IF(I988="","",IF(I988&gt;=MAXIFS($I$2:$I$5001,$B$2:$B$5001,B988,$A$2:$A$5001,"&lt;="&amp;A988),"PR",""))</f>
        <v/>
      </c>
    </row>
    <row r="989">
      <c r="A989" s="7" t="n"/>
      <c r="H989" s="11">
        <f>IF(OR(D989="",E989=""),"",D989*E989)</f>
        <v/>
      </c>
      <c r="I989" s="8">
        <f>IF(OR(D989="",E989=""),"",E989*(1+D989/30))</f>
        <v/>
      </c>
      <c r="J989">
        <f>IF(I989="","",IF(I989&gt;=MAXIFS($I$2:$I$5001,$B$2:$B$5001,B989,$A$2:$A$5001,"&lt;="&amp;A989),"PR",""))</f>
        <v/>
      </c>
    </row>
    <row r="990">
      <c r="A990" s="7" t="n"/>
      <c r="H990" s="11">
        <f>IF(OR(D990="",E990=""),"",D990*E990)</f>
        <v/>
      </c>
      <c r="I990" s="8">
        <f>IF(OR(D990="",E990=""),"",E990*(1+D990/30))</f>
        <v/>
      </c>
      <c r="J990">
        <f>IF(I990="","",IF(I990&gt;=MAXIFS($I$2:$I$5001,$B$2:$B$5001,B990,$A$2:$A$5001,"&lt;="&amp;A990),"PR",""))</f>
        <v/>
      </c>
    </row>
    <row r="991">
      <c r="A991" s="7" t="n"/>
      <c r="H991" s="11">
        <f>IF(OR(D991="",E991=""),"",D991*E991)</f>
        <v/>
      </c>
      <c r="I991" s="8">
        <f>IF(OR(D991="",E991=""),"",E991*(1+D991/30))</f>
        <v/>
      </c>
      <c r="J991">
        <f>IF(I991="","",IF(I991&gt;=MAXIFS($I$2:$I$5001,$B$2:$B$5001,B991,$A$2:$A$5001,"&lt;="&amp;A991),"PR",""))</f>
        <v/>
      </c>
    </row>
    <row r="992">
      <c r="A992" s="7" t="n"/>
      <c r="H992" s="11">
        <f>IF(OR(D992="",E992=""),"",D992*E992)</f>
        <v/>
      </c>
      <c r="I992" s="8">
        <f>IF(OR(D992="",E992=""),"",E992*(1+D992/30))</f>
        <v/>
      </c>
      <c r="J992">
        <f>IF(I992="","",IF(I992&gt;=MAXIFS($I$2:$I$5001,$B$2:$B$5001,B992,$A$2:$A$5001,"&lt;="&amp;A992),"PR",""))</f>
        <v/>
      </c>
    </row>
    <row r="993">
      <c r="A993" s="7" t="n"/>
      <c r="H993" s="11">
        <f>IF(OR(D993="",E993=""),"",D993*E993)</f>
        <v/>
      </c>
      <c r="I993" s="8">
        <f>IF(OR(D993="",E993=""),"",E993*(1+D993/30))</f>
        <v/>
      </c>
      <c r="J993">
        <f>IF(I993="","",IF(I993&gt;=MAXIFS($I$2:$I$5001,$B$2:$B$5001,B993,$A$2:$A$5001,"&lt;="&amp;A993),"PR",""))</f>
        <v/>
      </c>
    </row>
    <row r="994">
      <c r="A994" s="7" t="n"/>
      <c r="H994" s="11">
        <f>IF(OR(D994="",E994=""),"",D994*E994)</f>
        <v/>
      </c>
      <c r="I994" s="8">
        <f>IF(OR(D994="",E994=""),"",E994*(1+D994/30))</f>
        <v/>
      </c>
      <c r="J994">
        <f>IF(I994="","",IF(I994&gt;=MAXIFS($I$2:$I$5001,$B$2:$B$5001,B994,$A$2:$A$5001,"&lt;="&amp;A994),"PR",""))</f>
        <v/>
      </c>
    </row>
    <row r="995">
      <c r="A995" s="7" t="n"/>
      <c r="H995" s="11">
        <f>IF(OR(D995="",E995=""),"",D995*E995)</f>
        <v/>
      </c>
      <c r="I995" s="8">
        <f>IF(OR(D995="",E995=""),"",E995*(1+D995/30))</f>
        <v/>
      </c>
      <c r="J995">
        <f>IF(I995="","",IF(I995&gt;=MAXIFS($I$2:$I$5001,$B$2:$B$5001,B995,$A$2:$A$5001,"&lt;="&amp;A995),"PR",""))</f>
        <v/>
      </c>
    </row>
    <row r="996">
      <c r="A996" s="7" t="n"/>
      <c r="H996" s="11">
        <f>IF(OR(D996="",E996=""),"",D996*E996)</f>
        <v/>
      </c>
      <c r="I996" s="8">
        <f>IF(OR(D996="",E996=""),"",E996*(1+D996/30))</f>
        <v/>
      </c>
      <c r="J996">
        <f>IF(I996="","",IF(I996&gt;=MAXIFS($I$2:$I$5001,$B$2:$B$5001,B996,$A$2:$A$5001,"&lt;="&amp;A996),"PR",""))</f>
        <v/>
      </c>
    </row>
    <row r="997">
      <c r="A997" s="7" t="n"/>
      <c r="H997" s="11">
        <f>IF(OR(D997="",E997=""),"",D997*E997)</f>
        <v/>
      </c>
      <c r="I997" s="8">
        <f>IF(OR(D997="",E997=""),"",E997*(1+D997/30))</f>
        <v/>
      </c>
      <c r="J997">
        <f>IF(I997="","",IF(I997&gt;=MAXIFS($I$2:$I$5001,$B$2:$B$5001,B997,$A$2:$A$5001,"&lt;="&amp;A997),"PR",""))</f>
        <v/>
      </c>
    </row>
    <row r="998">
      <c r="A998" s="7" t="n"/>
      <c r="H998" s="11">
        <f>IF(OR(D998="",E998=""),"",D998*E998)</f>
        <v/>
      </c>
      <c r="I998" s="8">
        <f>IF(OR(D998="",E998=""),"",E998*(1+D998/30))</f>
        <v/>
      </c>
      <c r="J998">
        <f>IF(I998="","",IF(I998&gt;=MAXIFS($I$2:$I$5001,$B$2:$B$5001,B998,$A$2:$A$5001,"&lt;="&amp;A998),"PR",""))</f>
        <v/>
      </c>
    </row>
    <row r="999">
      <c r="A999" s="7" t="n"/>
      <c r="H999" s="11">
        <f>IF(OR(D999="",E999=""),"",D999*E999)</f>
        <v/>
      </c>
      <c r="I999" s="8">
        <f>IF(OR(D999="",E999=""),"",E999*(1+D999/30))</f>
        <v/>
      </c>
      <c r="J999">
        <f>IF(I999="","",IF(I999&gt;=MAXIFS($I$2:$I$5001,$B$2:$B$5001,B999,$A$2:$A$5001,"&lt;="&amp;A999),"PR",""))</f>
        <v/>
      </c>
    </row>
    <row r="1000">
      <c r="A1000" s="7" t="n"/>
      <c r="H1000" s="11">
        <f>IF(OR(D1000="",E1000=""),"",D1000*E1000)</f>
        <v/>
      </c>
      <c r="I1000" s="8">
        <f>IF(OR(D1000="",E1000=""),"",E1000*(1+D1000/30))</f>
        <v/>
      </c>
      <c r="J1000">
        <f>IF(I1000="","",IF(I1000&gt;=MAXIFS($I$2:$I$5001,$B$2:$B$5001,B1000,$A$2:$A$5001,"&lt;="&amp;A1000),"PR",""))</f>
        <v/>
      </c>
    </row>
    <row r="1001">
      <c r="A1001" s="7" t="n"/>
      <c r="H1001" s="11">
        <f>IF(OR(D1001="",E1001=""),"",D1001*E1001)</f>
        <v/>
      </c>
      <c r="I1001" s="8">
        <f>IF(OR(D1001="",E1001=""),"",E1001*(1+D1001/30))</f>
        <v/>
      </c>
      <c r="J1001">
        <f>IF(I1001="","",IF(I1001&gt;=MAXIFS($I$2:$I$5001,$B$2:$B$5001,B1001,$A$2:$A$5001,"&lt;="&amp;A1001),"PR",""))</f>
        <v/>
      </c>
    </row>
    <row r="1002">
      <c r="A1002" s="7" t="n"/>
      <c r="H1002" s="11">
        <f>IF(OR(D1002="",E1002=""),"",D1002*E1002)</f>
        <v/>
      </c>
      <c r="I1002" s="8">
        <f>IF(OR(D1002="",E1002=""),"",E1002*(1+D1002/30))</f>
        <v/>
      </c>
      <c r="J1002">
        <f>IF(I1002="","",IF(I1002&gt;=MAXIFS($I$2:$I$5001,$B$2:$B$5001,B1002,$A$2:$A$5001,"&lt;="&amp;A1002),"PR",""))</f>
        <v/>
      </c>
    </row>
    <row r="1003">
      <c r="A1003" s="7" t="n"/>
      <c r="H1003" s="11">
        <f>IF(OR(D1003="",E1003=""),"",D1003*E1003)</f>
        <v/>
      </c>
      <c r="I1003" s="8">
        <f>IF(OR(D1003="",E1003=""),"",E1003*(1+D1003/30))</f>
        <v/>
      </c>
      <c r="J1003">
        <f>IF(I1003="","",IF(I1003&gt;=MAXIFS($I$2:$I$5001,$B$2:$B$5001,B1003,$A$2:$A$5001,"&lt;="&amp;A1003),"PR",""))</f>
        <v/>
      </c>
    </row>
    <row r="1004">
      <c r="A1004" s="7" t="n"/>
      <c r="H1004" s="11">
        <f>IF(OR(D1004="",E1004=""),"",D1004*E1004)</f>
        <v/>
      </c>
      <c r="I1004" s="8">
        <f>IF(OR(D1004="",E1004=""),"",E1004*(1+D1004/30))</f>
        <v/>
      </c>
      <c r="J1004">
        <f>IF(I1004="","",IF(I1004&gt;=MAXIFS($I$2:$I$5001,$B$2:$B$5001,B1004,$A$2:$A$5001,"&lt;="&amp;A1004),"PR",""))</f>
        <v/>
      </c>
    </row>
    <row r="1005">
      <c r="A1005" s="7" t="n"/>
      <c r="H1005" s="11">
        <f>IF(OR(D1005="",E1005=""),"",D1005*E1005)</f>
        <v/>
      </c>
      <c r="I1005" s="8">
        <f>IF(OR(D1005="",E1005=""),"",E1005*(1+D1005/30))</f>
        <v/>
      </c>
      <c r="J1005">
        <f>IF(I1005="","",IF(I1005&gt;=MAXIFS($I$2:$I$5001,$B$2:$B$5001,B1005,$A$2:$A$5001,"&lt;="&amp;A1005),"PR",""))</f>
        <v/>
      </c>
    </row>
    <row r="1006">
      <c r="A1006" s="7" t="n"/>
      <c r="H1006" s="11">
        <f>IF(OR(D1006="",E1006=""),"",D1006*E1006)</f>
        <v/>
      </c>
      <c r="I1006" s="8">
        <f>IF(OR(D1006="",E1006=""),"",E1006*(1+D1006/30))</f>
        <v/>
      </c>
      <c r="J1006">
        <f>IF(I1006="","",IF(I1006&gt;=MAXIFS($I$2:$I$5001,$B$2:$B$5001,B1006,$A$2:$A$5001,"&lt;="&amp;A1006),"PR",""))</f>
        <v/>
      </c>
    </row>
    <row r="1007">
      <c r="A1007" s="7" t="n"/>
      <c r="H1007" s="11">
        <f>IF(OR(D1007="",E1007=""),"",D1007*E1007)</f>
        <v/>
      </c>
      <c r="I1007" s="8">
        <f>IF(OR(D1007="",E1007=""),"",E1007*(1+D1007/30))</f>
        <v/>
      </c>
      <c r="J1007">
        <f>IF(I1007="","",IF(I1007&gt;=MAXIFS($I$2:$I$5001,$B$2:$B$5001,B1007,$A$2:$A$5001,"&lt;="&amp;A1007),"PR",""))</f>
        <v/>
      </c>
    </row>
    <row r="1008">
      <c r="A1008" s="7" t="n"/>
      <c r="H1008" s="11">
        <f>IF(OR(D1008="",E1008=""),"",D1008*E1008)</f>
        <v/>
      </c>
      <c r="I1008" s="8">
        <f>IF(OR(D1008="",E1008=""),"",E1008*(1+D1008/30))</f>
        <v/>
      </c>
      <c r="J1008">
        <f>IF(I1008="","",IF(I1008&gt;=MAXIFS($I$2:$I$5001,$B$2:$B$5001,B1008,$A$2:$A$5001,"&lt;="&amp;A1008),"PR",""))</f>
        <v/>
      </c>
    </row>
    <row r="1009">
      <c r="A1009" s="7" t="n"/>
      <c r="H1009" s="11">
        <f>IF(OR(D1009="",E1009=""),"",D1009*E1009)</f>
        <v/>
      </c>
      <c r="I1009" s="8">
        <f>IF(OR(D1009="",E1009=""),"",E1009*(1+D1009/30))</f>
        <v/>
      </c>
      <c r="J1009">
        <f>IF(I1009="","",IF(I1009&gt;=MAXIFS($I$2:$I$5001,$B$2:$B$5001,B1009,$A$2:$A$5001,"&lt;="&amp;A1009),"PR",""))</f>
        <v/>
      </c>
    </row>
    <row r="1010">
      <c r="A1010" s="7" t="n"/>
      <c r="H1010" s="11">
        <f>IF(OR(D1010="",E1010=""),"",D1010*E1010)</f>
        <v/>
      </c>
      <c r="I1010" s="8">
        <f>IF(OR(D1010="",E1010=""),"",E1010*(1+D1010/30))</f>
        <v/>
      </c>
      <c r="J1010">
        <f>IF(I1010="","",IF(I1010&gt;=MAXIFS($I$2:$I$5001,$B$2:$B$5001,B1010,$A$2:$A$5001,"&lt;="&amp;A1010),"PR",""))</f>
        <v/>
      </c>
    </row>
    <row r="1011">
      <c r="A1011" s="7" t="n"/>
      <c r="H1011" s="11">
        <f>IF(OR(D1011="",E1011=""),"",D1011*E1011)</f>
        <v/>
      </c>
      <c r="I1011" s="8">
        <f>IF(OR(D1011="",E1011=""),"",E1011*(1+D1011/30))</f>
        <v/>
      </c>
      <c r="J1011">
        <f>IF(I1011="","",IF(I1011&gt;=MAXIFS($I$2:$I$5001,$B$2:$B$5001,B1011,$A$2:$A$5001,"&lt;="&amp;A1011),"PR",""))</f>
        <v/>
      </c>
    </row>
    <row r="1012">
      <c r="A1012" s="7" t="n"/>
      <c r="H1012" s="11">
        <f>IF(OR(D1012="",E1012=""),"",D1012*E1012)</f>
        <v/>
      </c>
      <c r="I1012" s="8">
        <f>IF(OR(D1012="",E1012=""),"",E1012*(1+D1012/30))</f>
        <v/>
      </c>
      <c r="J1012">
        <f>IF(I1012="","",IF(I1012&gt;=MAXIFS($I$2:$I$5001,$B$2:$B$5001,B1012,$A$2:$A$5001,"&lt;="&amp;A1012),"PR",""))</f>
        <v/>
      </c>
    </row>
    <row r="1013">
      <c r="A1013" s="7" t="n"/>
      <c r="H1013" s="11">
        <f>IF(OR(D1013="",E1013=""),"",D1013*E1013)</f>
        <v/>
      </c>
      <c r="I1013" s="8">
        <f>IF(OR(D1013="",E1013=""),"",E1013*(1+D1013/30))</f>
        <v/>
      </c>
      <c r="J1013">
        <f>IF(I1013="","",IF(I1013&gt;=MAXIFS($I$2:$I$5001,$B$2:$B$5001,B1013,$A$2:$A$5001,"&lt;="&amp;A1013),"PR",""))</f>
        <v/>
      </c>
    </row>
    <row r="1014">
      <c r="A1014" s="7" t="n"/>
      <c r="H1014" s="11">
        <f>IF(OR(D1014="",E1014=""),"",D1014*E1014)</f>
        <v/>
      </c>
      <c r="I1014" s="8">
        <f>IF(OR(D1014="",E1014=""),"",E1014*(1+D1014/30))</f>
        <v/>
      </c>
      <c r="J1014">
        <f>IF(I1014="","",IF(I1014&gt;=MAXIFS($I$2:$I$5001,$B$2:$B$5001,B1014,$A$2:$A$5001,"&lt;="&amp;A1014),"PR",""))</f>
        <v/>
      </c>
    </row>
    <row r="1015">
      <c r="A1015" s="7" t="n"/>
      <c r="H1015" s="11">
        <f>IF(OR(D1015="",E1015=""),"",D1015*E1015)</f>
        <v/>
      </c>
      <c r="I1015" s="8">
        <f>IF(OR(D1015="",E1015=""),"",E1015*(1+D1015/30))</f>
        <v/>
      </c>
      <c r="J1015">
        <f>IF(I1015="","",IF(I1015&gt;=MAXIFS($I$2:$I$5001,$B$2:$B$5001,B1015,$A$2:$A$5001,"&lt;="&amp;A1015),"PR",""))</f>
        <v/>
      </c>
    </row>
    <row r="1016">
      <c r="A1016" s="7" t="n"/>
      <c r="H1016" s="11">
        <f>IF(OR(D1016="",E1016=""),"",D1016*E1016)</f>
        <v/>
      </c>
      <c r="I1016" s="8">
        <f>IF(OR(D1016="",E1016=""),"",E1016*(1+D1016/30))</f>
        <v/>
      </c>
      <c r="J1016">
        <f>IF(I1016="","",IF(I1016&gt;=MAXIFS($I$2:$I$5001,$B$2:$B$5001,B1016,$A$2:$A$5001,"&lt;="&amp;A1016),"PR",""))</f>
        <v/>
      </c>
    </row>
    <row r="1017">
      <c r="A1017" s="7" t="n"/>
      <c r="H1017" s="11">
        <f>IF(OR(D1017="",E1017=""),"",D1017*E1017)</f>
        <v/>
      </c>
      <c r="I1017" s="8">
        <f>IF(OR(D1017="",E1017=""),"",E1017*(1+D1017/30))</f>
        <v/>
      </c>
      <c r="J1017">
        <f>IF(I1017="","",IF(I1017&gt;=MAXIFS($I$2:$I$5001,$B$2:$B$5001,B1017,$A$2:$A$5001,"&lt;="&amp;A1017),"PR",""))</f>
        <v/>
      </c>
    </row>
    <row r="1018">
      <c r="A1018" s="7" t="n"/>
      <c r="H1018" s="11">
        <f>IF(OR(D1018="",E1018=""),"",D1018*E1018)</f>
        <v/>
      </c>
      <c r="I1018" s="8">
        <f>IF(OR(D1018="",E1018=""),"",E1018*(1+D1018/30))</f>
        <v/>
      </c>
      <c r="J1018">
        <f>IF(I1018="","",IF(I1018&gt;=MAXIFS($I$2:$I$5001,$B$2:$B$5001,B1018,$A$2:$A$5001,"&lt;="&amp;A1018),"PR",""))</f>
        <v/>
      </c>
    </row>
    <row r="1019">
      <c r="A1019" s="7" t="n"/>
      <c r="H1019" s="11">
        <f>IF(OR(D1019="",E1019=""),"",D1019*E1019)</f>
        <v/>
      </c>
      <c r="I1019" s="8">
        <f>IF(OR(D1019="",E1019=""),"",E1019*(1+D1019/30))</f>
        <v/>
      </c>
      <c r="J1019">
        <f>IF(I1019="","",IF(I1019&gt;=MAXIFS($I$2:$I$5001,$B$2:$B$5001,B1019,$A$2:$A$5001,"&lt;="&amp;A1019),"PR",""))</f>
        <v/>
      </c>
    </row>
    <row r="1020">
      <c r="A1020" s="7" t="n"/>
      <c r="H1020" s="11">
        <f>IF(OR(D1020="",E1020=""),"",D1020*E1020)</f>
        <v/>
      </c>
      <c r="I1020" s="8">
        <f>IF(OR(D1020="",E1020=""),"",E1020*(1+D1020/30))</f>
        <v/>
      </c>
      <c r="J1020">
        <f>IF(I1020="","",IF(I1020&gt;=MAXIFS($I$2:$I$5001,$B$2:$B$5001,B1020,$A$2:$A$5001,"&lt;="&amp;A1020),"PR",""))</f>
        <v/>
      </c>
    </row>
    <row r="1021">
      <c r="A1021" s="7" t="n"/>
      <c r="H1021" s="11">
        <f>IF(OR(D1021="",E1021=""),"",D1021*E1021)</f>
        <v/>
      </c>
      <c r="I1021" s="8">
        <f>IF(OR(D1021="",E1021=""),"",E1021*(1+D1021/30))</f>
        <v/>
      </c>
      <c r="J1021">
        <f>IF(I1021="","",IF(I1021&gt;=MAXIFS($I$2:$I$5001,$B$2:$B$5001,B1021,$A$2:$A$5001,"&lt;="&amp;A1021),"PR",""))</f>
        <v/>
      </c>
    </row>
    <row r="1022">
      <c r="A1022" s="7" t="n"/>
      <c r="H1022" s="11">
        <f>IF(OR(D1022="",E1022=""),"",D1022*E1022)</f>
        <v/>
      </c>
      <c r="I1022" s="8">
        <f>IF(OR(D1022="",E1022=""),"",E1022*(1+D1022/30))</f>
        <v/>
      </c>
      <c r="J1022">
        <f>IF(I1022="","",IF(I1022&gt;=MAXIFS($I$2:$I$5001,$B$2:$B$5001,B1022,$A$2:$A$5001,"&lt;="&amp;A1022),"PR",""))</f>
        <v/>
      </c>
    </row>
    <row r="1023">
      <c r="A1023" s="7" t="n"/>
      <c r="H1023" s="11">
        <f>IF(OR(D1023="",E1023=""),"",D1023*E1023)</f>
        <v/>
      </c>
      <c r="I1023" s="8">
        <f>IF(OR(D1023="",E1023=""),"",E1023*(1+D1023/30))</f>
        <v/>
      </c>
      <c r="J1023">
        <f>IF(I1023="","",IF(I1023&gt;=MAXIFS($I$2:$I$5001,$B$2:$B$5001,B1023,$A$2:$A$5001,"&lt;="&amp;A1023),"PR",""))</f>
        <v/>
      </c>
    </row>
    <row r="1024">
      <c r="A1024" s="7" t="n"/>
      <c r="H1024" s="11">
        <f>IF(OR(D1024="",E1024=""),"",D1024*E1024)</f>
        <v/>
      </c>
      <c r="I1024" s="8">
        <f>IF(OR(D1024="",E1024=""),"",E1024*(1+D1024/30))</f>
        <v/>
      </c>
      <c r="J1024">
        <f>IF(I1024="","",IF(I1024&gt;=MAXIFS($I$2:$I$5001,$B$2:$B$5001,B1024,$A$2:$A$5001,"&lt;="&amp;A1024),"PR",""))</f>
        <v/>
      </c>
    </row>
    <row r="1025">
      <c r="A1025" s="7" t="n"/>
      <c r="H1025" s="11">
        <f>IF(OR(D1025="",E1025=""),"",D1025*E1025)</f>
        <v/>
      </c>
      <c r="I1025" s="8">
        <f>IF(OR(D1025="",E1025=""),"",E1025*(1+D1025/30))</f>
        <v/>
      </c>
      <c r="J1025">
        <f>IF(I1025="","",IF(I1025&gt;=MAXIFS($I$2:$I$5001,$B$2:$B$5001,B1025,$A$2:$A$5001,"&lt;="&amp;A1025),"PR",""))</f>
        <v/>
      </c>
    </row>
    <row r="1026">
      <c r="A1026" s="7" t="n"/>
      <c r="H1026" s="11">
        <f>IF(OR(D1026="",E1026=""),"",D1026*E1026)</f>
        <v/>
      </c>
      <c r="I1026" s="8">
        <f>IF(OR(D1026="",E1026=""),"",E1026*(1+D1026/30))</f>
        <v/>
      </c>
      <c r="J1026">
        <f>IF(I1026="","",IF(I1026&gt;=MAXIFS($I$2:$I$5001,$B$2:$B$5001,B1026,$A$2:$A$5001,"&lt;="&amp;A1026),"PR",""))</f>
        <v/>
      </c>
    </row>
    <row r="1027">
      <c r="A1027" s="7" t="n"/>
      <c r="H1027" s="11">
        <f>IF(OR(D1027="",E1027=""),"",D1027*E1027)</f>
        <v/>
      </c>
      <c r="I1027" s="8">
        <f>IF(OR(D1027="",E1027=""),"",E1027*(1+D1027/30))</f>
        <v/>
      </c>
      <c r="J1027">
        <f>IF(I1027="","",IF(I1027&gt;=MAXIFS($I$2:$I$5001,$B$2:$B$5001,B1027,$A$2:$A$5001,"&lt;="&amp;A1027),"PR",""))</f>
        <v/>
      </c>
    </row>
    <row r="1028">
      <c r="A1028" s="7" t="n"/>
      <c r="H1028" s="11">
        <f>IF(OR(D1028="",E1028=""),"",D1028*E1028)</f>
        <v/>
      </c>
      <c r="I1028" s="8">
        <f>IF(OR(D1028="",E1028=""),"",E1028*(1+D1028/30))</f>
        <v/>
      </c>
      <c r="J1028">
        <f>IF(I1028="","",IF(I1028&gt;=MAXIFS($I$2:$I$5001,$B$2:$B$5001,B1028,$A$2:$A$5001,"&lt;="&amp;A1028),"PR",""))</f>
        <v/>
      </c>
    </row>
    <row r="1029">
      <c r="A1029" s="7" t="n"/>
      <c r="H1029" s="11">
        <f>IF(OR(D1029="",E1029=""),"",D1029*E1029)</f>
        <v/>
      </c>
      <c r="I1029" s="8">
        <f>IF(OR(D1029="",E1029=""),"",E1029*(1+D1029/30))</f>
        <v/>
      </c>
      <c r="J1029">
        <f>IF(I1029="","",IF(I1029&gt;=MAXIFS($I$2:$I$5001,$B$2:$B$5001,B1029,$A$2:$A$5001,"&lt;="&amp;A1029),"PR",""))</f>
        <v/>
      </c>
    </row>
    <row r="1030">
      <c r="A1030" s="7" t="n"/>
      <c r="H1030" s="11">
        <f>IF(OR(D1030="",E1030=""),"",D1030*E1030)</f>
        <v/>
      </c>
      <c r="I1030" s="8">
        <f>IF(OR(D1030="",E1030=""),"",E1030*(1+D1030/30))</f>
        <v/>
      </c>
      <c r="J1030">
        <f>IF(I1030="","",IF(I1030&gt;=MAXIFS($I$2:$I$5001,$B$2:$B$5001,B1030,$A$2:$A$5001,"&lt;="&amp;A1030),"PR",""))</f>
        <v/>
      </c>
    </row>
    <row r="1031">
      <c r="A1031" s="7" t="n"/>
      <c r="H1031" s="11">
        <f>IF(OR(D1031="",E1031=""),"",D1031*E1031)</f>
        <v/>
      </c>
      <c r="I1031" s="8">
        <f>IF(OR(D1031="",E1031=""),"",E1031*(1+D1031/30))</f>
        <v/>
      </c>
      <c r="J1031">
        <f>IF(I1031="","",IF(I1031&gt;=MAXIFS($I$2:$I$5001,$B$2:$B$5001,B1031,$A$2:$A$5001,"&lt;="&amp;A1031),"PR",""))</f>
        <v/>
      </c>
    </row>
    <row r="1032">
      <c r="A1032" s="7" t="n"/>
      <c r="H1032" s="11">
        <f>IF(OR(D1032="",E1032=""),"",D1032*E1032)</f>
        <v/>
      </c>
      <c r="I1032" s="8">
        <f>IF(OR(D1032="",E1032=""),"",E1032*(1+D1032/30))</f>
        <v/>
      </c>
      <c r="J1032">
        <f>IF(I1032="","",IF(I1032&gt;=MAXIFS($I$2:$I$5001,$B$2:$B$5001,B1032,$A$2:$A$5001,"&lt;="&amp;A1032),"PR",""))</f>
        <v/>
      </c>
    </row>
    <row r="1033">
      <c r="A1033" s="7" t="n"/>
      <c r="H1033" s="11">
        <f>IF(OR(D1033="",E1033=""),"",D1033*E1033)</f>
        <v/>
      </c>
      <c r="I1033" s="8">
        <f>IF(OR(D1033="",E1033=""),"",E1033*(1+D1033/30))</f>
        <v/>
      </c>
      <c r="J1033">
        <f>IF(I1033="","",IF(I1033&gt;=MAXIFS($I$2:$I$5001,$B$2:$B$5001,B1033,$A$2:$A$5001,"&lt;="&amp;A1033),"PR",""))</f>
        <v/>
      </c>
    </row>
    <row r="1034">
      <c r="A1034" s="7" t="n"/>
      <c r="H1034" s="11">
        <f>IF(OR(D1034="",E1034=""),"",D1034*E1034)</f>
        <v/>
      </c>
      <c r="I1034" s="8">
        <f>IF(OR(D1034="",E1034=""),"",E1034*(1+D1034/30))</f>
        <v/>
      </c>
      <c r="J1034">
        <f>IF(I1034="","",IF(I1034&gt;=MAXIFS($I$2:$I$5001,$B$2:$B$5001,B1034,$A$2:$A$5001,"&lt;="&amp;A1034),"PR",""))</f>
        <v/>
      </c>
    </row>
    <row r="1035">
      <c r="A1035" s="7" t="n"/>
      <c r="H1035" s="11">
        <f>IF(OR(D1035="",E1035=""),"",D1035*E1035)</f>
        <v/>
      </c>
      <c r="I1035" s="8">
        <f>IF(OR(D1035="",E1035=""),"",E1035*(1+D1035/30))</f>
        <v/>
      </c>
      <c r="J1035">
        <f>IF(I1035="","",IF(I1035&gt;=MAXIFS($I$2:$I$5001,$B$2:$B$5001,B1035,$A$2:$A$5001,"&lt;="&amp;A1035),"PR",""))</f>
        <v/>
      </c>
    </row>
    <row r="1036">
      <c r="A1036" s="7" t="n"/>
      <c r="H1036" s="11">
        <f>IF(OR(D1036="",E1036=""),"",D1036*E1036)</f>
        <v/>
      </c>
      <c r="I1036" s="8">
        <f>IF(OR(D1036="",E1036=""),"",E1036*(1+D1036/30))</f>
        <v/>
      </c>
      <c r="J1036">
        <f>IF(I1036="","",IF(I1036&gt;=MAXIFS($I$2:$I$5001,$B$2:$B$5001,B1036,$A$2:$A$5001,"&lt;="&amp;A1036),"PR",""))</f>
        <v/>
      </c>
    </row>
    <row r="1037">
      <c r="A1037" s="7" t="n"/>
      <c r="H1037" s="11">
        <f>IF(OR(D1037="",E1037=""),"",D1037*E1037)</f>
        <v/>
      </c>
      <c r="I1037" s="8">
        <f>IF(OR(D1037="",E1037=""),"",E1037*(1+D1037/30))</f>
        <v/>
      </c>
      <c r="J1037">
        <f>IF(I1037="","",IF(I1037&gt;=MAXIFS($I$2:$I$5001,$B$2:$B$5001,B1037,$A$2:$A$5001,"&lt;="&amp;A1037),"PR",""))</f>
        <v/>
      </c>
    </row>
    <row r="1038">
      <c r="A1038" s="7" t="n"/>
      <c r="H1038" s="11">
        <f>IF(OR(D1038="",E1038=""),"",D1038*E1038)</f>
        <v/>
      </c>
      <c r="I1038" s="8">
        <f>IF(OR(D1038="",E1038=""),"",E1038*(1+D1038/30))</f>
        <v/>
      </c>
      <c r="J1038">
        <f>IF(I1038="","",IF(I1038&gt;=MAXIFS($I$2:$I$5001,$B$2:$B$5001,B1038,$A$2:$A$5001,"&lt;="&amp;A1038),"PR",""))</f>
        <v/>
      </c>
    </row>
    <row r="1039">
      <c r="A1039" s="7" t="n"/>
      <c r="H1039" s="11">
        <f>IF(OR(D1039="",E1039=""),"",D1039*E1039)</f>
        <v/>
      </c>
      <c r="I1039" s="8">
        <f>IF(OR(D1039="",E1039=""),"",E1039*(1+D1039/30))</f>
        <v/>
      </c>
      <c r="J1039">
        <f>IF(I1039="","",IF(I1039&gt;=MAXIFS($I$2:$I$5001,$B$2:$B$5001,B1039,$A$2:$A$5001,"&lt;="&amp;A1039),"PR",""))</f>
        <v/>
      </c>
    </row>
    <row r="1040">
      <c r="A1040" s="7" t="n"/>
      <c r="H1040" s="11">
        <f>IF(OR(D1040="",E1040=""),"",D1040*E1040)</f>
        <v/>
      </c>
      <c r="I1040" s="8">
        <f>IF(OR(D1040="",E1040=""),"",E1040*(1+D1040/30))</f>
        <v/>
      </c>
      <c r="J1040">
        <f>IF(I1040="","",IF(I1040&gt;=MAXIFS($I$2:$I$5001,$B$2:$B$5001,B1040,$A$2:$A$5001,"&lt;="&amp;A1040),"PR",""))</f>
        <v/>
      </c>
    </row>
    <row r="1041">
      <c r="A1041" s="7" t="n"/>
      <c r="H1041" s="11">
        <f>IF(OR(D1041="",E1041=""),"",D1041*E1041)</f>
        <v/>
      </c>
      <c r="I1041" s="8">
        <f>IF(OR(D1041="",E1041=""),"",E1041*(1+D1041/30))</f>
        <v/>
      </c>
      <c r="J1041">
        <f>IF(I1041="","",IF(I1041&gt;=MAXIFS($I$2:$I$5001,$B$2:$B$5001,B1041,$A$2:$A$5001,"&lt;="&amp;A1041),"PR",""))</f>
        <v/>
      </c>
    </row>
    <row r="1042">
      <c r="A1042" s="7" t="n"/>
      <c r="H1042" s="11">
        <f>IF(OR(D1042="",E1042=""),"",D1042*E1042)</f>
        <v/>
      </c>
      <c r="I1042" s="8">
        <f>IF(OR(D1042="",E1042=""),"",E1042*(1+D1042/30))</f>
        <v/>
      </c>
      <c r="J1042">
        <f>IF(I1042="","",IF(I1042&gt;=MAXIFS($I$2:$I$5001,$B$2:$B$5001,B1042,$A$2:$A$5001,"&lt;="&amp;A1042),"PR",""))</f>
        <v/>
      </c>
    </row>
    <row r="1043">
      <c r="A1043" s="7" t="n"/>
      <c r="H1043" s="11">
        <f>IF(OR(D1043="",E1043=""),"",D1043*E1043)</f>
        <v/>
      </c>
      <c r="I1043" s="8">
        <f>IF(OR(D1043="",E1043=""),"",E1043*(1+D1043/30))</f>
        <v/>
      </c>
      <c r="J1043">
        <f>IF(I1043="","",IF(I1043&gt;=MAXIFS($I$2:$I$5001,$B$2:$B$5001,B1043,$A$2:$A$5001,"&lt;="&amp;A1043),"PR",""))</f>
        <v/>
      </c>
    </row>
    <row r="1044">
      <c r="A1044" s="7" t="n"/>
      <c r="H1044" s="11">
        <f>IF(OR(D1044="",E1044=""),"",D1044*E1044)</f>
        <v/>
      </c>
      <c r="I1044" s="8">
        <f>IF(OR(D1044="",E1044=""),"",E1044*(1+D1044/30))</f>
        <v/>
      </c>
      <c r="J1044">
        <f>IF(I1044="","",IF(I1044&gt;=MAXIFS($I$2:$I$5001,$B$2:$B$5001,B1044,$A$2:$A$5001,"&lt;="&amp;A1044),"PR",""))</f>
        <v/>
      </c>
    </row>
    <row r="1045">
      <c r="A1045" s="7" t="n"/>
      <c r="H1045" s="11">
        <f>IF(OR(D1045="",E1045=""),"",D1045*E1045)</f>
        <v/>
      </c>
      <c r="I1045" s="8">
        <f>IF(OR(D1045="",E1045=""),"",E1045*(1+D1045/30))</f>
        <v/>
      </c>
      <c r="J1045">
        <f>IF(I1045="","",IF(I1045&gt;=MAXIFS($I$2:$I$5001,$B$2:$B$5001,B1045,$A$2:$A$5001,"&lt;="&amp;A1045),"PR",""))</f>
        <v/>
      </c>
    </row>
    <row r="1046">
      <c r="A1046" s="7" t="n"/>
      <c r="H1046" s="11">
        <f>IF(OR(D1046="",E1046=""),"",D1046*E1046)</f>
        <v/>
      </c>
      <c r="I1046" s="8">
        <f>IF(OR(D1046="",E1046=""),"",E1046*(1+D1046/30))</f>
        <v/>
      </c>
      <c r="J1046">
        <f>IF(I1046="","",IF(I1046&gt;=MAXIFS($I$2:$I$5001,$B$2:$B$5001,B1046,$A$2:$A$5001,"&lt;="&amp;A1046),"PR",""))</f>
        <v/>
      </c>
    </row>
    <row r="1047">
      <c r="A1047" s="7" t="n"/>
      <c r="H1047" s="11">
        <f>IF(OR(D1047="",E1047=""),"",D1047*E1047)</f>
        <v/>
      </c>
      <c r="I1047" s="8">
        <f>IF(OR(D1047="",E1047=""),"",E1047*(1+D1047/30))</f>
        <v/>
      </c>
      <c r="J1047">
        <f>IF(I1047="","",IF(I1047&gt;=MAXIFS($I$2:$I$5001,$B$2:$B$5001,B1047,$A$2:$A$5001,"&lt;="&amp;A1047),"PR",""))</f>
        <v/>
      </c>
    </row>
    <row r="1048">
      <c r="A1048" s="7" t="n"/>
      <c r="H1048" s="11">
        <f>IF(OR(D1048="",E1048=""),"",D1048*E1048)</f>
        <v/>
      </c>
      <c r="I1048" s="8">
        <f>IF(OR(D1048="",E1048=""),"",E1048*(1+D1048/30))</f>
        <v/>
      </c>
      <c r="J1048">
        <f>IF(I1048="","",IF(I1048&gt;=MAXIFS($I$2:$I$5001,$B$2:$B$5001,B1048,$A$2:$A$5001,"&lt;="&amp;A1048),"PR",""))</f>
        <v/>
      </c>
    </row>
    <row r="1049">
      <c r="A1049" s="7" t="n"/>
      <c r="H1049" s="11">
        <f>IF(OR(D1049="",E1049=""),"",D1049*E1049)</f>
        <v/>
      </c>
      <c r="I1049" s="8">
        <f>IF(OR(D1049="",E1049=""),"",E1049*(1+D1049/30))</f>
        <v/>
      </c>
      <c r="J1049">
        <f>IF(I1049="","",IF(I1049&gt;=MAXIFS($I$2:$I$5001,$B$2:$B$5001,B1049,$A$2:$A$5001,"&lt;="&amp;A1049),"PR",""))</f>
        <v/>
      </c>
    </row>
    <row r="1050">
      <c r="A1050" s="7" t="n"/>
      <c r="H1050" s="11">
        <f>IF(OR(D1050="",E1050=""),"",D1050*E1050)</f>
        <v/>
      </c>
      <c r="I1050" s="8">
        <f>IF(OR(D1050="",E1050=""),"",E1050*(1+D1050/30))</f>
        <v/>
      </c>
      <c r="J1050">
        <f>IF(I1050="","",IF(I1050&gt;=MAXIFS($I$2:$I$5001,$B$2:$B$5001,B1050,$A$2:$A$5001,"&lt;="&amp;A1050),"PR",""))</f>
        <v/>
      </c>
    </row>
    <row r="1051">
      <c r="A1051" s="7" t="n"/>
      <c r="H1051" s="11">
        <f>IF(OR(D1051="",E1051=""),"",D1051*E1051)</f>
        <v/>
      </c>
      <c r="I1051" s="8">
        <f>IF(OR(D1051="",E1051=""),"",E1051*(1+D1051/30))</f>
        <v/>
      </c>
      <c r="J1051">
        <f>IF(I1051="","",IF(I1051&gt;=MAXIFS($I$2:$I$5001,$B$2:$B$5001,B1051,$A$2:$A$5001,"&lt;="&amp;A1051),"PR",""))</f>
        <v/>
      </c>
    </row>
    <row r="1052">
      <c r="A1052" s="7" t="n"/>
      <c r="H1052" s="11">
        <f>IF(OR(D1052="",E1052=""),"",D1052*E1052)</f>
        <v/>
      </c>
      <c r="I1052" s="8">
        <f>IF(OR(D1052="",E1052=""),"",E1052*(1+D1052/30))</f>
        <v/>
      </c>
      <c r="J1052">
        <f>IF(I1052="","",IF(I1052&gt;=MAXIFS($I$2:$I$5001,$B$2:$B$5001,B1052,$A$2:$A$5001,"&lt;="&amp;A1052),"PR",""))</f>
        <v/>
      </c>
    </row>
    <row r="1053">
      <c r="A1053" s="7" t="n"/>
      <c r="H1053" s="11">
        <f>IF(OR(D1053="",E1053=""),"",D1053*E1053)</f>
        <v/>
      </c>
      <c r="I1053" s="8">
        <f>IF(OR(D1053="",E1053=""),"",E1053*(1+D1053/30))</f>
        <v/>
      </c>
      <c r="J1053">
        <f>IF(I1053="","",IF(I1053&gt;=MAXIFS($I$2:$I$5001,$B$2:$B$5001,B1053,$A$2:$A$5001,"&lt;="&amp;A1053),"PR",""))</f>
        <v/>
      </c>
    </row>
    <row r="1054">
      <c r="A1054" s="7" t="n"/>
      <c r="H1054" s="11">
        <f>IF(OR(D1054="",E1054=""),"",D1054*E1054)</f>
        <v/>
      </c>
      <c r="I1054" s="8">
        <f>IF(OR(D1054="",E1054=""),"",E1054*(1+D1054/30))</f>
        <v/>
      </c>
      <c r="J1054">
        <f>IF(I1054="","",IF(I1054&gt;=MAXIFS($I$2:$I$5001,$B$2:$B$5001,B1054,$A$2:$A$5001,"&lt;="&amp;A1054),"PR",""))</f>
        <v/>
      </c>
    </row>
    <row r="1055">
      <c r="A1055" s="7" t="n"/>
      <c r="H1055" s="11">
        <f>IF(OR(D1055="",E1055=""),"",D1055*E1055)</f>
        <v/>
      </c>
      <c r="I1055" s="8">
        <f>IF(OR(D1055="",E1055=""),"",E1055*(1+D1055/30))</f>
        <v/>
      </c>
      <c r="J1055">
        <f>IF(I1055="","",IF(I1055&gt;=MAXIFS($I$2:$I$5001,$B$2:$B$5001,B1055,$A$2:$A$5001,"&lt;="&amp;A1055),"PR",""))</f>
        <v/>
      </c>
    </row>
    <row r="1056">
      <c r="A1056" s="7" t="n"/>
      <c r="H1056" s="11">
        <f>IF(OR(D1056="",E1056=""),"",D1056*E1056)</f>
        <v/>
      </c>
      <c r="I1056" s="8">
        <f>IF(OR(D1056="",E1056=""),"",E1056*(1+D1056/30))</f>
        <v/>
      </c>
      <c r="J1056">
        <f>IF(I1056="","",IF(I1056&gt;=MAXIFS($I$2:$I$5001,$B$2:$B$5001,B1056,$A$2:$A$5001,"&lt;="&amp;A1056),"PR",""))</f>
        <v/>
      </c>
    </row>
    <row r="1057">
      <c r="A1057" s="7" t="n"/>
      <c r="H1057" s="11">
        <f>IF(OR(D1057="",E1057=""),"",D1057*E1057)</f>
        <v/>
      </c>
      <c r="I1057" s="8">
        <f>IF(OR(D1057="",E1057=""),"",E1057*(1+D1057/30))</f>
        <v/>
      </c>
      <c r="J1057">
        <f>IF(I1057="","",IF(I1057&gt;=MAXIFS($I$2:$I$5001,$B$2:$B$5001,B1057,$A$2:$A$5001,"&lt;="&amp;A1057),"PR",""))</f>
        <v/>
      </c>
    </row>
    <row r="1058">
      <c r="A1058" s="7" t="n"/>
      <c r="H1058" s="11">
        <f>IF(OR(D1058="",E1058=""),"",D1058*E1058)</f>
        <v/>
      </c>
      <c r="I1058" s="8">
        <f>IF(OR(D1058="",E1058=""),"",E1058*(1+D1058/30))</f>
        <v/>
      </c>
      <c r="J1058">
        <f>IF(I1058="","",IF(I1058&gt;=MAXIFS($I$2:$I$5001,$B$2:$B$5001,B1058,$A$2:$A$5001,"&lt;="&amp;A1058),"PR",""))</f>
        <v/>
      </c>
    </row>
    <row r="1059">
      <c r="A1059" s="7" t="n"/>
      <c r="H1059" s="11">
        <f>IF(OR(D1059="",E1059=""),"",D1059*E1059)</f>
        <v/>
      </c>
      <c r="I1059" s="8">
        <f>IF(OR(D1059="",E1059=""),"",E1059*(1+D1059/30))</f>
        <v/>
      </c>
      <c r="J1059">
        <f>IF(I1059="","",IF(I1059&gt;=MAXIFS($I$2:$I$5001,$B$2:$B$5001,B1059,$A$2:$A$5001,"&lt;="&amp;A1059),"PR",""))</f>
        <v/>
      </c>
    </row>
    <row r="1060">
      <c r="A1060" s="7" t="n"/>
      <c r="H1060" s="11">
        <f>IF(OR(D1060="",E1060=""),"",D1060*E1060)</f>
        <v/>
      </c>
      <c r="I1060" s="8">
        <f>IF(OR(D1060="",E1060=""),"",E1060*(1+D1060/30))</f>
        <v/>
      </c>
      <c r="J1060">
        <f>IF(I1060="","",IF(I1060&gt;=MAXIFS($I$2:$I$5001,$B$2:$B$5001,B1060,$A$2:$A$5001,"&lt;="&amp;A1060),"PR",""))</f>
        <v/>
      </c>
    </row>
    <row r="1061">
      <c r="A1061" s="7" t="n"/>
      <c r="H1061" s="11">
        <f>IF(OR(D1061="",E1061=""),"",D1061*E1061)</f>
        <v/>
      </c>
      <c r="I1061" s="8">
        <f>IF(OR(D1061="",E1061=""),"",E1061*(1+D1061/30))</f>
        <v/>
      </c>
      <c r="J1061">
        <f>IF(I1061="","",IF(I1061&gt;=MAXIFS($I$2:$I$5001,$B$2:$B$5001,B1061,$A$2:$A$5001,"&lt;="&amp;A1061),"PR",""))</f>
        <v/>
      </c>
    </row>
    <row r="1062">
      <c r="A1062" s="7" t="n"/>
      <c r="H1062" s="11">
        <f>IF(OR(D1062="",E1062=""),"",D1062*E1062)</f>
        <v/>
      </c>
      <c r="I1062" s="8">
        <f>IF(OR(D1062="",E1062=""),"",E1062*(1+D1062/30))</f>
        <v/>
      </c>
      <c r="J1062">
        <f>IF(I1062="","",IF(I1062&gt;=MAXIFS($I$2:$I$5001,$B$2:$B$5001,B1062,$A$2:$A$5001,"&lt;="&amp;A1062),"PR",""))</f>
        <v/>
      </c>
    </row>
    <row r="1063">
      <c r="A1063" s="7" t="n"/>
      <c r="H1063" s="11">
        <f>IF(OR(D1063="",E1063=""),"",D1063*E1063)</f>
        <v/>
      </c>
      <c r="I1063" s="8">
        <f>IF(OR(D1063="",E1063=""),"",E1063*(1+D1063/30))</f>
        <v/>
      </c>
      <c r="J1063">
        <f>IF(I1063="","",IF(I1063&gt;=MAXIFS($I$2:$I$5001,$B$2:$B$5001,B1063,$A$2:$A$5001,"&lt;="&amp;A1063),"PR",""))</f>
        <v/>
      </c>
    </row>
    <row r="1064">
      <c r="A1064" s="7" t="n"/>
      <c r="H1064" s="11">
        <f>IF(OR(D1064="",E1064=""),"",D1064*E1064)</f>
        <v/>
      </c>
      <c r="I1064" s="8">
        <f>IF(OR(D1064="",E1064=""),"",E1064*(1+D1064/30))</f>
        <v/>
      </c>
      <c r="J1064">
        <f>IF(I1064="","",IF(I1064&gt;=MAXIFS($I$2:$I$5001,$B$2:$B$5001,B1064,$A$2:$A$5001,"&lt;="&amp;A1064),"PR",""))</f>
        <v/>
      </c>
    </row>
    <row r="1065">
      <c r="A1065" s="7" t="n"/>
      <c r="H1065" s="11">
        <f>IF(OR(D1065="",E1065=""),"",D1065*E1065)</f>
        <v/>
      </c>
      <c r="I1065" s="8">
        <f>IF(OR(D1065="",E1065=""),"",E1065*(1+D1065/30))</f>
        <v/>
      </c>
      <c r="J1065">
        <f>IF(I1065="","",IF(I1065&gt;=MAXIFS($I$2:$I$5001,$B$2:$B$5001,B1065,$A$2:$A$5001,"&lt;="&amp;A1065),"PR",""))</f>
        <v/>
      </c>
    </row>
    <row r="1066">
      <c r="A1066" s="7" t="n"/>
      <c r="H1066" s="11">
        <f>IF(OR(D1066="",E1066=""),"",D1066*E1066)</f>
        <v/>
      </c>
      <c r="I1066" s="8">
        <f>IF(OR(D1066="",E1066=""),"",E1066*(1+D1066/30))</f>
        <v/>
      </c>
      <c r="J1066">
        <f>IF(I1066="","",IF(I1066&gt;=MAXIFS($I$2:$I$5001,$B$2:$B$5001,B1066,$A$2:$A$5001,"&lt;="&amp;A1066),"PR",""))</f>
        <v/>
      </c>
    </row>
    <row r="1067">
      <c r="A1067" s="7" t="n"/>
      <c r="H1067" s="11">
        <f>IF(OR(D1067="",E1067=""),"",D1067*E1067)</f>
        <v/>
      </c>
      <c r="I1067" s="8">
        <f>IF(OR(D1067="",E1067=""),"",E1067*(1+D1067/30))</f>
        <v/>
      </c>
      <c r="J1067">
        <f>IF(I1067="","",IF(I1067&gt;=MAXIFS($I$2:$I$5001,$B$2:$B$5001,B1067,$A$2:$A$5001,"&lt;="&amp;A1067),"PR",""))</f>
        <v/>
      </c>
    </row>
    <row r="1068">
      <c r="A1068" s="7" t="n"/>
      <c r="H1068" s="11">
        <f>IF(OR(D1068="",E1068=""),"",D1068*E1068)</f>
        <v/>
      </c>
      <c r="I1068" s="8">
        <f>IF(OR(D1068="",E1068=""),"",E1068*(1+D1068/30))</f>
        <v/>
      </c>
      <c r="J1068">
        <f>IF(I1068="","",IF(I1068&gt;=MAXIFS($I$2:$I$5001,$B$2:$B$5001,B1068,$A$2:$A$5001,"&lt;="&amp;A1068),"PR",""))</f>
        <v/>
      </c>
    </row>
    <row r="1069">
      <c r="A1069" s="7" t="n"/>
      <c r="H1069" s="11">
        <f>IF(OR(D1069="",E1069=""),"",D1069*E1069)</f>
        <v/>
      </c>
      <c r="I1069" s="8">
        <f>IF(OR(D1069="",E1069=""),"",E1069*(1+D1069/30))</f>
        <v/>
      </c>
      <c r="J1069">
        <f>IF(I1069="","",IF(I1069&gt;=MAXIFS($I$2:$I$5001,$B$2:$B$5001,B1069,$A$2:$A$5001,"&lt;="&amp;A1069),"PR",""))</f>
        <v/>
      </c>
    </row>
    <row r="1070">
      <c r="A1070" s="7" t="n"/>
      <c r="H1070" s="11">
        <f>IF(OR(D1070="",E1070=""),"",D1070*E1070)</f>
        <v/>
      </c>
      <c r="I1070" s="8">
        <f>IF(OR(D1070="",E1070=""),"",E1070*(1+D1070/30))</f>
        <v/>
      </c>
      <c r="J1070">
        <f>IF(I1070="","",IF(I1070&gt;=MAXIFS($I$2:$I$5001,$B$2:$B$5001,B1070,$A$2:$A$5001,"&lt;="&amp;A1070),"PR",""))</f>
        <v/>
      </c>
    </row>
    <row r="1071">
      <c r="A1071" s="7" t="n"/>
      <c r="H1071" s="11">
        <f>IF(OR(D1071="",E1071=""),"",D1071*E1071)</f>
        <v/>
      </c>
      <c r="I1071" s="8">
        <f>IF(OR(D1071="",E1071=""),"",E1071*(1+D1071/30))</f>
        <v/>
      </c>
      <c r="J1071">
        <f>IF(I1071="","",IF(I1071&gt;=MAXIFS($I$2:$I$5001,$B$2:$B$5001,B1071,$A$2:$A$5001,"&lt;="&amp;A1071),"PR",""))</f>
        <v/>
      </c>
    </row>
    <row r="1072">
      <c r="A1072" s="7" t="n"/>
      <c r="H1072" s="11">
        <f>IF(OR(D1072="",E1072=""),"",D1072*E1072)</f>
        <v/>
      </c>
      <c r="I1072" s="8">
        <f>IF(OR(D1072="",E1072=""),"",E1072*(1+D1072/30))</f>
        <v/>
      </c>
      <c r="J1072">
        <f>IF(I1072="","",IF(I1072&gt;=MAXIFS($I$2:$I$5001,$B$2:$B$5001,B1072,$A$2:$A$5001,"&lt;="&amp;A1072),"PR",""))</f>
        <v/>
      </c>
    </row>
    <row r="1073">
      <c r="A1073" s="7" t="n"/>
      <c r="H1073" s="11">
        <f>IF(OR(D1073="",E1073=""),"",D1073*E1073)</f>
        <v/>
      </c>
      <c r="I1073" s="8">
        <f>IF(OR(D1073="",E1073=""),"",E1073*(1+D1073/30))</f>
        <v/>
      </c>
      <c r="J1073">
        <f>IF(I1073="","",IF(I1073&gt;=MAXIFS($I$2:$I$5001,$B$2:$B$5001,B1073,$A$2:$A$5001,"&lt;="&amp;A1073),"PR",""))</f>
        <v/>
      </c>
    </row>
    <row r="1074">
      <c r="A1074" s="7" t="n"/>
      <c r="H1074" s="11">
        <f>IF(OR(D1074="",E1074=""),"",D1074*E1074)</f>
        <v/>
      </c>
      <c r="I1074" s="8">
        <f>IF(OR(D1074="",E1074=""),"",E1074*(1+D1074/30))</f>
        <v/>
      </c>
      <c r="J1074">
        <f>IF(I1074="","",IF(I1074&gt;=MAXIFS($I$2:$I$5001,$B$2:$B$5001,B1074,$A$2:$A$5001,"&lt;="&amp;A1074),"PR",""))</f>
        <v/>
      </c>
    </row>
    <row r="1075">
      <c r="A1075" s="7" t="n"/>
      <c r="H1075" s="11">
        <f>IF(OR(D1075="",E1075=""),"",D1075*E1075)</f>
        <v/>
      </c>
      <c r="I1075" s="8">
        <f>IF(OR(D1075="",E1075=""),"",E1075*(1+D1075/30))</f>
        <v/>
      </c>
      <c r="J1075">
        <f>IF(I1075="","",IF(I1075&gt;=MAXIFS($I$2:$I$5001,$B$2:$B$5001,B1075,$A$2:$A$5001,"&lt;="&amp;A1075),"PR",""))</f>
        <v/>
      </c>
    </row>
    <row r="1076">
      <c r="A1076" s="7" t="n"/>
      <c r="H1076" s="11">
        <f>IF(OR(D1076="",E1076=""),"",D1076*E1076)</f>
        <v/>
      </c>
      <c r="I1076" s="8">
        <f>IF(OR(D1076="",E1076=""),"",E1076*(1+D1076/30))</f>
        <v/>
      </c>
      <c r="J1076">
        <f>IF(I1076="","",IF(I1076&gt;=MAXIFS($I$2:$I$5001,$B$2:$B$5001,B1076,$A$2:$A$5001,"&lt;="&amp;A1076),"PR",""))</f>
        <v/>
      </c>
    </row>
    <row r="1077">
      <c r="A1077" s="7" t="n"/>
      <c r="H1077" s="11">
        <f>IF(OR(D1077="",E1077=""),"",D1077*E1077)</f>
        <v/>
      </c>
      <c r="I1077" s="8">
        <f>IF(OR(D1077="",E1077=""),"",E1077*(1+D1077/30))</f>
        <v/>
      </c>
      <c r="J1077">
        <f>IF(I1077="","",IF(I1077&gt;=MAXIFS($I$2:$I$5001,$B$2:$B$5001,B1077,$A$2:$A$5001,"&lt;="&amp;A1077),"PR",""))</f>
        <v/>
      </c>
    </row>
    <row r="1078">
      <c r="A1078" s="7" t="n"/>
      <c r="H1078" s="11">
        <f>IF(OR(D1078="",E1078=""),"",D1078*E1078)</f>
        <v/>
      </c>
      <c r="I1078" s="8">
        <f>IF(OR(D1078="",E1078=""),"",E1078*(1+D1078/30))</f>
        <v/>
      </c>
      <c r="J1078">
        <f>IF(I1078="","",IF(I1078&gt;=MAXIFS($I$2:$I$5001,$B$2:$B$5001,B1078,$A$2:$A$5001,"&lt;="&amp;A1078),"PR",""))</f>
        <v/>
      </c>
    </row>
    <row r="1079">
      <c r="A1079" s="7" t="n"/>
      <c r="H1079" s="11">
        <f>IF(OR(D1079="",E1079=""),"",D1079*E1079)</f>
        <v/>
      </c>
      <c r="I1079" s="8">
        <f>IF(OR(D1079="",E1079=""),"",E1079*(1+D1079/30))</f>
        <v/>
      </c>
      <c r="J1079">
        <f>IF(I1079="","",IF(I1079&gt;=MAXIFS($I$2:$I$5001,$B$2:$B$5001,B1079,$A$2:$A$5001,"&lt;="&amp;A1079),"PR",""))</f>
        <v/>
      </c>
    </row>
    <row r="1080">
      <c r="A1080" s="7" t="n"/>
      <c r="H1080" s="11">
        <f>IF(OR(D1080="",E1080=""),"",D1080*E1080)</f>
        <v/>
      </c>
      <c r="I1080" s="8">
        <f>IF(OR(D1080="",E1080=""),"",E1080*(1+D1080/30))</f>
        <v/>
      </c>
      <c r="J1080">
        <f>IF(I1080="","",IF(I1080&gt;=MAXIFS($I$2:$I$5001,$B$2:$B$5001,B1080,$A$2:$A$5001,"&lt;="&amp;A1080),"PR",""))</f>
        <v/>
      </c>
    </row>
    <row r="1081">
      <c r="A1081" s="7" t="n"/>
      <c r="H1081" s="11">
        <f>IF(OR(D1081="",E1081=""),"",D1081*E1081)</f>
        <v/>
      </c>
      <c r="I1081" s="8">
        <f>IF(OR(D1081="",E1081=""),"",E1081*(1+D1081/30))</f>
        <v/>
      </c>
      <c r="J1081">
        <f>IF(I1081="","",IF(I1081&gt;=MAXIFS($I$2:$I$5001,$B$2:$B$5001,B1081,$A$2:$A$5001,"&lt;="&amp;A1081),"PR",""))</f>
        <v/>
      </c>
    </row>
    <row r="1082">
      <c r="A1082" s="7" t="n"/>
      <c r="H1082" s="11">
        <f>IF(OR(D1082="",E1082=""),"",D1082*E1082)</f>
        <v/>
      </c>
      <c r="I1082" s="8">
        <f>IF(OR(D1082="",E1082=""),"",E1082*(1+D1082/30))</f>
        <v/>
      </c>
      <c r="J1082">
        <f>IF(I1082="","",IF(I1082&gt;=MAXIFS($I$2:$I$5001,$B$2:$B$5001,B1082,$A$2:$A$5001,"&lt;="&amp;A1082),"PR",""))</f>
        <v/>
      </c>
    </row>
    <row r="1083">
      <c r="A1083" s="7" t="n"/>
      <c r="H1083" s="11">
        <f>IF(OR(D1083="",E1083=""),"",D1083*E1083)</f>
        <v/>
      </c>
      <c r="I1083" s="8">
        <f>IF(OR(D1083="",E1083=""),"",E1083*(1+D1083/30))</f>
        <v/>
      </c>
      <c r="J1083">
        <f>IF(I1083="","",IF(I1083&gt;=MAXIFS($I$2:$I$5001,$B$2:$B$5001,B1083,$A$2:$A$5001,"&lt;="&amp;A1083),"PR",""))</f>
        <v/>
      </c>
    </row>
    <row r="1084">
      <c r="A1084" s="7" t="n"/>
      <c r="H1084" s="11">
        <f>IF(OR(D1084="",E1084=""),"",D1084*E1084)</f>
        <v/>
      </c>
      <c r="I1084" s="8">
        <f>IF(OR(D1084="",E1084=""),"",E1084*(1+D1084/30))</f>
        <v/>
      </c>
      <c r="J1084">
        <f>IF(I1084="","",IF(I1084&gt;=MAXIFS($I$2:$I$5001,$B$2:$B$5001,B1084,$A$2:$A$5001,"&lt;="&amp;A1084),"PR",""))</f>
        <v/>
      </c>
    </row>
    <row r="1085">
      <c r="A1085" s="7" t="n"/>
      <c r="H1085" s="11">
        <f>IF(OR(D1085="",E1085=""),"",D1085*E1085)</f>
        <v/>
      </c>
      <c r="I1085" s="8">
        <f>IF(OR(D1085="",E1085=""),"",E1085*(1+D1085/30))</f>
        <v/>
      </c>
      <c r="J1085">
        <f>IF(I1085="","",IF(I1085&gt;=MAXIFS($I$2:$I$5001,$B$2:$B$5001,B1085,$A$2:$A$5001,"&lt;="&amp;A1085),"PR",""))</f>
        <v/>
      </c>
    </row>
    <row r="1086">
      <c r="A1086" s="7" t="n"/>
      <c r="H1086" s="11">
        <f>IF(OR(D1086="",E1086=""),"",D1086*E1086)</f>
        <v/>
      </c>
      <c r="I1086" s="8">
        <f>IF(OR(D1086="",E1086=""),"",E1086*(1+D1086/30))</f>
        <v/>
      </c>
      <c r="J1086">
        <f>IF(I1086="","",IF(I1086&gt;=MAXIFS($I$2:$I$5001,$B$2:$B$5001,B1086,$A$2:$A$5001,"&lt;="&amp;A1086),"PR",""))</f>
        <v/>
      </c>
    </row>
    <row r="1087">
      <c r="A1087" s="7" t="n"/>
      <c r="H1087" s="11">
        <f>IF(OR(D1087="",E1087=""),"",D1087*E1087)</f>
        <v/>
      </c>
      <c r="I1087" s="8">
        <f>IF(OR(D1087="",E1087=""),"",E1087*(1+D1087/30))</f>
        <v/>
      </c>
      <c r="J1087">
        <f>IF(I1087="","",IF(I1087&gt;=MAXIFS($I$2:$I$5001,$B$2:$B$5001,B1087,$A$2:$A$5001,"&lt;="&amp;A1087),"PR",""))</f>
        <v/>
      </c>
    </row>
    <row r="1088">
      <c r="A1088" s="7" t="n"/>
      <c r="H1088" s="11">
        <f>IF(OR(D1088="",E1088=""),"",D1088*E1088)</f>
        <v/>
      </c>
      <c r="I1088" s="8">
        <f>IF(OR(D1088="",E1088=""),"",E1088*(1+D1088/30))</f>
        <v/>
      </c>
      <c r="J1088">
        <f>IF(I1088="","",IF(I1088&gt;=MAXIFS($I$2:$I$5001,$B$2:$B$5001,B1088,$A$2:$A$5001,"&lt;="&amp;A1088),"PR",""))</f>
        <v/>
      </c>
    </row>
    <row r="1089">
      <c r="A1089" s="7" t="n"/>
      <c r="H1089" s="11">
        <f>IF(OR(D1089="",E1089=""),"",D1089*E1089)</f>
        <v/>
      </c>
      <c r="I1089" s="8">
        <f>IF(OR(D1089="",E1089=""),"",E1089*(1+D1089/30))</f>
        <v/>
      </c>
      <c r="J1089">
        <f>IF(I1089="","",IF(I1089&gt;=MAXIFS($I$2:$I$5001,$B$2:$B$5001,B1089,$A$2:$A$5001,"&lt;="&amp;A1089),"PR",""))</f>
        <v/>
      </c>
    </row>
    <row r="1090">
      <c r="A1090" s="7" t="n"/>
      <c r="H1090" s="11">
        <f>IF(OR(D1090="",E1090=""),"",D1090*E1090)</f>
        <v/>
      </c>
      <c r="I1090" s="8">
        <f>IF(OR(D1090="",E1090=""),"",E1090*(1+D1090/30))</f>
        <v/>
      </c>
      <c r="J1090">
        <f>IF(I1090="","",IF(I1090&gt;=MAXIFS($I$2:$I$5001,$B$2:$B$5001,B1090,$A$2:$A$5001,"&lt;="&amp;A1090),"PR",""))</f>
        <v/>
      </c>
    </row>
    <row r="1091">
      <c r="A1091" s="7" t="n"/>
      <c r="H1091" s="11">
        <f>IF(OR(D1091="",E1091=""),"",D1091*E1091)</f>
        <v/>
      </c>
      <c r="I1091" s="8">
        <f>IF(OR(D1091="",E1091=""),"",E1091*(1+D1091/30))</f>
        <v/>
      </c>
      <c r="J1091">
        <f>IF(I1091="","",IF(I1091&gt;=MAXIFS($I$2:$I$5001,$B$2:$B$5001,B1091,$A$2:$A$5001,"&lt;="&amp;A1091),"PR",""))</f>
        <v/>
      </c>
    </row>
    <row r="1092">
      <c r="A1092" s="7" t="n"/>
      <c r="H1092" s="11">
        <f>IF(OR(D1092="",E1092=""),"",D1092*E1092)</f>
        <v/>
      </c>
      <c r="I1092" s="8">
        <f>IF(OR(D1092="",E1092=""),"",E1092*(1+D1092/30))</f>
        <v/>
      </c>
      <c r="J1092">
        <f>IF(I1092="","",IF(I1092&gt;=MAXIFS($I$2:$I$5001,$B$2:$B$5001,B1092,$A$2:$A$5001,"&lt;="&amp;A1092),"PR",""))</f>
        <v/>
      </c>
    </row>
    <row r="1093">
      <c r="A1093" s="7" t="n"/>
      <c r="H1093" s="11">
        <f>IF(OR(D1093="",E1093=""),"",D1093*E1093)</f>
        <v/>
      </c>
      <c r="I1093" s="8">
        <f>IF(OR(D1093="",E1093=""),"",E1093*(1+D1093/30))</f>
        <v/>
      </c>
      <c r="J1093">
        <f>IF(I1093="","",IF(I1093&gt;=MAXIFS($I$2:$I$5001,$B$2:$B$5001,B1093,$A$2:$A$5001,"&lt;="&amp;A1093),"PR",""))</f>
        <v/>
      </c>
    </row>
    <row r="1094">
      <c r="A1094" s="7" t="n"/>
      <c r="H1094" s="11">
        <f>IF(OR(D1094="",E1094=""),"",D1094*E1094)</f>
        <v/>
      </c>
      <c r="I1094" s="8">
        <f>IF(OR(D1094="",E1094=""),"",E1094*(1+D1094/30))</f>
        <v/>
      </c>
      <c r="J1094">
        <f>IF(I1094="","",IF(I1094&gt;=MAXIFS($I$2:$I$5001,$B$2:$B$5001,B1094,$A$2:$A$5001,"&lt;="&amp;A1094),"PR",""))</f>
        <v/>
      </c>
    </row>
    <row r="1095">
      <c r="A1095" s="7" t="n"/>
      <c r="H1095" s="11">
        <f>IF(OR(D1095="",E1095=""),"",D1095*E1095)</f>
        <v/>
      </c>
      <c r="I1095" s="8">
        <f>IF(OR(D1095="",E1095=""),"",E1095*(1+D1095/30))</f>
        <v/>
      </c>
      <c r="J1095">
        <f>IF(I1095="","",IF(I1095&gt;=MAXIFS($I$2:$I$5001,$B$2:$B$5001,B1095,$A$2:$A$5001,"&lt;="&amp;A1095),"PR",""))</f>
        <v/>
      </c>
    </row>
    <row r="1096">
      <c r="A1096" s="7" t="n"/>
      <c r="H1096" s="11">
        <f>IF(OR(D1096="",E1096=""),"",D1096*E1096)</f>
        <v/>
      </c>
      <c r="I1096" s="8">
        <f>IF(OR(D1096="",E1096=""),"",E1096*(1+D1096/30))</f>
        <v/>
      </c>
      <c r="J1096">
        <f>IF(I1096="","",IF(I1096&gt;=MAXIFS($I$2:$I$5001,$B$2:$B$5001,B1096,$A$2:$A$5001,"&lt;="&amp;A1096),"PR",""))</f>
        <v/>
      </c>
    </row>
    <row r="1097">
      <c r="A1097" s="7" t="n"/>
      <c r="H1097" s="11">
        <f>IF(OR(D1097="",E1097=""),"",D1097*E1097)</f>
        <v/>
      </c>
      <c r="I1097" s="8">
        <f>IF(OR(D1097="",E1097=""),"",E1097*(1+D1097/30))</f>
        <v/>
      </c>
      <c r="J1097">
        <f>IF(I1097="","",IF(I1097&gt;=MAXIFS($I$2:$I$5001,$B$2:$B$5001,B1097,$A$2:$A$5001,"&lt;="&amp;A1097),"PR",""))</f>
        <v/>
      </c>
    </row>
    <row r="1098">
      <c r="A1098" s="7" t="n"/>
      <c r="H1098" s="11">
        <f>IF(OR(D1098="",E1098=""),"",D1098*E1098)</f>
        <v/>
      </c>
      <c r="I1098" s="8">
        <f>IF(OR(D1098="",E1098=""),"",E1098*(1+D1098/30))</f>
        <v/>
      </c>
      <c r="J1098">
        <f>IF(I1098="","",IF(I1098&gt;=MAXIFS($I$2:$I$5001,$B$2:$B$5001,B1098,$A$2:$A$5001,"&lt;="&amp;A1098),"PR",""))</f>
        <v/>
      </c>
    </row>
    <row r="1099">
      <c r="A1099" s="7" t="n"/>
      <c r="H1099" s="11">
        <f>IF(OR(D1099="",E1099=""),"",D1099*E1099)</f>
        <v/>
      </c>
      <c r="I1099" s="8">
        <f>IF(OR(D1099="",E1099=""),"",E1099*(1+D1099/30))</f>
        <v/>
      </c>
      <c r="J1099">
        <f>IF(I1099="","",IF(I1099&gt;=MAXIFS($I$2:$I$5001,$B$2:$B$5001,B1099,$A$2:$A$5001,"&lt;="&amp;A1099),"PR",""))</f>
        <v/>
      </c>
    </row>
    <row r="1100">
      <c r="A1100" s="7" t="n"/>
      <c r="H1100" s="11">
        <f>IF(OR(D1100="",E1100=""),"",D1100*E1100)</f>
        <v/>
      </c>
      <c r="I1100" s="8">
        <f>IF(OR(D1100="",E1100=""),"",E1100*(1+D1100/30))</f>
        <v/>
      </c>
      <c r="J1100">
        <f>IF(I1100="","",IF(I1100&gt;=MAXIFS($I$2:$I$5001,$B$2:$B$5001,B1100,$A$2:$A$5001,"&lt;="&amp;A1100),"PR",""))</f>
        <v/>
      </c>
    </row>
    <row r="1101">
      <c r="A1101" s="7" t="n"/>
      <c r="H1101" s="11">
        <f>IF(OR(D1101="",E1101=""),"",D1101*E1101)</f>
        <v/>
      </c>
      <c r="I1101" s="8">
        <f>IF(OR(D1101="",E1101=""),"",E1101*(1+D1101/30))</f>
        <v/>
      </c>
      <c r="J1101">
        <f>IF(I1101="","",IF(I1101&gt;=MAXIFS($I$2:$I$5001,$B$2:$B$5001,B1101,$A$2:$A$5001,"&lt;="&amp;A1101),"PR",""))</f>
        <v/>
      </c>
    </row>
    <row r="1102">
      <c r="A1102" s="7" t="n"/>
      <c r="H1102" s="11">
        <f>IF(OR(D1102="",E1102=""),"",D1102*E1102)</f>
        <v/>
      </c>
      <c r="I1102" s="8">
        <f>IF(OR(D1102="",E1102=""),"",E1102*(1+D1102/30))</f>
        <v/>
      </c>
      <c r="J1102">
        <f>IF(I1102="","",IF(I1102&gt;=MAXIFS($I$2:$I$5001,$B$2:$B$5001,B1102,$A$2:$A$5001,"&lt;="&amp;A1102),"PR",""))</f>
        <v/>
      </c>
    </row>
    <row r="1103">
      <c r="A1103" s="7" t="n"/>
      <c r="H1103" s="11">
        <f>IF(OR(D1103="",E1103=""),"",D1103*E1103)</f>
        <v/>
      </c>
      <c r="I1103" s="8">
        <f>IF(OR(D1103="",E1103=""),"",E1103*(1+D1103/30))</f>
        <v/>
      </c>
      <c r="J1103">
        <f>IF(I1103="","",IF(I1103&gt;=MAXIFS($I$2:$I$5001,$B$2:$B$5001,B1103,$A$2:$A$5001,"&lt;="&amp;A1103),"PR",""))</f>
        <v/>
      </c>
    </row>
    <row r="1104">
      <c r="A1104" s="7" t="n"/>
      <c r="H1104" s="11">
        <f>IF(OR(D1104="",E1104=""),"",D1104*E1104)</f>
        <v/>
      </c>
      <c r="I1104" s="8">
        <f>IF(OR(D1104="",E1104=""),"",E1104*(1+D1104/30))</f>
        <v/>
      </c>
      <c r="J1104">
        <f>IF(I1104="","",IF(I1104&gt;=MAXIFS($I$2:$I$5001,$B$2:$B$5001,B1104,$A$2:$A$5001,"&lt;="&amp;A1104),"PR",""))</f>
        <v/>
      </c>
    </row>
    <row r="1105">
      <c r="A1105" s="7" t="n"/>
      <c r="H1105" s="11">
        <f>IF(OR(D1105="",E1105=""),"",D1105*E1105)</f>
        <v/>
      </c>
      <c r="I1105" s="8">
        <f>IF(OR(D1105="",E1105=""),"",E1105*(1+D1105/30))</f>
        <v/>
      </c>
      <c r="J1105">
        <f>IF(I1105="","",IF(I1105&gt;=MAXIFS($I$2:$I$5001,$B$2:$B$5001,B1105,$A$2:$A$5001,"&lt;="&amp;A1105),"PR",""))</f>
        <v/>
      </c>
    </row>
    <row r="1106">
      <c r="A1106" s="7" t="n"/>
      <c r="H1106" s="11">
        <f>IF(OR(D1106="",E1106=""),"",D1106*E1106)</f>
        <v/>
      </c>
      <c r="I1106" s="8">
        <f>IF(OR(D1106="",E1106=""),"",E1106*(1+D1106/30))</f>
        <v/>
      </c>
      <c r="J1106">
        <f>IF(I1106="","",IF(I1106&gt;=MAXIFS($I$2:$I$5001,$B$2:$B$5001,B1106,$A$2:$A$5001,"&lt;="&amp;A1106),"PR",""))</f>
        <v/>
      </c>
    </row>
    <row r="1107">
      <c r="A1107" s="7" t="n"/>
      <c r="H1107" s="11">
        <f>IF(OR(D1107="",E1107=""),"",D1107*E1107)</f>
        <v/>
      </c>
      <c r="I1107" s="8">
        <f>IF(OR(D1107="",E1107=""),"",E1107*(1+D1107/30))</f>
        <v/>
      </c>
      <c r="J1107">
        <f>IF(I1107="","",IF(I1107&gt;=MAXIFS($I$2:$I$5001,$B$2:$B$5001,B1107,$A$2:$A$5001,"&lt;="&amp;A1107),"PR",""))</f>
        <v/>
      </c>
    </row>
    <row r="1108">
      <c r="A1108" s="7" t="n"/>
      <c r="H1108" s="11">
        <f>IF(OR(D1108="",E1108=""),"",D1108*E1108)</f>
        <v/>
      </c>
      <c r="I1108" s="8">
        <f>IF(OR(D1108="",E1108=""),"",E1108*(1+D1108/30))</f>
        <v/>
      </c>
      <c r="J1108">
        <f>IF(I1108="","",IF(I1108&gt;=MAXIFS($I$2:$I$5001,$B$2:$B$5001,B1108,$A$2:$A$5001,"&lt;="&amp;A1108),"PR",""))</f>
        <v/>
      </c>
    </row>
    <row r="1109">
      <c r="A1109" s="7" t="n"/>
      <c r="H1109" s="11">
        <f>IF(OR(D1109="",E1109=""),"",D1109*E1109)</f>
        <v/>
      </c>
      <c r="I1109" s="8">
        <f>IF(OR(D1109="",E1109=""),"",E1109*(1+D1109/30))</f>
        <v/>
      </c>
      <c r="J1109">
        <f>IF(I1109="","",IF(I1109&gt;=MAXIFS($I$2:$I$5001,$B$2:$B$5001,B1109,$A$2:$A$5001,"&lt;="&amp;A1109),"PR",""))</f>
        <v/>
      </c>
    </row>
    <row r="1110">
      <c r="A1110" s="7" t="n"/>
      <c r="H1110" s="11">
        <f>IF(OR(D1110="",E1110=""),"",D1110*E1110)</f>
        <v/>
      </c>
      <c r="I1110" s="8">
        <f>IF(OR(D1110="",E1110=""),"",E1110*(1+D1110/30))</f>
        <v/>
      </c>
      <c r="J1110">
        <f>IF(I1110="","",IF(I1110&gt;=MAXIFS($I$2:$I$5001,$B$2:$B$5001,B1110,$A$2:$A$5001,"&lt;="&amp;A1110),"PR",""))</f>
        <v/>
      </c>
    </row>
    <row r="1111">
      <c r="A1111" s="7" t="n"/>
      <c r="H1111" s="11">
        <f>IF(OR(D1111="",E1111=""),"",D1111*E1111)</f>
        <v/>
      </c>
      <c r="I1111" s="8">
        <f>IF(OR(D1111="",E1111=""),"",E1111*(1+D1111/30))</f>
        <v/>
      </c>
      <c r="J1111">
        <f>IF(I1111="","",IF(I1111&gt;=MAXIFS($I$2:$I$5001,$B$2:$B$5001,B1111,$A$2:$A$5001,"&lt;="&amp;A1111),"PR",""))</f>
        <v/>
      </c>
    </row>
    <row r="1112">
      <c r="A1112" s="7" t="n"/>
      <c r="H1112" s="11">
        <f>IF(OR(D1112="",E1112=""),"",D1112*E1112)</f>
        <v/>
      </c>
      <c r="I1112" s="8">
        <f>IF(OR(D1112="",E1112=""),"",E1112*(1+D1112/30))</f>
        <v/>
      </c>
      <c r="J1112">
        <f>IF(I1112="","",IF(I1112&gt;=MAXIFS($I$2:$I$5001,$B$2:$B$5001,B1112,$A$2:$A$5001,"&lt;="&amp;A1112),"PR",""))</f>
        <v/>
      </c>
    </row>
    <row r="1113">
      <c r="A1113" s="7" t="n"/>
      <c r="H1113" s="11">
        <f>IF(OR(D1113="",E1113=""),"",D1113*E1113)</f>
        <v/>
      </c>
      <c r="I1113" s="8">
        <f>IF(OR(D1113="",E1113=""),"",E1113*(1+D1113/30))</f>
        <v/>
      </c>
      <c r="J1113">
        <f>IF(I1113="","",IF(I1113&gt;=MAXIFS($I$2:$I$5001,$B$2:$B$5001,B1113,$A$2:$A$5001,"&lt;="&amp;A1113),"PR",""))</f>
        <v/>
      </c>
    </row>
    <row r="1114">
      <c r="A1114" s="7" t="n"/>
      <c r="H1114" s="11">
        <f>IF(OR(D1114="",E1114=""),"",D1114*E1114)</f>
        <v/>
      </c>
      <c r="I1114" s="8">
        <f>IF(OR(D1114="",E1114=""),"",E1114*(1+D1114/30))</f>
        <v/>
      </c>
      <c r="J1114">
        <f>IF(I1114="","",IF(I1114&gt;=MAXIFS($I$2:$I$5001,$B$2:$B$5001,B1114,$A$2:$A$5001,"&lt;="&amp;A1114),"PR",""))</f>
        <v/>
      </c>
    </row>
    <row r="1115">
      <c r="A1115" s="7" t="n"/>
      <c r="H1115" s="11">
        <f>IF(OR(D1115="",E1115=""),"",D1115*E1115)</f>
        <v/>
      </c>
      <c r="I1115" s="8">
        <f>IF(OR(D1115="",E1115=""),"",E1115*(1+D1115/30))</f>
        <v/>
      </c>
      <c r="J1115">
        <f>IF(I1115="","",IF(I1115&gt;=MAXIFS($I$2:$I$5001,$B$2:$B$5001,B1115,$A$2:$A$5001,"&lt;="&amp;A1115),"PR",""))</f>
        <v/>
      </c>
    </row>
    <row r="1116">
      <c r="A1116" s="7" t="n"/>
      <c r="H1116" s="11">
        <f>IF(OR(D1116="",E1116=""),"",D1116*E1116)</f>
        <v/>
      </c>
      <c r="I1116" s="8">
        <f>IF(OR(D1116="",E1116=""),"",E1116*(1+D1116/30))</f>
        <v/>
      </c>
      <c r="J1116">
        <f>IF(I1116="","",IF(I1116&gt;=MAXIFS($I$2:$I$5001,$B$2:$B$5001,B1116,$A$2:$A$5001,"&lt;="&amp;A1116),"PR",""))</f>
        <v/>
      </c>
    </row>
    <row r="1117">
      <c r="A1117" s="7" t="n"/>
      <c r="H1117" s="11">
        <f>IF(OR(D1117="",E1117=""),"",D1117*E1117)</f>
        <v/>
      </c>
      <c r="I1117" s="8">
        <f>IF(OR(D1117="",E1117=""),"",E1117*(1+D1117/30))</f>
        <v/>
      </c>
      <c r="J1117">
        <f>IF(I1117="","",IF(I1117&gt;=MAXIFS($I$2:$I$5001,$B$2:$B$5001,B1117,$A$2:$A$5001,"&lt;="&amp;A1117),"PR",""))</f>
        <v/>
      </c>
    </row>
    <row r="1118">
      <c r="A1118" s="7" t="n"/>
      <c r="H1118" s="11">
        <f>IF(OR(D1118="",E1118=""),"",D1118*E1118)</f>
        <v/>
      </c>
      <c r="I1118" s="8">
        <f>IF(OR(D1118="",E1118=""),"",E1118*(1+D1118/30))</f>
        <v/>
      </c>
      <c r="J1118">
        <f>IF(I1118="","",IF(I1118&gt;=MAXIFS($I$2:$I$5001,$B$2:$B$5001,B1118,$A$2:$A$5001,"&lt;="&amp;A1118),"PR",""))</f>
        <v/>
      </c>
    </row>
    <row r="1119">
      <c r="A1119" s="7" t="n"/>
      <c r="H1119" s="11">
        <f>IF(OR(D1119="",E1119=""),"",D1119*E1119)</f>
        <v/>
      </c>
      <c r="I1119" s="8">
        <f>IF(OR(D1119="",E1119=""),"",E1119*(1+D1119/30))</f>
        <v/>
      </c>
      <c r="J1119">
        <f>IF(I1119="","",IF(I1119&gt;=MAXIFS($I$2:$I$5001,$B$2:$B$5001,B1119,$A$2:$A$5001,"&lt;="&amp;A1119),"PR",""))</f>
        <v/>
      </c>
    </row>
    <row r="1120">
      <c r="A1120" s="7" t="n"/>
      <c r="H1120" s="11">
        <f>IF(OR(D1120="",E1120=""),"",D1120*E1120)</f>
        <v/>
      </c>
      <c r="I1120" s="8">
        <f>IF(OR(D1120="",E1120=""),"",E1120*(1+D1120/30))</f>
        <v/>
      </c>
      <c r="J1120">
        <f>IF(I1120="","",IF(I1120&gt;=MAXIFS($I$2:$I$5001,$B$2:$B$5001,B1120,$A$2:$A$5001,"&lt;="&amp;A1120),"PR",""))</f>
        <v/>
      </c>
    </row>
    <row r="1121">
      <c r="A1121" s="7" t="n"/>
      <c r="H1121" s="11">
        <f>IF(OR(D1121="",E1121=""),"",D1121*E1121)</f>
        <v/>
      </c>
      <c r="I1121" s="8">
        <f>IF(OR(D1121="",E1121=""),"",E1121*(1+D1121/30))</f>
        <v/>
      </c>
      <c r="J1121">
        <f>IF(I1121="","",IF(I1121&gt;=MAXIFS($I$2:$I$5001,$B$2:$B$5001,B1121,$A$2:$A$5001,"&lt;="&amp;A1121),"PR",""))</f>
        <v/>
      </c>
    </row>
    <row r="1122">
      <c r="A1122" s="7" t="n"/>
      <c r="H1122" s="11">
        <f>IF(OR(D1122="",E1122=""),"",D1122*E1122)</f>
        <v/>
      </c>
      <c r="I1122" s="8">
        <f>IF(OR(D1122="",E1122=""),"",E1122*(1+D1122/30))</f>
        <v/>
      </c>
      <c r="J1122">
        <f>IF(I1122="","",IF(I1122&gt;=MAXIFS($I$2:$I$5001,$B$2:$B$5001,B1122,$A$2:$A$5001,"&lt;="&amp;A1122),"PR",""))</f>
        <v/>
      </c>
    </row>
    <row r="1123">
      <c r="A1123" s="7" t="n"/>
      <c r="H1123" s="11">
        <f>IF(OR(D1123="",E1123=""),"",D1123*E1123)</f>
        <v/>
      </c>
      <c r="I1123" s="8">
        <f>IF(OR(D1123="",E1123=""),"",E1123*(1+D1123/30))</f>
        <v/>
      </c>
      <c r="J1123">
        <f>IF(I1123="","",IF(I1123&gt;=MAXIFS($I$2:$I$5001,$B$2:$B$5001,B1123,$A$2:$A$5001,"&lt;="&amp;A1123),"PR",""))</f>
        <v/>
      </c>
    </row>
    <row r="1124">
      <c r="A1124" s="7" t="n"/>
      <c r="H1124" s="11">
        <f>IF(OR(D1124="",E1124=""),"",D1124*E1124)</f>
        <v/>
      </c>
      <c r="I1124" s="8">
        <f>IF(OR(D1124="",E1124=""),"",E1124*(1+D1124/30))</f>
        <v/>
      </c>
      <c r="J1124">
        <f>IF(I1124="","",IF(I1124&gt;=MAXIFS($I$2:$I$5001,$B$2:$B$5001,B1124,$A$2:$A$5001,"&lt;="&amp;A1124),"PR",""))</f>
        <v/>
      </c>
    </row>
    <row r="1125">
      <c r="A1125" s="7" t="n"/>
      <c r="H1125" s="11">
        <f>IF(OR(D1125="",E1125=""),"",D1125*E1125)</f>
        <v/>
      </c>
      <c r="I1125" s="8">
        <f>IF(OR(D1125="",E1125=""),"",E1125*(1+D1125/30))</f>
        <v/>
      </c>
      <c r="J1125">
        <f>IF(I1125="","",IF(I1125&gt;=MAXIFS($I$2:$I$5001,$B$2:$B$5001,B1125,$A$2:$A$5001,"&lt;="&amp;A1125),"PR",""))</f>
        <v/>
      </c>
    </row>
    <row r="1126">
      <c r="A1126" s="7" t="n"/>
      <c r="H1126" s="11">
        <f>IF(OR(D1126="",E1126=""),"",D1126*E1126)</f>
        <v/>
      </c>
      <c r="I1126" s="8">
        <f>IF(OR(D1126="",E1126=""),"",E1126*(1+D1126/30))</f>
        <v/>
      </c>
      <c r="J1126">
        <f>IF(I1126="","",IF(I1126&gt;=MAXIFS($I$2:$I$5001,$B$2:$B$5001,B1126,$A$2:$A$5001,"&lt;="&amp;A1126),"PR",""))</f>
        <v/>
      </c>
    </row>
    <row r="1127">
      <c r="A1127" s="7" t="n"/>
      <c r="H1127" s="11">
        <f>IF(OR(D1127="",E1127=""),"",D1127*E1127)</f>
        <v/>
      </c>
      <c r="I1127" s="8">
        <f>IF(OR(D1127="",E1127=""),"",E1127*(1+D1127/30))</f>
        <v/>
      </c>
      <c r="J1127">
        <f>IF(I1127="","",IF(I1127&gt;=MAXIFS($I$2:$I$5001,$B$2:$B$5001,B1127,$A$2:$A$5001,"&lt;="&amp;A1127),"PR",""))</f>
        <v/>
      </c>
    </row>
    <row r="1128">
      <c r="A1128" s="7" t="n"/>
      <c r="H1128" s="11">
        <f>IF(OR(D1128="",E1128=""),"",D1128*E1128)</f>
        <v/>
      </c>
      <c r="I1128" s="8">
        <f>IF(OR(D1128="",E1128=""),"",E1128*(1+D1128/30))</f>
        <v/>
      </c>
      <c r="J1128">
        <f>IF(I1128="","",IF(I1128&gt;=MAXIFS($I$2:$I$5001,$B$2:$B$5001,B1128,$A$2:$A$5001,"&lt;="&amp;A1128),"PR",""))</f>
        <v/>
      </c>
    </row>
    <row r="1129">
      <c r="A1129" s="7" t="n"/>
      <c r="H1129" s="11">
        <f>IF(OR(D1129="",E1129=""),"",D1129*E1129)</f>
        <v/>
      </c>
      <c r="I1129" s="8">
        <f>IF(OR(D1129="",E1129=""),"",E1129*(1+D1129/30))</f>
        <v/>
      </c>
      <c r="J1129">
        <f>IF(I1129="","",IF(I1129&gt;=MAXIFS($I$2:$I$5001,$B$2:$B$5001,B1129,$A$2:$A$5001,"&lt;="&amp;A1129),"PR",""))</f>
        <v/>
      </c>
    </row>
    <row r="1130">
      <c r="A1130" s="7" t="n"/>
      <c r="H1130" s="11">
        <f>IF(OR(D1130="",E1130=""),"",D1130*E1130)</f>
        <v/>
      </c>
      <c r="I1130" s="8">
        <f>IF(OR(D1130="",E1130=""),"",E1130*(1+D1130/30))</f>
        <v/>
      </c>
      <c r="J1130">
        <f>IF(I1130="","",IF(I1130&gt;=MAXIFS($I$2:$I$5001,$B$2:$B$5001,B1130,$A$2:$A$5001,"&lt;="&amp;A1130),"PR",""))</f>
        <v/>
      </c>
    </row>
    <row r="1131">
      <c r="A1131" s="7" t="n"/>
      <c r="H1131" s="11">
        <f>IF(OR(D1131="",E1131=""),"",D1131*E1131)</f>
        <v/>
      </c>
      <c r="I1131" s="8">
        <f>IF(OR(D1131="",E1131=""),"",E1131*(1+D1131/30))</f>
        <v/>
      </c>
      <c r="J1131">
        <f>IF(I1131="","",IF(I1131&gt;=MAXIFS($I$2:$I$5001,$B$2:$B$5001,B1131,$A$2:$A$5001,"&lt;="&amp;A1131),"PR",""))</f>
        <v/>
      </c>
    </row>
    <row r="1132">
      <c r="A1132" s="7" t="n"/>
      <c r="H1132" s="11">
        <f>IF(OR(D1132="",E1132=""),"",D1132*E1132)</f>
        <v/>
      </c>
      <c r="I1132" s="8">
        <f>IF(OR(D1132="",E1132=""),"",E1132*(1+D1132/30))</f>
        <v/>
      </c>
      <c r="J1132">
        <f>IF(I1132="","",IF(I1132&gt;=MAXIFS($I$2:$I$5001,$B$2:$B$5001,B1132,$A$2:$A$5001,"&lt;="&amp;A1132),"PR",""))</f>
        <v/>
      </c>
    </row>
    <row r="1133">
      <c r="A1133" s="7" t="n"/>
      <c r="H1133" s="11">
        <f>IF(OR(D1133="",E1133=""),"",D1133*E1133)</f>
        <v/>
      </c>
      <c r="I1133" s="8">
        <f>IF(OR(D1133="",E1133=""),"",E1133*(1+D1133/30))</f>
        <v/>
      </c>
      <c r="J1133">
        <f>IF(I1133="","",IF(I1133&gt;=MAXIFS($I$2:$I$5001,$B$2:$B$5001,B1133,$A$2:$A$5001,"&lt;="&amp;A1133),"PR",""))</f>
        <v/>
      </c>
    </row>
    <row r="1134">
      <c r="A1134" s="7" t="n"/>
      <c r="H1134" s="11">
        <f>IF(OR(D1134="",E1134=""),"",D1134*E1134)</f>
        <v/>
      </c>
      <c r="I1134" s="8">
        <f>IF(OR(D1134="",E1134=""),"",E1134*(1+D1134/30))</f>
        <v/>
      </c>
      <c r="J1134">
        <f>IF(I1134="","",IF(I1134&gt;=MAXIFS($I$2:$I$5001,$B$2:$B$5001,B1134,$A$2:$A$5001,"&lt;="&amp;A1134),"PR",""))</f>
        <v/>
      </c>
    </row>
    <row r="1135">
      <c r="A1135" s="7" t="n"/>
      <c r="H1135" s="11">
        <f>IF(OR(D1135="",E1135=""),"",D1135*E1135)</f>
        <v/>
      </c>
      <c r="I1135" s="8">
        <f>IF(OR(D1135="",E1135=""),"",E1135*(1+D1135/30))</f>
        <v/>
      </c>
      <c r="J1135">
        <f>IF(I1135="","",IF(I1135&gt;=MAXIFS($I$2:$I$5001,$B$2:$B$5001,B1135,$A$2:$A$5001,"&lt;="&amp;A1135),"PR",""))</f>
        <v/>
      </c>
    </row>
    <row r="1136">
      <c r="A1136" s="7" t="n"/>
      <c r="H1136" s="11">
        <f>IF(OR(D1136="",E1136=""),"",D1136*E1136)</f>
        <v/>
      </c>
      <c r="I1136" s="8">
        <f>IF(OR(D1136="",E1136=""),"",E1136*(1+D1136/30))</f>
        <v/>
      </c>
      <c r="J1136">
        <f>IF(I1136="","",IF(I1136&gt;=MAXIFS($I$2:$I$5001,$B$2:$B$5001,B1136,$A$2:$A$5001,"&lt;="&amp;A1136),"PR",""))</f>
        <v/>
      </c>
    </row>
    <row r="1137">
      <c r="A1137" s="7" t="n"/>
      <c r="H1137" s="11">
        <f>IF(OR(D1137="",E1137=""),"",D1137*E1137)</f>
        <v/>
      </c>
      <c r="I1137" s="8">
        <f>IF(OR(D1137="",E1137=""),"",E1137*(1+D1137/30))</f>
        <v/>
      </c>
      <c r="J1137">
        <f>IF(I1137="","",IF(I1137&gt;=MAXIFS($I$2:$I$5001,$B$2:$B$5001,B1137,$A$2:$A$5001,"&lt;="&amp;A1137),"PR",""))</f>
        <v/>
      </c>
    </row>
    <row r="1138">
      <c r="A1138" s="7" t="n"/>
      <c r="H1138" s="11">
        <f>IF(OR(D1138="",E1138=""),"",D1138*E1138)</f>
        <v/>
      </c>
      <c r="I1138" s="8">
        <f>IF(OR(D1138="",E1138=""),"",E1138*(1+D1138/30))</f>
        <v/>
      </c>
      <c r="J1138">
        <f>IF(I1138="","",IF(I1138&gt;=MAXIFS($I$2:$I$5001,$B$2:$B$5001,B1138,$A$2:$A$5001,"&lt;="&amp;A1138),"PR",""))</f>
        <v/>
      </c>
    </row>
    <row r="1139">
      <c r="A1139" s="7" t="n"/>
      <c r="H1139" s="11">
        <f>IF(OR(D1139="",E1139=""),"",D1139*E1139)</f>
        <v/>
      </c>
      <c r="I1139" s="8">
        <f>IF(OR(D1139="",E1139=""),"",E1139*(1+D1139/30))</f>
        <v/>
      </c>
      <c r="J1139">
        <f>IF(I1139="","",IF(I1139&gt;=MAXIFS($I$2:$I$5001,$B$2:$B$5001,B1139,$A$2:$A$5001,"&lt;="&amp;A1139),"PR",""))</f>
        <v/>
      </c>
    </row>
    <row r="1140">
      <c r="A1140" s="7" t="n"/>
      <c r="H1140" s="11">
        <f>IF(OR(D1140="",E1140=""),"",D1140*E1140)</f>
        <v/>
      </c>
      <c r="I1140" s="8">
        <f>IF(OR(D1140="",E1140=""),"",E1140*(1+D1140/30))</f>
        <v/>
      </c>
      <c r="J1140">
        <f>IF(I1140="","",IF(I1140&gt;=MAXIFS($I$2:$I$5001,$B$2:$B$5001,B1140,$A$2:$A$5001,"&lt;="&amp;A1140),"PR",""))</f>
        <v/>
      </c>
    </row>
    <row r="1141">
      <c r="A1141" s="7" t="n"/>
      <c r="H1141" s="11">
        <f>IF(OR(D1141="",E1141=""),"",D1141*E1141)</f>
        <v/>
      </c>
      <c r="I1141" s="8">
        <f>IF(OR(D1141="",E1141=""),"",E1141*(1+D1141/30))</f>
        <v/>
      </c>
      <c r="J1141">
        <f>IF(I1141="","",IF(I1141&gt;=MAXIFS($I$2:$I$5001,$B$2:$B$5001,B1141,$A$2:$A$5001,"&lt;="&amp;A1141),"PR",""))</f>
        <v/>
      </c>
    </row>
    <row r="1142">
      <c r="A1142" s="7" t="n"/>
      <c r="H1142" s="11">
        <f>IF(OR(D1142="",E1142=""),"",D1142*E1142)</f>
        <v/>
      </c>
      <c r="I1142" s="8">
        <f>IF(OR(D1142="",E1142=""),"",E1142*(1+D1142/30))</f>
        <v/>
      </c>
      <c r="J1142">
        <f>IF(I1142="","",IF(I1142&gt;=MAXIFS($I$2:$I$5001,$B$2:$B$5001,B1142,$A$2:$A$5001,"&lt;="&amp;A1142),"PR",""))</f>
        <v/>
      </c>
    </row>
    <row r="1143">
      <c r="A1143" s="7" t="n"/>
      <c r="H1143" s="11">
        <f>IF(OR(D1143="",E1143=""),"",D1143*E1143)</f>
        <v/>
      </c>
      <c r="I1143" s="8">
        <f>IF(OR(D1143="",E1143=""),"",E1143*(1+D1143/30))</f>
        <v/>
      </c>
      <c r="J1143">
        <f>IF(I1143="","",IF(I1143&gt;=MAXIFS($I$2:$I$5001,$B$2:$B$5001,B1143,$A$2:$A$5001,"&lt;="&amp;A1143),"PR",""))</f>
        <v/>
      </c>
    </row>
    <row r="1144">
      <c r="A1144" s="7" t="n"/>
      <c r="H1144" s="11">
        <f>IF(OR(D1144="",E1144=""),"",D1144*E1144)</f>
        <v/>
      </c>
      <c r="I1144" s="8">
        <f>IF(OR(D1144="",E1144=""),"",E1144*(1+D1144/30))</f>
        <v/>
      </c>
      <c r="J1144">
        <f>IF(I1144="","",IF(I1144&gt;=MAXIFS($I$2:$I$5001,$B$2:$B$5001,B1144,$A$2:$A$5001,"&lt;="&amp;A1144),"PR",""))</f>
        <v/>
      </c>
    </row>
    <row r="1145">
      <c r="A1145" s="7" t="n"/>
      <c r="H1145" s="11">
        <f>IF(OR(D1145="",E1145=""),"",D1145*E1145)</f>
        <v/>
      </c>
      <c r="I1145" s="8">
        <f>IF(OR(D1145="",E1145=""),"",E1145*(1+D1145/30))</f>
        <v/>
      </c>
      <c r="J1145">
        <f>IF(I1145="","",IF(I1145&gt;=MAXIFS($I$2:$I$5001,$B$2:$B$5001,B1145,$A$2:$A$5001,"&lt;="&amp;A1145),"PR",""))</f>
        <v/>
      </c>
    </row>
    <row r="1146">
      <c r="A1146" s="7" t="n"/>
      <c r="H1146" s="11">
        <f>IF(OR(D1146="",E1146=""),"",D1146*E1146)</f>
        <v/>
      </c>
      <c r="I1146" s="8">
        <f>IF(OR(D1146="",E1146=""),"",E1146*(1+D1146/30))</f>
        <v/>
      </c>
      <c r="J1146">
        <f>IF(I1146="","",IF(I1146&gt;=MAXIFS($I$2:$I$5001,$B$2:$B$5001,B1146,$A$2:$A$5001,"&lt;="&amp;A1146),"PR",""))</f>
        <v/>
      </c>
    </row>
    <row r="1147">
      <c r="A1147" s="7" t="n"/>
      <c r="H1147" s="11">
        <f>IF(OR(D1147="",E1147=""),"",D1147*E1147)</f>
        <v/>
      </c>
      <c r="I1147" s="8">
        <f>IF(OR(D1147="",E1147=""),"",E1147*(1+D1147/30))</f>
        <v/>
      </c>
      <c r="J1147">
        <f>IF(I1147="","",IF(I1147&gt;=MAXIFS($I$2:$I$5001,$B$2:$B$5001,B1147,$A$2:$A$5001,"&lt;="&amp;A1147),"PR",""))</f>
        <v/>
      </c>
    </row>
    <row r="1148">
      <c r="A1148" s="7" t="n"/>
      <c r="H1148" s="11">
        <f>IF(OR(D1148="",E1148=""),"",D1148*E1148)</f>
        <v/>
      </c>
      <c r="I1148" s="8">
        <f>IF(OR(D1148="",E1148=""),"",E1148*(1+D1148/30))</f>
        <v/>
      </c>
      <c r="J1148">
        <f>IF(I1148="","",IF(I1148&gt;=MAXIFS($I$2:$I$5001,$B$2:$B$5001,B1148,$A$2:$A$5001,"&lt;="&amp;A1148),"PR",""))</f>
        <v/>
      </c>
    </row>
    <row r="1149">
      <c r="A1149" s="7" t="n"/>
      <c r="H1149" s="11">
        <f>IF(OR(D1149="",E1149=""),"",D1149*E1149)</f>
        <v/>
      </c>
      <c r="I1149" s="8">
        <f>IF(OR(D1149="",E1149=""),"",E1149*(1+D1149/30))</f>
        <v/>
      </c>
      <c r="J1149">
        <f>IF(I1149="","",IF(I1149&gt;=MAXIFS($I$2:$I$5001,$B$2:$B$5001,B1149,$A$2:$A$5001,"&lt;="&amp;A1149),"PR",""))</f>
        <v/>
      </c>
    </row>
    <row r="1150">
      <c r="A1150" s="7" t="n"/>
      <c r="H1150" s="11">
        <f>IF(OR(D1150="",E1150=""),"",D1150*E1150)</f>
        <v/>
      </c>
      <c r="I1150" s="8">
        <f>IF(OR(D1150="",E1150=""),"",E1150*(1+D1150/30))</f>
        <v/>
      </c>
      <c r="J1150">
        <f>IF(I1150="","",IF(I1150&gt;=MAXIFS($I$2:$I$5001,$B$2:$B$5001,B1150,$A$2:$A$5001,"&lt;="&amp;A1150),"PR",""))</f>
        <v/>
      </c>
    </row>
    <row r="1151">
      <c r="A1151" s="7" t="n"/>
      <c r="H1151" s="11">
        <f>IF(OR(D1151="",E1151=""),"",D1151*E1151)</f>
        <v/>
      </c>
      <c r="I1151" s="8">
        <f>IF(OR(D1151="",E1151=""),"",E1151*(1+D1151/30))</f>
        <v/>
      </c>
      <c r="J1151">
        <f>IF(I1151="","",IF(I1151&gt;=MAXIFS($I$2:$I$5001,$B$2:$B$5001,B1151,$A$2:$A$5001,"&lt;="&amp;A1151),"PR",""))</f>
        <v/>
      </c>
    </row>
    <row r="1152">
      <c r="A1152" s="7" t="n"/>
      <c r="H1152" s="11">
        <f>IF(OR(D1152="",E1152=""),"",D1152*E1152)</f>
        <v/>
      </c>
      <c r="I1152" s="8">
        <f>IF(OR(D1152="",E1152=""),"",E1152*(1+D1152/30))</f>
        <v/>
      </c>
      <c r="J1152">
        <f>IF(I1152="","",IF(I1152&gt;=MAXIFS($I$2:$I$5001,$B$2:$B$5001,B1152,$A$2:$A$5001,"&lt;="&amp;A1152),"PR",""))</f>
        <v/>
      </c>
    </row>
    <row r="1153">
      <c r="A1153" s="7" t="n"/>
      <c r="H1153" s="11">
        <f>IF(OR(D1153="",E1153=""),"",D1153*E1153)</f>
        <v/>
      </c>
      <c r="I1153" s="8">
        <f>IF(OR(D1153="",E1153=""),"",E1153*(1+D1153/30))</f>
        <v/>
      </c>
      <c r="J1153">
        <f>IF(I1153="","",IF(I1153&gt;=MAXIFS($I$2:$I$5001,$B$2:$B$5001,B1153,$A$2:$A$5001,"&lt;="&amp;A1153),"PR",""))</f>
        <v/>
      </c>
    </row>
    <row r="1154">
      <c r="A1154" s="7" t="n"/>
      <c r="H1154" s="11">
        <f>IF(OR(D1154="",E1154=""),"",D1154*E1154)</f>
        <v/>
      </c>
      <c r="I1154" s="8">
        <f>IF(OR(D1154="",E1154=""),"",E1154*(1+D1154/30))</f>
        <v/>
      </c>
      <c r="J1154">
        <f>IF(I1154="","",IF(I1154&gt;=MAXIFS($I$2:$I$5001,$B$2:$B$5001,B1154,$A$2:$A$5001,"&lt;="&amp;A1154),"PR",""))</f>
        <v/>
      </c>
    </row>
    <row r="1155">
      <c r="A1155" s="7" t="n"/>
      <c r="H1155" s="11">
        <f>IF(OR(D1155="",E1155=""),"",D1155*E1155)</f>
        <v/>
      </c>
      <c r="I1155" s="8">
        <f>IF(OR(D1155="",E1155=""),"",E1155*(1+D1155/30))</f>
        <v/>
      </c>
      <c r="J1155">
        <f>IF(I1155="","",IF(I1155&gt;=MAXIFS($I$2:$I$5001,$B$2:$B$5001,B1155,$A$2:$A$5001,"&lt;="&amp;A1155),"PR",""))</f>
        <v/>
      </c>
    </row>
    <row r="1156">
      <c r="A1156" s="7" t="n"/>
      <c r="H1156" s="11">
        <f>IF(OR(D1156="",E1156=""),"",D1156*E1156)</f>
        <v/>
      </c>
      <c r="I1156" s="8">
        <f>IF(OR(D1156="",E1156=""),"",E1156*(1+D1156/30))</f>
        <v/>
      </c>
      <c r="J1156">
        <f>IF(I1156="","",IF(I1156&gt;=MAXIFS($I$2:$I$5001,$B$2:$B$5001,B1156,$A$2:$A$5001,"&lt;="&amp;A1156),"PR",""))</f>
        <v/>
      </c>
    </row>
    <row r="1157">
      <c r="A1157" s="7" t="n"/>
      <c r="H1157" s="11">
        <f>IF(OR(D1157="",E1157=""),"",D1157*E1157)</f>
        <v/>
      </c>
      <c r="I1157" s="8">
        <f>IF(OR(D1157="",E1157=""),"",E1157*(1+D1157/30))</f>
        <v/>
      </c>
      <c r="J1157">
        <f>IF(I1157="","",IF(I1157&gt;=MAXIFS($I$2:$I$5001,$B$2:$B$5001,B1157,$A$2:$A$5001,"&lt;="&amp;A1157),"PR",""))</f>
        <v/>
      </c>
    </row>
    <row r="1158">
      <c r="A1158" s="7" t="n"/>
      <c r="H1158" s="11">
        <f>IF(OR(D1158="",E1158=""),"",D1158*E1158)</f>
        <v/>
      </c>
      <c r="I1158" s="8">
        <f>IF(OR(D1158="",E1158=""),"",E1158*(1+D1158/30))</f>
        <v/>
      </c>
      <c r="J1158">
        <f>IF(I1158="","",IF(I1158&gt;=MAXIFS($I$2:$I$5001,$B$2:$B$5001,B1158,$A$2:$A$5001,"&lt;="&amp;A1158),"PR",""))</f>
        <v/>
      </c>
    </row>
    <row r="1159">
      <c r="A1159" s="7" t="n"/>
      <c r="H1159" s="11">
        <f>IF(OR(D1159="",E1159=""),"",D1159*E1159)</f>
        <v/>
      </c>
      <c r="I1159" s="8">
        <f>IF(OR(D1159="",E1159=""),"",E1159*(1+D1159/30))</f>
        <v/>
      </c>
      <c r="J1159">
        <f>IF(I1159="","",IF(I1159&gt;=MAXIFS($I$2:$I$5001,$B$2:$B$5001,B1159,$A$2:$A$5001,"&lt;="&amp;A1159),"PR",""))</f>
        <v/>
      </c>
    </row>
    <row r="1160">
      <c r="A1160" s="7" t="n"/>
      <c r="H1160" s="11">
        <f>IF(OR(D1160="",E1160=""),"",D1160*E1160)</f>
        <v/>
      </c>
      <c r="I1160" s="8">
        <f>IF(OR(D1160="",E1160=""),"",E1160*(1+D1160/30))</f>
        <v/>
      </c>
      <c r="J1160">
        <f>IF(I1160="","",IF(I1160&gt;=MAXIFS($I$2:$I$5001,$B$2:$B$5001,B1160,$A$2:$A$5001,"&lt;="&amp;A1160),"PR",""))</f>
        <v/>
      </c>
    </row>
    <row r="1161">
      <c r="A1161" s="7" t="n"/>
      <c r="H1161" s="11">
        <f>IF(OR(D1161="",E1161=""),"",D1161*E1161)</f>
        <v/>
      </c>
      <c r="I1161" s="8">
        <f>IF(OR(D1161="",E1161=""),"",E1161*(1+D1161/30))</f>
        <v/>
      </c>
      <c r="J1161">
        <f>IF(I1161="","",IF(I1161&gt;=MAXIFS($I$2:$I$5001,$B$2:$B$5001,B1161,$A$2:$A$5001,"&lt;="&amp;A1161),"PR",""))</f>
        <v/>
      </c>
    </row>
    <row r="1162">
      <c r="A1162" s="7" t="n"/>
      <c r="H1162" s="11">
        <f>IF(OR(D1162="",E1162=""),"",D1162*E1162)</f>
        <v/>
      </c>
      <c r="I1162" s="8">
        <f>IF(OR(D1162="",E1162=""),"",E1162*(1+D1162/30))</f>
        <v/>
      </c>
      <c r="J1162">
        <f>IF(I1162="","",IF(I1162&gt;=MAXIFS($I$2:$I$5001,$B$2:$B$5001,B1162,$A$2:$A$5001,"&lt;="&amp;A1162),"PR",""))</f>
        <v/>
      </c>
    </row>
    <row r="1163">
      <c r="A1163" s="7" t="n"/>
      <c r="H1163" s="11">
        <f>IF(OR(D1163="",E1163=""),"",D1163*E1163)</f>
        <v/>
      </c>
      <c r="I1163" s="8">
        <f>IF(OR(D1163="",E1163=""),"",E1163*(1+D1163/30))</f>
        <v/>
      </c>
      <c r="J1163">
        <f>IF(I1163="","",IF(I1163&gt;=MAXIFS($I$2:$I$5001,$B$2:$B$5001,B1163,$A$2:$A$5001,"&lt;="&amp;A1163),"PR",""))</f>
        <v/>
      </c>
    </row>
    <row r="1164">
      <c r="A1164" s="7" t="n"/>
      <c r="H1164" s="11">
        <f>IF(OR(D1164="",E1164=""),"",D1164*E1164)</f>
        <v/>
      </c>
      <c r="I1164" s="8">
        <f>IF(OR(D1164="",E1164=""),"",E1164*(1+D1164/30))</f>
        <v/>
      </c>
      <c r="J1164">
        <f>IF(I1164="","",IF(I1164&gt;=MAXIFS($I$2:$I$5001,$B$2:$B$5001,B1164,$A$2:$A$5001,"&lt;="&amp;A1164),"PR",""))</f>
        <v/>
      </c>
    </row>
    <row r="1165">
      <c r="A1165" s="7" t="n"/>
      <c r="H1165" s="11">
        <f>IF(OR(D1165="",E1165=""),"",D1165*E1165)</f>
        <v/>
      </c>
      <c r="I1165" s="8">
        <f>IF(OR(D1165="",E1165=""),"",E1165*(1+D1165/30))</f>
        <v/>
      </c>
      <c r="J1165">
        <f>IF(I1165="","",IF(I1165&gt;=MAXIFS($I$2:$I$5001,$B$2:$B$5001,B1165,$A$2:$A$5001,"&lt;="&amp;A1165),"PR",""))</f>
        <v/>
      </c>
    </row>
    <row r="1166">
      <c r="A1166" s="7" t="n"/>
      <c r="H1166" s="11">
        <f>IF(OR(D1166="",E1166=""),"",D1166*E1166)</f>
        <v/>
      </c>
      <c r="I1166" s="8">
        <f>IF(OR(D1166="",E1166=""),"",E1166*(1+D1166/30))</f>
        <v/>
      </c>
      <c r="J1166">
        <f>IF(I1166="","",IF(I1166&gt;=MAXIFS($I$2:$I$5001,$B$2:$B$5001,B1166,$A$2:$A$5001,"&lt;="&amp;A1166),"PR",""))</f>
        <v/>
      </c>
    </row>
    <row r="1167">
      <c r="A1167" s="7" t="n"/>
      <c r="H1167" s="11">
        <f>IF(OR(D1167="",E1167=""),"",D1167*E1167)</f>
        <v/>
      </c>
      <c r="I1167" s="8">
        <f>IF(OR(D1167="",E1167=""),"",E1167*(1+D1167/30))</f>
        <v/>
      </c>
      <c r="J1167">
        <f>IF(I1167="","",IF(I1167&gt;=MAXIFS($I$2:$I$5001,$B$2:$B$5001,B1167,$A$2:$A$5001,"&lt;="&amp;A1167),"PR",""))</f>
        <v/>
      </c>
    </row>
    <row r="1168">
      <c r="A1168" s="7" t="n"/>
      <c r="H1168" s="11">
        <f>IF(OR(D1168="",E1168=""),"",D1168*E1168)</f>
        <v/>
      </c>
      <c r="I1168" s="8">
        <f>IF(OR(D1168="",E1168=""),"",E1168*(1+D1168/30))</f>
        <v/>
      </c>
      <c r="J1168">
        <f>IF(I1168="","",IF(I1168&gt;=MAXIFS($I$2:$I$5001,$B$2:$B$5001,B1168,$A$2:$A$5001,"&lt;="&amp;A1168),"PR",""))</f>
        <v/>
      </c>
    </row>
    <row r="1169">
      <c r="A1169" s="7" t="n"/>
      <c r="H1169" s="11">
        <f>IF(OR(D1169="",E1169=""),"",D1169*E1169)</f>
        <v/>
      </c>
      <c r="I1169" s="8">
        <f>IF(OR(D1169="",E1169=""),"",E1169*(1+D1169/30))</f>
        <v/>
      </c>
      <c r="J1169">
        <f>IF(I1169="","",IF(I1169&gt;=MAXIFS($I$2:$I$5001,$B$2:$B$5001,B1169,$A$2:$A$5001,"&lt;="&amp;A1169),"PR",""))</f>
        <v/>
      </c>
    </row>
    <row r="1170">
      <c r="A1170" s="7" t="n"/>
      <c r="H1170" s="11">
        <f>IF(OR(D1170="",E1170=""),"",D1170*E1170)</f>
        <v/>
      </c>
      <c r="I1170" s="8">
        <f>IF(OR(D1170="",E1170=""),"",E1170*(1+D1170/30))</f>
        <v/>
      </c>
      <c r="J1170">
        <f>IF(I1170="","",IF(I1170&gt;=MAXIFS($I$2:$I$5001,$B$2:$B$5001,B1170,$A$2:$A$5001,"&lt;="&amp;A1170),"PR",""))</f>
        <v/>
      </c>
    </row>
    <row r="1171">
      <c r="A1171" s="7" t="n"/>
      <c r="H1171" s="11">
        <f>IF(OR(D1171="",E1171=""),"",D1171*E1171)</f>
        <v/>
      </c>
      <c r="I1171" s="8">
        <f>IF(OR(D1171="",E1171=""),"",E1171*(1+D1171/30))</f>
        <v/>
      </c>
      <c r="J1171">
        <f>IF(I1171="","",IF(I1171&gt;=MAXIFS($I$2:$I$5001,$B$2:$B$5001,B1171,$A$2:$A$5001,"&lt;="&amp;A1171),"PR",""))</f>
        <v/>
      </c>
    </row>
    <row r="1172">
      <c r="A1172" s="7" t="n"/>
      <c r="H1172" s="11">
        <f>IF(OR(D1172="",E1172=""),"",D1172*E1172)</f>
        <v/>
      </c>
      <c r="I1172" s="8">
        <f>IF(OR(D1172="",E1172=""),"",E1172*(1+D1172/30))</f>
        <v/>
      </c>
      <c r="J1172">
        <f>IF(I1172="","",IF(I1172&gt;=MAXIFS($I$2:$I$5001,$B$2:$B$5001,B1172,$A$2:$A$5001,"&lt;="&amp;A1172),"PR",""))</f>
        <v/>
      </c>
    </row>
    <row r="1173">
      <c r="A1173" s="7" t="n"/>
      <c r="H1173" s="11">
        <f>IF(OR(D1173="",E1173=""),"",D1173*E1173)</f>
        <v/>
      </c>
      <c r="I1173" s="8">
        <f>IF(OR(D1173="",E1173=""),"",E1173*(1+D1173/30))</f>
        <v/>
      </c>
      <c r="J1173">
        <f>IF(I1173="","",IF(I1173&gt;=MAXIFS($I$2:$I$5001,$B$2:$B$5001,B1173,$A$2:$A$5001,"&lt;="&amp;A1173),"PR",""))</f>
        <v/>
      </c>
    </row>
    <row r="1174">
      <c r="A1174" s="7" t="n"/>
      <c r="H1174" s="11">
        <f>IF(OR(D1174="",E1174=""),"",D1174*E1174)</f>
        <v/>
      </c>
      <c r="I1174" s="8">
        <f>IF(OR(D1174="",E1174=""),"",E1174*(1+D1174/30))</f>
        <v/>
      </c>
      <c r="J1174">
        <f>IF(I1174="","",IF(I1174&gt;=MAXIFS($I$2:$I$5001,$B$2:$B$5001,B1174,$A$2:$A$5001,"&lt;="&amp;A1174),"PR",""))</f>
        <v/>
      </c>
    </row>
    <row r="1175">
      <c r="A1175" s="7" t="n"/>
      <c r="H1175" s="11">
        <f>IF(OR(D1175="",E1175=""),"",D1175*E1175)</f>
        <v/>
      </c>
      <c r="I1175" s="8">
        <f>IF(OR(D1175="",E1175=""),"",E1175*(1+D1175/30))</f>
        <v/>
      </c>
      <c r="J1175">
        <f>IF(I1175="","",IF(I1175&gt;=MAXIFS($I$2:$I$5001,$B$2:$B$5001,B1175,$A$2:$A$5001,"&lt;="&amp;A1175),"PR",""))</f>
        <v/>
      </c>
    </row>
    <row r="1176">
      <c r="A1176" s="7" t="n"/>
      <c r="H1176" s="11">
        <f>IF(OR(D1176="",E1176=""),"",D1176*E1176)</f>
        <v/>
      </c>
      <c r="I1176" s="8">
        <f>IF(OR(D1176="",E1176=""),"",E1176*(1+D1176/30))</f>
        <v/>
      </c>
      <c r="J1176">
        <f>IF(I1176="","",IF(I1176&gt;=MAXIFS($I$2:$I$5001,$B$2:$B$5001,B1176,$A$2:$A$5001,"&lt;="&amp;A1176),"PR",""))</f>
        <v/>
      </c>
    </row>
    <row r="1177">
      <c r="A1177" s="7" t="n"/>
      <c r="H1177" s="11">
        <f>IF(OR(D1177="",E1177=""),"",D1177*E1177)</f>
        <v/>
      </c>
      <c r="I1177" s="8">
        <f>IF(OR(D1177="",E1177=""),"",E1177*(1+D1177/30))</f>
        <v/>
      </c>
      <c r="J1177">
        <f>IF(I1177="","",IF(I1177&gt;=MAXIFS($I$2:$I$5001,$B$2:$B$5001,B1177,$A$2:$A$5001,"&lt;="&amp;A1177),"PR",""))</f>
        <v/>
      </c>
    </row>
    <row r="1178">
      <c r="A1178" s="7" t="n"/>
      <c r="H1178" s="11">
        <f>IF(OR(D1178="",E1178=""),"",D1178*E1178)</f>
        <v/>
      </c>
      <c r="I1178" s="8">
        <f>IF(OR(D1178="",E1178=""),"",E1178*(1+D1178/30))</f>
        <v/>
      </c>
      <c r="J1178">
        <f>IF(I1178="","",IF(I1178&gt;=MAXIFS($I$2:$I$5001,$B$2:$B$5001,B1178,$A$2:$A$5001,"&lt;="&amp;A1178),"PR",""))</f>
        <v/>
      </c>
    </row>
    <row r="1179">
      <c r="A1179" s="7" t="n"/>
      <c r="H1179" s="11">
        <f>IF(OR(D1179="",E1179=""),"",D1179*E1179)</f>
        <v/>
      </c>
      <c r="I1179" s="8">
        <f>IF(OR(D1179="",E1179=""),"",E1179*(1+D1179/30))</f>
        <v/>
      </c>
      <c r="J1179">
        <f>IF(I1179="","",IF(I1179&gt;=MAXIFS($I$2:$I$5001,$B$2:$B$5001,B1179,$A$2:$A$5001,"&lt;="&amp;A1179),"PR",""))</f>
        <v/>
      </c>
    </row>
    <row r="1180">
      <c r="A1180" s="7" t="n"/>
      <c r="H1180" s="11">
        <f>IF(OR(D1180="",E1180=""),"",D1180*E1180)</f>
        <v/>
      </c>
      <c r="I1180" s="8">
        <f>IF(OR(D1180="",E1180=""),"",E1180*(1+D1180/30))</f>
        <v/>
      </c>
      <c r="J1180">
        <f>IF(I1180="","",IF(I1180&gt;=MAXIFS($I$2:$I$5001,$B$2:$B$5001,B1180,$A$2:$A$5001,"&lt;="&amp;A1180),"PR",""))</f>
        <v/>
      </c>
    </row>
    <row r="1181">
      <c r="A1181" s="7" t="n"/>
      <c r="H1181" s="11">
        <f>IF(OR(D1181="",E1181=""),"",D1181*E1181)</f>
        <v/>
      </c>
      <c r="I1181" s="8">
        <f>IF(OR(D1181="",E1181=""),"",E1181*(1+D1181/30))</f>
        <v/>
      </c>
      <c r="J1181">
        <f>IF(I1181="","",IF(I1181&gt;=MAXIFS($I$2:$I$5001,$B$2:$B$5001,B1181,$A$2:$A$5001,"&lt;="&amp;A1181),"PR",""))</f>
        <v/>
      </c>
    </row>
    <row r="1182">
      <c r="A1182" s="7" t="n"/>
      <c r="H1182" s="11">
        <f>IF(OR(D1182="",E1182=""),"",D1182*E1182)</f>
        <v/>
      </c>
      <c r="I1182" s="8">
        <f>IF(OR(D1182="",E1182=""),"",E1182*(1+D1182/30))</f>
        <v/>
      </c>
      <c r="J1182">
        <f>IF(I1182="","",IF(I1182&gt;=MAXIFS($I$2:$I$5001,$B$2:$B$5001,B1182,$A$2:$A$5001,"&lt;="&amp;A1182),"PR",""))</f>
        <v/>
      </c>
    </row>
    <row r="1183">
      <c r="A1183" s="7" t="n"/>
      <c r="H1183" s="11">
        <f>IF(OR(D1183="",E1183=""),"",D1183*E1183)</f>
        <v/>
      </c>
      <c r="I1183" s="8">
        <f>IF(OR(D1183="",E1183=""),"",E1183*(1+D1183/30))</f>
        <v/>
      </c>
      <c r="J1183">
        <f>IF(I1183="","",IF(I1183&gt;=MAXIFS($I$2:$I$5001,$B$2:$B$5001,B1183,$A$2:$A$5001,"&lt;="&amp;A1183),"PR",""))</f>
        <v/>
      </c>
    </row>
    <row r="1184">
      <c r="A1184" s="7" t="n"/>
      <c r="H1184" s="11">
        <f>IF(OR(D1184="",E1184=""),"",D1184*E1184)</f>
        <v/>
      </c>
      <c r="I1184" s="8">
        <f>IF(OR(D1184="",E1184=""),"",E1184*(1+D1184/30))</f>
        <v/>
      </c>
      <c r="J1184">
        <f>IF(I1184="","",IF(I1184&gt;=MAXIFS($I$2:$I$5001,$B$2:$B$5001,B1184,$A$2:$A$5001,"&lt;="&amp;A1184),"PR",""))</f>
        <v/>
      </c>
    </row>
    <row r="1185">
      <c r="A1185" s="7" t="n"/>
      <c r="H1185" s="11">
        <f>IF(OR(D1185="",E1185=""),"",D1185*E1185)</f>
        <v/>
      </c>
      <c r="I1185" s="8">
        <f>IF(OR(D1185="",E1185=""),"",E1185*(1+D1185/30))</f>
        <v/>
      </c>
      <c r="J1185">
        <f>IF(I1185="","",IF(I1185&gt;=MAXIFS($I$2:$I$5001,$B$2:$B$5001,B1185,$A$2:$A$5001,"&lt;="&amp;A1185),"PR",""))</f>
        <v/>
      </c>
    </row>
    <row r="1186">
      <c r="A1186" s="7" t="n"/>
      <c r="H1186" s="11">
        <f>IF(OR(D1186="",E1186=""),"",D1186*E1186)</f>
        <v/>
      </c>
      <c r="I1186" s="8">
        <f>IF(OR(D1186="",E1186=""),"",E1186*(1+D1186/30))</f>
        <v/>
      </c>
      <c r="J1186">
        <f>IF(I1186="","",IF(I1186&gt;=MAXIFS($I$2:$I$5001,$B$2:$B$5001,B1186,$A$2:$A$5001,"&lt;="&amp;A1186),"PR",""))</f>
        <v/>
      </c>
    </row>
    <row r="1187">
      <c r="A1187" s="7" t="n"/>
      <c r="H1187" s="11">
        <f>IF(OR(D1187="",E1187=""),"",D1187*E1187)</f>
        <v/>
      </c>
      <c r="I1187" s="8">
        <f>IF(OR(D1187="",E1187=""),"",E1187*(1+D1187/30))</f>
        <v/>
      </c>
      <c r="J1187">
        <f>IF(I1187="","",IF(I1187&gt;=MAXIFS($I$2:$I$5001,$B$2:$B$5001,B1187,$A$2:$A$5001,"&lt;="&amp;A1187),"PR",""))</f>
        <v/>
      </c>
    </row>
    <row r="1188">
      <c r="A1188" s="7" t="n"/>
      <c r="H1188" s="11">
        <f>IF(OR(D1188="",E1188=""),"",D1188*E1188)</f>
        <v/>
      </c>
      <c r="I1188" s="8">
        <f>IF(OR(D1188="",E1188=""),"",E1188*(1+D1188/30))</f>
        <v/>
      </c>
      <c r="J1188">
        <f>IF(I1188="","",IF(I1188&gt;=MAXIFS($I$2:$I$5001,$B$2:$B$5001,B1188,$A$2:$A$5001,"&lt;="&amp;A1188),"PR",""))</f>
        <v/>
      </c>
    </row>
    <row r="1189">
      <c r="A1189" s="7" t="n"/>
      <c r="H1189" s="11">
        <f>IF(OR(D1189="",E1189=""),"",D1189*E1189)</f>
        <v/>
      </c>
      <c r="I1189" s="8">
        <f>IF(OR(D1189="",E1189=""),"",E1189*(1+D1189/30))</f>
        <v/>
      </c>
      <c r="J1189">
        <f>IF(I1189="","",IF(I1189&gt;=MAXIFS($I$2:$I$5001,$B$2:$B$5001,B1189,$A$2:$A$5001,"&lt;="&amp;A1189),"PR",""))</f>
        <v/>
      </c>
    </row>
    <row r="1190">
      <c r="A1190" s="7" t="n"/>
      <c r="H1190" s="11">
        <f>IF(OR(D1190="",E1190=""),"",D1190*E1190)</f>
        <v/>
      </c>
      <c r="I1190" s="8">
        <f>IF(OR(D1190="",E1190=""),"",E1190*(1+D1190/30))</f>
        <v/>
      </c>
      <c r="J1190">
        <f>IF(I1190="","",IF(I1190&gt;=MAXIFS($I$2:$I$5001,$B$2:$B$5001,B1190,$A$2:$A$5001,"&lt;="&amp;A1190),"PR",""))</f>
        <v/>
      </c>
    </row>
    <row r="1191">
      <c r="A1191" s="7" t="n"/>
      <c r="H1191" s="11">
        <f>IF(OR(D1191="",E1191=""),"",D1191*E1191)</f>
        <v/>
      </c>
      <c r="I1191" s="8">
        <f>IF(OR(D1191="",E1191=""),"",E1191*(1+D1191/30))</f>
        <v/>
      </c>
      <c r="J1191">
        <f>IF(I1191="","",IF(I1191&gt;=MAXIFS($I$2:$I$5001,$B$2:$B$5001,B1191,$A$2:$A$5001,"&lt;="&amp;A1191),"PR",""))</f>
        <v/>
      </c>
    </row>
    <row r="1192">
      <c r="A1192" s="7" t="n"/>
      <c r="H1192" s="11">
        <f>IF(OR(D1192="",E1192=""),"",D1192*E1192)</f>
        <v/>
      </c>
      <c r="I1192" s="8">
        <f>IF(OR(D1192="",E1192=""),"",E1192*(1+D1192/30))</f>
        <v/>
      </c>
      <c r="J1192">
        <f>IF(I1192="","",IF(I1192&gt;=MAXIFS($I$2:$I$5001,$B$2:$B$5001,B1192,$A$2:$A$5001,"&lt;="&amp;A1192),"PR",""))</f>
        <v/>
      </c>
    </row>
    <row r="1193">
      <c r="A1193" s="7" t="n"/>
      <c r="H1193" s="11">
        <f>IF(OR(D1193="",E1193=""),"",D1193*E1193)</f>
        <v/>
      </c>
      <c r="I1193" s="8">
        <f>IF(OR(D1193="",E1193=""),"",E1193*(1+D1193/30))</f>
        <v/>
      </c>
      <c r="J1193">
        <f>IF(I1193="","",IF(I1193&gt;=MAXIFS($I$2:$I$5001,$B$2:$B$5001,B1193,$A$2:$A$5001,"&lt;="&amp;A1193),"PR",""))</f>
        <v/>
      </c>
    </row>
    <row r="1194">
      <c r="A1194" s="7" t="n"/>
      <c r="H1194" s="11">
        <f>IF(OR(D1194="",E1194=""),"",D1194*E1194)</f>
        <v/>
      </c>
      <c r="I1194" s="8">
        <f>IF(OR(D1194="",E1194=""),"",E1194*(1+D1194/30))</f>
        <v/>
      </c>
      <c r="J1194">
        <f>IF(I1194="","",IF(I1194&gt;=MAXIFS($I$2:$I$5001,$B$2:$B$5001,B1194,$A$2:$A$5001,"&lt;="&amp;A1194),"PR",""))</f>
        <v/>
      </c>
    </row>
    <row r="1195">
      <c r="A1195" s="7" t="n"/>
      <c r="H1195" s="11">
        <f>IF(OR(D1195="",E1195=""),"",D1195*E1195)</f>
        <v/>
      </c>
      <c r="I1195" s="8">
        <f>IF(OR(D1195="",E1195=""),"",E1195*(1+D1195/30))</f>
        <v/>
      </c>
      <c r="J1195">
        <f>IF(I1195="","",IF(I1195&gt;=MAXIFS($I$2:$I$5001,$B$2:$B$5001,B1195,$A$2:$A$5001,"&lt;="&amp;A1195),"PR",""))</f>
        <v/>
      </c>
    </row>
    <row r="1196">
      <c r="A1196" s="7" t="n"/>
      <c r="H1196" s="11">
        <f>IF(OR(D1196="",E1196=""),"",D1196*E1196)</f>
        <v/>
      </c>
      <c r="I1196" s="8">
        <f>IF(OR(D1196="",E1196=""),"",E1196*(1+D1196/30))</f>
        <v/>
      </c>
      <c r="J1196">
        <f>IF(I1196="","",IF(I1196&gt;=MAXIFS($I$2:$I$5001,$B$2:$B$5001,B1196,$A$2:$A$5001,"&lt;="&amp;A1196),"PR",""))</f>
        <v/>
      </c>
    </row>
    <row r="1197">
      <c r="A1197" s="7" t="n"/>
      <c r="H1197" s="11">
        <f>IF(OR(D1197="",E1197=""),"",D1197*E1197)</f>
        <v/>
      </c>
      <c r="I1197" s="8">
        <f>IF(OR(D1197="",E1197=""),"",E1197*(1+D1197/30))</f>
        <v/>
      </c>
      <c r="J1197">
        <f>IF(I1197="","",IF(I1197&gt;=MAXIFS($I$2:$I$5001,$B$2:$B$5001,B1197,$A$2:$A$5001,"&lt;="&amp;A1197),"PR",""))</f>
        <v/>
      </c>
    </row>
    <row r="1198">
      <c r="A1198" s="7" t="n"/>
      <c r="H1198" s="11">
        <f>IF(OR(D1198="",E1198=""),"",D1198*E1198)</f>
        <v/>
      </c>
      <c r="I1198" s="8">
        <f>IF(OR(D1198="",E1198=""),"",E1198*(1+D1198/30))</f>
        <v/>
      </c>
      <c r="J1198">
        <f>IF(I1198="","",IF(I1198&gt;=MAXIFS($I$2:$I$5001,$B$2:$B$5001,B1198,$A$2:$A$5001,"&lt;="&amp;A1198),"PR",""))</f>
        <v/>
      </c>
    </row>
    <row r="1199">
      <c r="A1199" s="7" t="n"/>
      <c r="H1199" s="11">
        <f>IF(OR(D1199="",E1199=""),"",D1199*E1199)</f>
        <v/>
      </c>
      <c r="I1199" s="8">
        <f>IF(OR(D1199="",E1199=""),"",E1199*(1+D1199/30))</f>
        <v/>
      </c>
      <c r="J1199">
        <f>IF(I1199="","",IF(I1199&gt;=MAXIFS($I$2:$I$5001,$B$2:$B$5001,B1199,$A$2:$A$5001,"&lt;="&amp;A1199),"PR",""))</f>
        <v/>
      </c>
    </row>
    <row r="1200">
      <c r="A1200" s="7" t="n"/>
      <c r="H1200" s="11">
        <f>IF(OR(D1200="",E1200=""),"",D1200*E1200)</f>
        <v/>
      </c>
      <c r="I1200" s="8">
        <f>IF(OR(D1200="",E1200=""),"",E1200*(1+D1200/30))</f>
        <v/>
      </c>
      <c r="J1200">
        <f>IF(I1200="","",IF(I1200&gt;=MAXIFS($I$2:$I$5001,$B$2:$B$5001,B1200,$A$2:$A$5001,"&lt;="&amp;A1200),"PR",""))</f>
        <v/>
      </c>
    </row>
    <row r="1201">
      <c r="A1201" s="7" t="n"/>
      <c r="H1201" s="11">
        <f>IF(OR(D1201="",E1201=""),"",D1201*E1201)</f>
        <v/>
      </c>
      <c r="I1201" s="8">
        <f>IF(OR(D1201="",E1201=""),"",E1201*(1+D1201/30))</f>
        <v/>
      </c>
      <c r="J1201">
        <f>IF(I1201="","",IF(I1201&gt;=MAXIFS($I$2:$I$5001,$B$2:$B$5001,B1201,$A$2:$A$5001,"&lt;="&amp;A1201),"PR",""))</f>
        <v/>
      </c>
    </row>
    <row r="1202">
      <c r="A1202" s="7" t="n"/>
      <c r="H1202" s="11">
        <f>IF(OR(D1202="",E1202=""),"",D1202*E1202)</f>
        <v/>
      </c>
      <c r="I1202" s="8">
        <f>IF(OR(D1202="",E1202=""),"",E1202*(1+D1202/30))</f>
        <v/>
      </c>
      <c r="J1202">
        <f>IF(I1202="","",IF(I1202&gt;=MAXIFS($I$2:$I$5001,$B$2:$B$5001,B1202,$A$2:$A$5001,"&lt;="&amp;A1202),"PR",""))</f>
        <v/>
      </c>
    </row>
    <row r="1203">
      <c r="A1203" s="7" t="n"/>
      <c r="H1203" s="11">
        <f>IF(OR(D1203="",E1203=""),"",D1203*E1203)</f>
        <v/>
      </c>
      <c r="I1203" s="8">
        <f>IF(OR(D1203="",E1203=""),"",E1203*(1+D1203/30))</f>
        <v/>
      </c>
      <c r="J1203">
        <f>IF(I1203="","",IF(I1203&gt;=MAXIFS($I$2:$I$5001,$B$2:$B$5001,B1203,$A$2:$A$5001,"&lt;="&amp;A1203),"PR",""))</f>
        <v/>
      </c>
    </row>
    <row r="1204">
      <c r="A1204" s="7" t="n"/>
      <c r="H1204" s="11">
        <f>IF(OR(D1204="",E1204=""),"",D1204*E1204)</f>
        <v/>
      </c>
      <c r="I1204" s="8">
        <f>IF(OR(D1204="",E1204=""),"",E1204*(1+D1204/30))</f>
        <v/>
      </c>
      <c r="J1204">
        <f>IF(I1204="","",IF(I1204&gt;=MAXIFS($I$2:$I$5001,$B$2:$B$5001,B1204,$A$2:$A$5001,"&lt;="&amp;A1204),"PR",""))</f>
        <v/>
      </c>
    </row>
    <row r="1205">
      <c r="A1205" s="7" t="n"/>
      <c r="H1205" s="11">
        <f>IF(OR(D1205="",E1205=""),"",D1205*E1205)</f>
        <v/>
      </c>
      <c r="I1205" s="8">
        <f>IF(OR(D1205="",E1205=""),"",E1205*(1+D1205/30))</f>
        <v/>
      </c>
      <c r="J1205">
        <f>IF(I1205="","",IF(I1205&gt;=MAXIFS($I$2:$I$5001,$B$2:$B$5001,B1205,$A$2:$A$5001,"&lt;="&amp;A1205),"PR",""))</f>
        <v/>
      </c>
    </row>
    <row r="1206">
      <c r="A1206" s="7" t="n"/>
      <c r="H1206" s="11">
        <f>IF(OR(D1206="",E1206=""),"",D1206*E1206)</f>
        <v/>
      </c>
      <c r="I1206" s="8">
        <f>IF(OR(D1206="",E1206=""),"",E1206*(1+D1206/30))</f>
        <v/>
      </c>
      <c r="J1206">
        <f>IF(I1206="","",IF(I1206&gt;=MAXIFS($I$2:$I$5001,$B$2:$B$5001,B1206,$A$2:$A$5001,"&lt;="&amp;A1206),"PR",""))</f>
        <v/>
      </c>
    </row>
    <row r="1207">
      <c r="A1207" s="7" t="n"/>
      <c r="H1207" s="11">
        <f>IF(OR(D1207="",E1207=""),"",D1207*E1207)</f>
        <v/>
      </c>
      <c r="I1207" s="8">
        <f>IF(OR(D1207="",E1207=""),"",E1207*(1+D1207/30))</f>
        <v/>
      </c>
      <c r="J1207">
        <f>IF(I1207="","",IF(I1207&gt;=MAXIFS($I$2:$I$5001,$B$2:$B$5001,B1207,$A$2:$A$5001,"&lt;="&amp;A1207),"PR",""))</f>
        <v/>
      </c>
    </row>
    <row r="1208">
      <c r="A1208" s="7" t="n"/>
      <c r="H1208" s="11">
        <f>IF(OR(D1208="",E1208=""),"",D1208*E1208)</f>
        <v/>
      </c>
      <c r="I1208" s="8">
        <f>IF(OR(D1208="",E1208=""),"",E1208*(1+D1208/30))</f>
        <v/>
      </c>
      <c r="J1208">
        <f>IF(I1208="","",IF(I1208&gt;=MAXIFS($I$2:$I$5001,$B$2:$B$5001,B1208,$A$2:$A$5001,"&lt;="&amp;A1208),"PR",""))</f>
        <v/>
      </c>
    </row>
    <row r="1209">
      <c r="A1209" s="7" t="n"/>
      <c r="H1209" s="11">
        <f>IF(OR(D1209="",E1209=""),"",D1209*E1209)</f>
        <v/>
      </c>
      <c r="I1209" s="8">
        <f>IF(OR(D1209="",E1209=""),"",E1209*(1+D1209/30))</f>
        <v/>
      </c>
      <c r="J1209">
        <f>IF(I1209="","",IF(I1209&gt;=MAXIFS($I$2:$I$5001,$B$2:$B$5001,B1209,$A$2:$A$5001,"&lt;="&amp;A1209),"PR",""))</f>
        <v/>
      </c>
    </row>
    <row r="1210">
      <c r="A1210" s="7" t="n"/>
      <c r="H1210" s="11">
        <f>IF(OR(D1210="",E1210=""),"",D1210*E1210)</f>
        <v/>
      </c>
      <c r="I1210" s="8">
        <f>IF(OR(D1210="",E1210=""),"",E1210*(1+D1210/30))</f>
        <v/>
      </c>
      <c r="J1210">
        <f>IF(I1210="","",IF(I1210&gt;=MAXIFS($I$2:$I$5001,$B$2:$B$5001,B1210,$A$2:$A$5001,"&lt;="&amp;A1210),"PR",""))</f>
        <v/>
      </c>
    </row>
    <row r="1211">
      <c r="A1211" s="7" t="n"/>
      <c r="H1211" s="11">
        <f>IF(OR(D1211="",E1211=""),"",D1211*E1211)</f>
        <v/>
      </c>
      <c r="I1211" s="8">
        <f>IF(OR(D1211="",E1211=""),"",E1211*(1+D1211/30))</f>
        <v/>
      </c>
      <c r="J1211">
        <f>IF(I1211="","",IF(I1211&gt;=MAXIFS($I$2:$I$5001,$B$2:$B$5001,B1211,$A$2:$A$5001,"&lt;="&amp;A1211),"PR",""))</f>
        <v/>
      </c>
    </row>
    <row r="1212">
      <c r="A1212" s="7" t="n"/>
      <c r="H1212" s="11">
        <f>IF(OR(D1212="",E1212=""),"",D1212*E1212)</f>
        <v/>
      </c>
      <c r="I1212" s="8">
        <f>IF(OR(D1212="",E1212=""),"",E1212*(1+D1212/30))</f>
        <v/>
      </c>
      <c r="J1212">
        <f>IF(I1212="","",IF(I1212&gt;=MAXIFS($I$2:$I$5001,$B$2:$B$5001,B1212,$A$2:$A$5001,"&lt;="&amp;A1212),"PR",""))</f>
        <v/>
      </c>
    </row>
    <row r="1213">
      <c r="A1213" s="7" t="n"/>
      <c r="H1213" s="11">
        <f>IF(OR(D1213="",E1213=""),"",D1213*E1213)</f>
        <v/>
      </c>
      <c r="I1213" s="8">
        <f>IF(OR(D1213="",E1213=""),"",E1213*(1+D1213/30))</f>
        <v/>
      </c>
      <c r="J1213">
        <f>IF(I1213="","",IF(I1213&gt;=MAXIFS($I$2:$I$5001,$B$2:$B$5001,B1213,$A$2:$A$5001,"&lt;="&amp;A1213),"PR",""))</f>
        <v/>
      </c>
    </row>
    <row r="1214">
      <c r="A1214" s="7" t="n"/>
      <c r="H1214" s="11">
        <f>IF(OR(D1214="",E1214=""),"",D1214*E1214)</f>
        <v/>
      </c>
      <c r="I1214" s="8">
        <f>IF(OR(D1214="",E1214=""),"",E1214*(1+D1214/30))</f>
        <v/>
      </c>
      <c r="J1214">
        <f>IF(I1214="","",IF(I1214&gt;=MAXIFS($I$2:$I$5001,$B$2:$B$5001,B1214,$A$2:$A$5001,"&lt;="&amp;A1214),"PR",""))</f>
        <v/>
      </c>
    </row>
    <row r="1215">
      <c r="A1215" s="7" t="n"/>
      <c r="H1215" s="11">
        <f>IF(OR(D1215="",E1215=""),"",D1215*E1215)</f>
        <v/>
      </c>
      <c r="I1215" s="8">
        <f>IF(OR(D1215="",E1215=""),"",E1215*(1+D1215/30))</f>
        <v/>
      </c>
      <c r="J1215">
        <f>IF(I1215="","",IF(I1215&gt;=MAXIFS($I$2:$I$5001,$B$2:$B$5001,B1215,$A$2:$A$5001,"&lt;="&amp;A1215),"PR",""))</f>
        <v/>
      </c>
    </row>
    <row r="1216">
      <c r="A1216" s="7" t="n"/>
      <c r="H1216" s="11">
        <f>IF(OR(D1216="",E1216=""),"",D1216*E1216)</f>
        <v/>
      </c>
      <c r="I1216" s="8">
        <f>IF(OR(D1216="",E1216=""),"",E1216*(1+D1216/30))</f>
        <v/>
      </c>
      <c r="J1216">
        <f>IF(I1216="","",IF(I1216&gt;=MAXIFS($I$2:$I$5001,$B$2:$B$5001,B1216,$A$2:$A$5001,"&lt;="&amp;A1216),"PR",""))</f>
        <v/>
      </c>
    </row>
    <row r="1217">
      <c r="A1217" s="7" t="n"/>
      <c r="H1217" s="11">
        <f>IF(OR(D1217="",E1217=""),"",D1217*E1217)</f>
        <v/>
      </c>
      <c r="I1217" s="8">
        <f>IF(OR(D1217="",E1217=""),"",E1217*(1+D1217/30))</f>
        <v/>
      </c>
      <c r="J1217">
        <f>IF(I1217="","",IF(I1217&gt;=MAXIFS($I$2:$I$5001,$B$2:$B$5001,B1217,$A$2:$A$5001,"&lt;="&amp;A1217),"PR",""))</f>
        <v/>
      </c>
    </row>
    <row r="1218">
      <c r="A1218" s="7" t="n"/>
      <c r="H1218" s="11">
        <f>IF(OR(D1218="",E1218=""),"",D1218*E1218)</f>
        <v/>
      </c>
      <c r="I1218" s="8">
        <f>IF(OR(D1218="",E1218=""),"",E1218*(1+D1218/30))</f>
        <v/>
      </c>
      <c r="J1218">
        <f>IF(I1218="","",IF(I1218&gt;=MAXIFS($I$2:$I$5001,$B$2:$B$5001,B1218,$A$2:$A$5001,"&lt;="&amp;A1218),"PR",""))</f>
        <v/>
      </c>
    </row>
    <row r="1219">
      <c r="A1219" s="7" t="n"/>
      <c r="H1219" s="11">
        <f>IF(OR(D1219="",E1219=""),"",D1219*E1219)</f>
        <v/>
      </c>
      <c r="I1219" s="8">
        <f>IF(OR(D1219="",E1219=""),"",E1219*(1+D1219/30))</f>
        <v/>
      </c>
      <c r="J1219">
        <f>IF(I1219="","",IF(I1219&gt;=MAXIFS($I$2:$I$5001,$B$2:$B$5001,B1219,$A$2:$A$5001,"&lt;="&amp;A1219),"PR",""))</f>
        <v/>
      </c>
    </row>
    <row r="1220">
      <c r="A1220" s="7" t="n"/>
      <c r="H1220" s="11">
        <f>IF(OR(D1220="",E1220=""),"",D1220*E1220)</f>
        <v/>
      </c>
      <c r="I1220" s="8">
        <f>IF(OR(D1220="",E1220=""),"",E1220*(1+D1220/30))</f>
        <v/>
      </c>
      <c r="J1220">
        <f>IF(I1220="","",IF(I1220&gt;=MAXIFS($I$2:$I$5001,$B$2:$B$5001,B1220,$A$2:$A$5001,"&lt;="&amp;A1220),"PR",""))</f>
        <v/>
      </c>
    </row>
    <row r="1221">
      <c r="A1221" s="7" t="n"/>
      <c r="H1221" s="11">
        <f>IF(OR(D1221="",E1221=""),"",D1221*E1221)</f>
        <v/>
      </c>
      <c r="I1221" s="8">
        <f>IF(OR(D1221="",E1221=""),"",E1221*(1+D1221/30))</f>
        <v/>
      </c>
      <c r="J1221">
        <f>IF(I1221="","",IF(I1221&gt;=MAXIFS($I$2:$I$5001,$B$2:$B$5001,B1221,$A$2:$A$5001,"&lt;="&amp;A1221),"PR",""))</f>
        <v/>
      </c>
    </row>
    <row r="1222">
      <c r="A1222" s="7" t="n"/>
      <c r="H1222" s="11">
        <f>IF(OR(D1222="",E1222=""),"",D1222*E1222)</f>
        <v/>
      </c>
      <c r="I1222" s="8">
        <f>IF(OR(D1222="",E1222=""),"",E1222*(1+D1222/30))</f>
        <v/>
      </c>
      <c r="J1222">
        <f>IF(I1222="","",IF(I1222&gt;=MAXIFS($I$2:$I$5001,$B$2:$B$5001,B1222,$A$2:$A$5001,"&lt;="&amp;A1222),"PR",""))</f>
        <v/>
      </c>
    </row>
    <row r="1223">
      <c r="A1223" s="7" t="n"/>
      <c r="H1223" s="11">
        <f>IF(OR(D1223="",E1223=""),"",D1223*E1223)</f>
        <v/>
      </c>
      <c r="I1223" s="8">
        <f>IF(OR(D1223="",E1223=""),"",E1223*(1+D1223/30))</f>
        <v/>
      </c>
      <c r="J1223">
        <f>IF(I1223="","",IF(I1223&gt;=MAXIFS($I$2:$I$5001,$B$2:$B$5001,B1223,$A$2:$A$5001,"&lt;="&amp;A1223),"PR",""))</f>
        <v/>
      </c>
    </row>
    <row r="1224">
      <c r="A1224" s="7" t="n"/>
      <c r="H1224" s="11">
        <f>IF(OR(D1224="",E1224=""),"",D1224*E1224)</f>
        <v/>
      </c>
      <c r="I1224" s="8">
        <f>IF(OR(D1224="",E1224=""),"",E1224*(1+D1224/30))</f>
        <v/>
      </c>
      <c r="J1224">
        <f>IF(I1224="","",IF(I1224&gt;=MAXIFS($I$2:$I$5001,$B$2:$B$5001,B1224,$A$2:$A$5001,"&lt;="&amp;A1224),"PR",""))</f>
        <v/>
      </c>
    </row>
    <row r="1225">
      <c r="A1225" s="7" t="n"/>
      <c r="H1225" s="11">
        <f>IF(OR(D1225="",E1225=""),"",D1225*E1225)</f>
        <v/>
      </c>
      <c r="I1225" s="8">
        <f>IF(OR(D1225="",E1225=""),"",E1225*(1+D1225/30))</f>
        <v/>
      </c>
      <c r="J1225">
        <f>IF(I1225="","",IF(I1225&gt;=MAXIFS($I$2:$I$5001,$B$2:$B$5001,B1225,$A$2:$A$5001,"&lt;="&amp;A1225),"PR",""))</f>
        <v/>
      </c>
    </row>
    <row r="1226">
      <c r="A1226" s="7" t="n"/>
      <c r="H1226" s="11">
        <f>IF(OR(D1226="",E1226=""),"",D1226*E1226)</f>
        <v/>
      </c>
      <c r="I1226" s="8">
        <f>IF(OR(D1226="",E1226=""),"",E1226*(1+D1226/30))</f>
        <v/>
      </c>
      <c r="J1226">
        <f>IF(I1226="","",IF(I1226&gt;=MAXIFS($I$2:$I$5001,$B$2:$B$5001,B1226,$A$2:$A$5001,"&lt;="&amp;A1226),"PR",""))</f>
        <v/>
      </c>
    </row>
    <row r="1227">
      <c r="A1227" s="7" t="n"/>
      <c r="H1227" s="11">
        <f>IF(OR(D1227="",E1227=""),"",D1227*E1227)</f>
        <v/>
      </c>
      <c r="I1227" s="8">
        <f>IF(OR(D1227="",E1227=""),"",E1227*(1+D1227/30))</f>
        <v/>
      </c>
      <c r="J1227">
        <f>IF(I1227="","",IF(I1227&gt;=MAXIFS($I$2:$I$5001,$B$2:$B$5001,B1227,$A$2:$A$5001,"&lt;="&amp;A1227),"PR",""))</f>
        <v/>
      </c>
    </row>
    <row r="1228">
      <c r="A1228" s="7" t="n"/>
      <c r="H1228" s="11">
        <f>IF(OR(D1228="",E1228=""),"",D1228*E1228)</f>
        <v/>
      </c>
      <c r="I1228" s="8">
        <f>IF(OR(D1228="",E1228=""),"",E1228*(1+D1228/30))</f>
        <v/>
      </c>
      <c r="J1228">
        <f>IF(I1228="","",IF(I1228&gt;=MAXIFS($I$2:$I$5001,$B$2:$B$5001,B1228,$A$2:$A$5001,"&lt;="&amp;A1228),"PR",""))</f>
        <v/>
      </c>
    </row>
    <row r="1229">
      <c r="A1229" s="7" t="n"/>
      <c r="H1229" s="11">
        <f>IF(OR(D1229="",E1229=""),"",D1229*E1229)</f>
        <v/>
      </c>
      <c r="I1229" s="8">
        <f>IF(OR(D1229="",E1229=""),"",E1229*(1+D1229/30))</f>
        <v/>
      </c>
      <c r="J1229">
        <f>IF(I1229="","",IF(I1229&gt;=MAXIFS($I$2:$I$5001,$B$2:$B$5001,B1229,$A$2:$A$5001,"&lt;="&amp;A1229),"PR",""))</f>
        <v/>
      </c>
    </row>
    <row r="1230">
      <c r="A1230" s="7" t="n"/>
      <c r="H1230" s="11">
        <f>IF(OR(D1230="",E1230=""),"",D1230*E1230)</f>
        <v/>
      </c>
      <c r="I1230" s="8">
        <f>IF(OR(D1230="",E1230=""),"",E1230*(1+D1230/30))</f>
        <v/>
      </c>
      <c r="J1230">
        <f>IF(I1230="","",IF(I1230&gt;=MAXIFS($I$2:$I$5001,$B$2:$B$5001,B1230,$A$2:$A$5001,"&lt;="&amp;A1230),"PR",""))</f>
        <v/>
      </c>
    </row>
    <row r="1231">
      <c r="A1231" s="7" t="n"/>
      <c r="H1231" s="11">
        <f>IF(OR(D1231="",E1231=""),"",D1231*E1231)</f>
        <v/>
      </c>
      <c r="I1231" s="8">
        <f>IF(OR(D1231="",E1231=""),"",E1231*(1+D1231/30))</f>
        <v/>
      </c>
      <c r="J1231">
        <f>IF(I1231="","",IF(I1231&gt;=MAXIFS($I$2:$I$5001,$B$2:$B$5001,B1231,$A$2:$A$5001,"&lt;="&amp;A1231),"PR",""))</f>
        <v/>
      </c>
    </row>
    <row r="1232">
      <c r="A1232" s="7" t="n"/>
      <c r="H1232" s="11">
        <f>IF(OR(D1232="",E1232=""),"",D1232*E1232)</f>
        <v/>
      </c>
      <c r="I1232" s="8">
        <f>IF(OR(D1232="",E1232=""),"",E1232*(1+D1232/30))</f>
        <v/>
      </c>
      <c r="J1232">
        <f>IF(I1232="","",IF(I1232&gt;=MAXIFS($I$2:$I$5001,$B$2:$B$5001,B1232,$A$2:$A$5001,"&lt;="&amp;A1232),"PR",""))</f>
        <v/>
      </c>
    </row>
    <row r="1233">
      <c r="A1233" s="7" t="n"/>
      <c r="H1233" s="11">
        <f>IF(OR(D1233="",E1233=""),"",D1233*E1233)</f>
        <v/>
      </c>
      <c r="I1233" s="8">
        <f>IF(OR(D1233="",E1233=""),"",E1233*(1+D1233/30))</f>
        <v/>
      </c>
      <c r="J1233">
        <f>IF(I1233="","",IF(I1233&gt;=MAXIFS($I$2:$I$5001,$B$2:$B$5001,B1233,$A$2:$A$5001,"&lt;="&amp;A1233),"PR",""))</f>
        <v/>
      </c>
    </row>
    <row r="1234">
      <c r="A1234" s="7" t="n"/>
      <c r="H1234" s="11">
        <f>IF(OR(D1234="",E1234=""),"",D1234*E1234)</f>
        <v/>
      </c>
      <c r="I1234" s="8">
        <f>IF(OR(D1234="",E1234=""),"",E1234*(1+D1234/30))</f>
        <v/>
      </c>
      <c r="J1234">
        <f>IF(I1234="","",IF(I1234&gt;=MAXIFS($I$2:$I$5001,$B$2:$B$5001,B1234,$A$2:$A$5001,"&lt;="&amp;A1234),"PR",""))</f>
        <v/>
      </c>
    </row>
    <row r="1235">
      <c r="A1235" s="7" t="n"/>
      <c r="H1235" s="11">
        <f>IF(OR(D1235="",E1235=""),"",D1235*E1235)</f>
        <v/>
      </c>
      <c r="I1235" s="8">
        <f>IF(OR(D1235="",E1235=""),"",E1235*(1+D1235/30))</f>
        <v/>
      </c>
      <c r="J1235">
        <f>IF(I1235="","",IF(I1235&gt;=MAXIFS($I$2:$I$5001,$B$2:$B$5001,B1235,$A$2:$A$5001,"&lt;="&amp;A1235),"PR",""))</f>
        <v/>
      </c>
    </row>
    <row r="1236">
      <c r="A1236" s="7" t="n"/>
      <c r="H1236" s="11">
        <f>IF(OR(D1236="",E1236=""),"",D1236*E1236)</f>
        <v/>
      </c>
      <c r="I1236" s="8">
        <f>IF(OR(D1236="",E1236=""),"",E1236*(1+D1236/30))</f>
        <v/>
      </c>
      <c r="J1236">
        <f>IF(I1236="","",IF(I1236&gt;=MAXIFS($I$2:$I$5001,$B$2:$B$5001,B1236,$A$2:$A$5001,"&lt;="&amp;A1236),"PR",""))</f>
        <v/>
      </c>
    </row>
    <row r="1237">
      <c r="A1237" s="7" t="n"/>
      <c r="H1237" s="11">
        <f>IF(OR(D1237="",E1237=""),"",D1237*E1237)</f>
        <v/>
      </c>
      <c r="I1237" s="8">
        <f>IF(OR(D1237="",E1237=""),"",E1237*(1+D1237/30))</f>
        <v/>
      </c>
      <c r="J1237">
        <f>IF(I1237="","",IF(I1237&gt;=MAXIFS($I$2:$I$5001,$B$2:$B$5001,B1237,$A$2:$A$5001,"&lt;="&amp;A1237),"PR",""))</f>
        <v/>
      </c>
    </row>
    <row r="1238">
      <c r="A1238" s="7" t="n"/>
      <c r="H1238" s="11">
        <f>IF(OR(D1238="",E1238=""),"",D1238*E1238)</f>
        <v/>
      </c>
      <c r="I1238" s="8">
        <f>IF(OR(D1238="",E1238=""),"",E1238*(1+D1238/30))</f>
        <v/>
      </c>
      <c r="J1238">
        <f>IF(I1238="","",IF(I1238&gt;=MAXIFS($I$2:$I$5001,$B$2:$B$5001,B1238,$A$2:$A$5001,"&lt;="&amp;A1238),"PR",""))</f>
        <v/>
      </c>
    </row>
    <row r="1239">
      <c r="A1239" s="7" t="n"/>
      <c r="H1239" s="11">
        <f>IF(OR(D1239="",E1239=""),"",D1239*E1239)</f>
        <v/>
      </c>
      <c r="I1239" s="8">
        <f>IF(OR(D1239="",E1239=""),"",E1239*(1+D1239/30))</f>
        <v/>
      </c>
      <c r="J1239">
        <f>IF(I1239="","",IF(I1239&gt;=MAXIFS($I$2:$I$5001,$B$2:$B$5001,B1239,$A$2:$A$5001,"&lt;="&amp;A1239),"PR",""))</f>
        <v/>
      </c>
    </row>
    <row r="1240">
      <c r="A1240" s="7" t="n"/>
      <c r="H1240" s="11">
        <f>IF(OR(D1240="",E1240=""),"",D1240*E1240)</f>
        <v/>
      </c>
      <c r="I1240" s="8">
        <f>IF(OR(D1240="",E1240=""),"",E1240*(1+D1240/30))</f>
        <v/>
      </c>
      <c r="J1240">
        <f>IF(I1240="","",IF(I1240&gt;=MAXIFS($I$2:$I$5001,$B$2:$B$5001,B1240,$A$2:$A$5001,"&lt;="&amp;A1240),"PR",""))</f>
        <v/>
      </c>
    </row>
    <row r="1241">
      <c r="A1241" s="7" t="n"/>
      <c r="H1241" s="11">
        <f>IF(OR(D1241="",E1241=""),"",D1241*E1241)</f>
        <v/>
      </c>
      <c r="I1241" s="8">
        <f>IF(OR(D1241="",E1241=""),"",E1241*(1+D1241/30))</f>
        <v/>
      </c>
      <c r="J1241">
        <f>IF(I1241="","",IF(I1241&gt;=MAXIFS($I$2:$I$5001,$B$2:$B$5001,B1241,$A$2:$A$5001,"&lt;="&amp;A1241),"PR",""))</f>
        <v/>
      </c>
    </row>
    <row r="1242">
      <c r="A1242" s="7" t="n"/>
      <c r="H1242" s="11">
        <f>IF(OR(D1242="",E1242=""),"",D1242*E1242)</f>
        <v/>
      </c>
      <c r="I1242" s="8">
        <f>IF(OR(D1242="",E1242=""),"",E1242*(1+D1242/30))</f>
        <v/>
      </c>
      <c r="J1242">
        <f>IF(I1242="","",IF(I1242&gt;=MAXIFS($I$2:$I$5001,$B$2:$B$5001,B1242,$A$2:$A$5001,"&lt;="&amp;A1242),"PR",""))</f>
        <v/>
      </c>
    </row>
    <row r="1243">
      <c r="A1243" s="7" t="n"/>
      <c r="H1243" s="11">
        <f>IF(OR(D1243="",E1243=""),"",D1243*E1243)</f>
        <v/>
      </c>
      <c r="I1243" s="8">
        <f>IF(OR(D1243="",E1243=""),"",E1243*(1+D1243/30))</f>
        <v/>
      </c>
      <c r="J1243">
        <f>IF(I1243="","",IF(I1243&gt;=MAXIFS($I$2:$I$5001,$B$2:$B$5001,B1243,$A$2:$A$5001,"&lt;="&amp;A1243),"PR",""))</f>
        <v/>
      </c>
    </row>
    <row r="1244">
      <c r="A1244" s="7" t="n"/>
      <c r="H1244" s="11">
        <f>IF(OR(D1244="",E1244=""),"",D1244*E1244)</f>
        <v/>
      </c>
      <c r="I1244" s="8">
        <f>IF(OR(D1244="",E1244=""),"",E1244*(1+D1244/30))</f>
        <v/>
      </c>
      <c r="J1244">
        <f>IF(I1244="","",IF(I1244&gt;=MAXIFS($I$2:$I$5001,$B$2:$B$5001,B1244,$A$2:$A$5001,"&lt;="&amp;A1244),"PR",""))</f>
        <v/>
      </c>
    </row>
    <row r="1245">
      <c r="A1245" s="7" t="n"/>
      <c r="H1245" s="11">
        <f>IF(OR(D1245="",E1245=""),"",D1245*E1245)</f>
        <v/>
      </c>
      <c r="I1245" s="8">
        <f>IF(OR(D1245="",E1245=""),"",E1245*(1+D1245/30))</f>
        <v/>
      </c>
      <c r="J1245">
        <f>IF(I1245="","",IF(I1245&gt;=MAXIFS($I$2:$I$5001,$B$2:$B$5001,B1245,$A$2:$A$5001,"&lt;="&amp;A1245),"PR",""))</f>
        <v/>
      </c>
    </row>
    <row r="1246">
      <c r="A1246" s="7" t="n"/>
      <c r="H1246" s="11">
        <f>IF(OR(D1246="",E1246=""),"",D1246*E1246)</f>
        <v/>
      </c>
      <c r="I1246" s="8">
        <f>IF(OR(D1246="",E1246=""),"",E1246*(1+D1246/30))</f>
        <v/>
      </c>
      <c r="J1246">
        <f>IF(I1246="","",IF(I1246&gt;=MAXIFS($I$2:$I$5001,$B$2:$B$5001,B1246,$A$2:$A$5001,"&lt;="&amp;A1246),"PR",""))</f>
        <v/>
      </c>
    </row>
    <row r="1247">
      <c r="A1247" s="7" t="n"/>
      <c r="H1247" s="11">
        <f>IF(OR(D1247="",E1247=""),"",D1247*E1247)</f>
        <v/>
      </c>
      <c r="I1247" s="8">
        <f>IF(OR(D1247="",E1247=""),"",E1247*(1+D1247/30))</f>
        <v/>
      </c>
      <c r="J1247">
        <f>IF(I1247="","",IF(I1247&gt;=MAXIFS($I$2:$I$5001,$B$2:$B$5001,B1247,$A$2:$A$5001,"&lt;="&amp;A1247),"PR",""))</f>
        <v/>
      </c>
    </row>
    <row r="1248">
      <c r="A1248" s="7" t="n"/>
      <c r="H1248" s="11">
        <f>IF(OR(D1248="",E1248=""),"",D1248*E1248)</f>
        <v/>
      </c>
      <c r="I1248" s="8">
        <f>IF(OR(D1248="",E1248=""),"",E1248*(1+D1248/30))</f>
        <v/>
      </c>
      <c r="J1248">
        <f>IF(I1248="","",IF(I1248&gt;=MAXIFS($I$2:$I$5001,$B$2:$B$5001,B1248,$A$2:$A$5001,"&lt;="&amp;A1248),"PR",""))</f>
        <v/>
      </c>
    </row>
    <row r="1249">
      <c r="A1249" s="7" t="n"/>
      <c r="H1249" s="11">
        <f>IF(OR(D1249="",E1249=""),"",D1249*E1249)</f>
        <v/>
      </c>
      <c r="I1249" s="8">
        <f>IF(OR(D1249="",E1249=""),"",E1249*(1+D1249/30))</f>
        <v/>
      </c>
      <c r="J1249">
        <f>IF(I1249="","",IF(I1249&gt;=MAXIFS($I$2:$I$5001,$B$2:$B$5001,B1249,$A$2:$A$5001,"&lt;="&amp;A1249),"PR",""))</f>
        <v/>
      </c>
    </row>
    <row r="1250">
      <c r="A1250" s="7" t="n"/>
      <c r="H1250" s="11">
        <f>IF(OR(D1250="",E1250=""),"",D1250*E1250)</f>
        <v/>
      </c>
      <c r="I1250" s="8">
        <f>IF(OR(D1250="",E1250=""),"",E1250*(1+D1250/30))</f>
        <v/>
      </c>
      <c r="J1250">
        <f>IF(I1250="","",IF(I1250&gt;=MAXIFS($I$2:$I$5001,$B$2:$B$5001,B1250,$A$2:$A$5001,"&lt;="&amp;A1250),"PR",""))</f>
        <v/>
      </c>
    </row>
    <row r="1251">
      <c r="A1251" s="7" t="n"/>
      <c r="H1251" s="11">
        <f>IF(OR(D1251="",E1251=""),"",D1251*E1251)</f>
        <v/>
      </c>
      <c r="I1251" s="8">
        <f>IF(OR(D1251="",E1251=""),"",E1251*(1+D1251/30))</f>
        <v/>
      </c>
      <c r="J1251">
        <f>IF(I1251="","",IF(I1251&gt;=MAXIFS($I$2:$I$5001,$B$2:$B$5001,B1251,$A$2:$A$5001,"&lt;="&amp;A1251),"PR",""))</f>
        <v/>
      </c>
    </row>
    <row r="1252">
      <c r="A1252" s="7" t="n"/>
      <c r="H1252" s="11">
        <f>IF(OR(D1252="",E1252=""),"",D1252*E1252)</f>
        <v/>
      </c>
      <c r="I1252" s="8">
        <f>IF(OR(D1252="",E1252=""),"",E1252*(1+D1252/30))</f>
        <v/>
      </c>
      <c r="J1252">
        <f>IF(I1252="","",IF(I1252&gt;=MAXIFS($I$2:$I$5001,$B$2:$B$5001,B1252,$A$2:$A$5001,"&lt;="&amp;A1252),"PR",""))</f>
        <v/>
      </c>
    </row>
    <row r="1253">
      <c r="A1253" s="7" t="n"/>
      <c r="H1253" s="11">
        <f>IF(OR(D1253="",E1253=""),"",D1253*E1253)</f>
        <v/>
      </c>
      <c r="I1253" s="8">
        <f>IF(OR(D1253="",E1253=""),"",E1253*(1+D1253/30))</f>
        <v/>
      </c>
      <c r="J1253">
        <f>IF(I1253="","",IF(I1253&gt;=MAXIFS($I$2:$I$5001,$B$2:$B$5001,B1253,$A$2:$A$5001,"&lt;="&amp;A1253),"PR",""))</f>
        <v/>
      </c>
    </row>
    <row r="1254">
      <c r="A1254" s="7" t="n"/>
      <c r="H1254" s="11">
        <f>IF(OR(D1254="",E1254=""),"",D1254*E1254)</f>
        <v/>
      </c>
      <c r="I1254" s="8">
        <f>IF(OR(D1254="",E1254=""),"",E1254*(1+D1254/30))</f>
        <v/>
      </c>
      <c r="J1254">
        <f>IF(I1254="","",IF(I1254&gt;=MAXIFS($I$2:$I$5001,$B$2:$B$5001,B1254,$A$2:$A$5001,"&lt;="&amp;A1254),"PR",""))</f>
        <v/>
      </c>
    </row>
    <row r="1255">
      <c r="A1255" s="7" t="n"/>
      <c r="H1255" s="11">
        <f>IF(OR(D1255="",E1255=""),"",D1255*E1255)</f>
        <v/>
      </c>
      <c r="I1255" s="8">
        <f>IF(OR(D1255="",E1255=""),"",E1255*(1+D1255/30))</f>
        <v/>
      </c>
      <c r="J1255">
        <f>IF(I1255="","",IF(I1255&gt;=MAXIFS($I$2:$I$5001,$B$2:$B$5001,B1255,$A$2:$A$5001,"&lt;="&amp;A1255),"PR",""))</f>
        <v/>
      </c>
    </row>
    <row r="1256">
      <c r="A1256" s="7" t="n"/>
      <c r="H1256" s="11">
        <f>IF(OR(D1256="",E1256=""),"",D1256*E1256)</f>
        <v/>
      </c>
      <c r="I1256" s="8">
        <f>IF(OR(D1256="",E1256=""),"",E1256*(1+D1256/30))</f>
        <v/>
      </c>
      <c r="J1256">
        <f>IF(I1256="","",IF(I1256&gt;=MAXIFS($I$2:$I$5001,$B$2:$B$5001,B1256,$A$2:$A$5001,"&lt;="&amp;A1256),"PR",""))</f>
        <v/>
      </c>
    </row>
    <row r="1257">
      <c r="A1257" s="7" t="n"/>
      <c r="H1257" s="11">
        <f>IF(OR(D1257="",E1257=""),"",D1257*E1257)</f>
        <v/>
      </c>
      <c r="I1257" s="8">
        <f>IF(OR(D1257="",E1257=""),"",E1257*(1+D1257/30))</f>
        <v/>
      </c>
      <c r="J1257">
        <f>IF(I1257="","",IF(I1257&gt;=MAXIFS($I$2:$I$5001,$B$2:$B$5001,B1257,$A$2:$A$5001,"&lt;="&amp;A1257),"PR",""))</f>
        <v/>
      </c>
    </row>
    <row r="1258">
      <c r="A1258" s="7" t="n"/>
      <c r="H1258" s="11">
        <f>IF(OR(D1258="",E1258=""),"",D1258*E1258)</f>
        <v/>
      </c>
      <c r="I1258" s="8">
        <f>IF(OR(D1258="",E1258=""),"",E1258*(1+D1258/30))</f>
        <v/>
      </c>
      <c r="J1258">
        <f>IF(I1258="","",IF(I1258&gt;=MAXIFS($I$2:$I$5001,$B$2:$B$5001,B1258,$A$2:$A$5001,"&lt;="&amp;A1258),"PR",""))</f>
        <v/>
      </c>
    </row>
    <row r="1259">
      <c r="A1259" s="7" t="n"/>
      <c r="H1259" s="11">
        <f>IF(OR(D1259="",E1259=""),"",D1259*E1259)</f>
        <v/>
      </c>
      <c r="I1259" s="8">
        <f>IF(OR(D1259="",E1259=""),"",E1259*(1+D1259/30))</f>
        <v/>
      </c>
      <c r="J1259">
        <f>IF(I1259="","",IF(I1259&gt;=MAXIFS($I$2:$I$5001,$B$2:$B$5001,B1259,$A$2:$A$5001,"&lt;="&amp;A1259),"PR",""))</f>
        <v/>
      </c>
    </row>
    <row r="1260">
      <c r="A1260" s="7" t="n"/>
      <c r="H1260" s="11">
        <f>IF(OR(D1260="",E1260=""),"",D1260*E1260)</f>
        <v/>
      </c>
      <c r="I1260" s="8">
        <f>IF(OR(D1260="",E1260=""),"",E1260*(1+D1260/30))</f>
        <v/>
      </c>
      <c r="J1260">
        <f>IF(I1260="","",IF(I1260&gt;=MAXIFS($I$2:$I$5001,$B$2:$B$5001,B1260,$A$2:$A$5001,"&lt;="&amp;A1260),"PR",""))</f>
        <v/>
      </c>
    </row>
    <row r="1261">
      <c r="A1261" s="7" t="n"/>
      <c r="H1261" s="11">
        <f>IF(OR(D1261="",E1261=""),"",D1261*E1261)</f>
        <v/>
      </c>
      <c r="I1261" s="8">
        <f>IF(OR(D1261="",E1261=""),"",E1261*(1+D1261/30))</f>
        <v/>
      </c>
      <c r="J1261">
        <f>IF(I1261="","",IF(I1261&gt;=MAXIFS($I$2:$I$5001,$B$2:$B$5001,B1261,$A$2:$A$5001,"&lt;="&amp;A1261),"PR",""))</f>
        <v/>
      </c>
    </row>
    <row r="1262">
      <c r="A1262" s="7" t="n"/>
      <c r="H1262" s="11">
        <f>IF(OR(D1262="",E1262=""),"",D1262*E1262)</f>
        <v/>
      </c>
      <c r="I1262" s="8">
        <f>IF(OR(D1262="",E1262=""),"",E1262*(1+D1262/30))</f>
        <v/>
      </c>
      <c r="J1262">
        <f>IF(I1262="","",IF(I1262&gt;=MAXIFS($I$2:$I$5001,$B$2:$B$5001,B1262,$A$2:$A$5001,"&lt;="&amp;A1262),"PR",""))</f>
        <v/>
      </c>
    </row>
    <row r="1263">
      <c r="A1263" s="7" t="n"/>
      <c r="H1263" s="11">
        <f>IF(OR(D1263="",E1263=""),"",D1263*E1263)</f>
        <v/>
      </c>
      <c r="I1263" s="8">
        <f>IF(OR(D1263="",E1263=""),"",E1263*(1+D1263/30))</f>
        <v/>
      </c>
      <c r="J1263">
        <f>IF(I1263="","",IF(I1263&gt;=MAXIFS($I$2:$I$5001,$B$2:$B$5001,B1263,$A$2:$A$5001,"&lt;="&amp;A1263),"PR",""))</f>
        <v/>
      </c>
    </row>
    <row r="1264">
      <c r="A1264" s="7" t="n"/>
      <c r="H1264" s="11">
        <f>IF(OR(D1264="",E1264=""),"",D1264*E1264)</f>
        <v/>
      </c>
      <c r="I1264" s="8">
        <f>IF(OR(D1264="",E1264=""),"",E1264*(1+D1264/30))</f>
        <v/>
      </c>
      <c r="J1264">
        <f>IF(I1264="","",IF(I1264&gt;=MAXIFS($I$2:$I$5001,$B$2:$B$5001,B1264,$A$2:$A$5001,"&lt;="&amp;A1264),"PR",""))</f>
        <v/>
      </c>
    </row>
    <row r="1265">
      <c r="A1265" s="7" t="n"/>
      <c r="H1265" s="11">
        <f>IF(OR(D1265="",E1265=""),"",D1265*E1265)</f>
        <v/>
      </c>
      <c r="I1265" s="8">
        <f>IF(OR(D1265="",E1265=""),"",E1265*(1+D1265/30))</f>
        <v/>
      </c>
      <c r="J1265">
        <f>IF(I1265="","",IF(I1265&gt;=MAXIFS($I$2:$I$5001,$B$2:$B$5001,B1265,$A$2:$A$5001,"&lt;="&amp;A1265),"PR",""))</f>
        <v/>
      </c>
    </row>
    <row r="1266">
      <c r="A1266" s="7" t="n"/>
      <c r="H1266" s="11">
        <f>IF(OR(D1266="",E1266=""),"",D1266*E1266)</f>
        <v/>
      </c>
      <c r="I1266" s="8">
        <f>IF(OR(D1266="",E1266=""),"",E1266*(1+D1266/30))</f>
        <v/>
      </c>
      <c r="J1266">
        <f>IF(I1266="","",IF(I1266&gt;=MAXIFS($I$2:$I$5001,$B$2:$B$5001,B1266,$A$2:$A$5001,"&lt;="&amp;A1266),"PR",""))</f>
        <v/>
      </c>
    </row>
    <row r="1267">
      <c r="A1267" s="7" t="n"/>
      <c r="H1267" s="11">
        <f>IF(OR(D1267="",E1267=""),"",D1267*E1267)</f>
        <v/>
      </c>
      <c r="I1267" s="8">
        <f>IF(OR(D1267="",E1267=""),"",E1267*(1+D1267/30))</f>
        <v/>
      </c>
      <c r="J1267">
        <f>IF(I1267="","",IF(I1267&gt;=MAXIFS($I$2:$I$5001,$B$2:$B$5001,B1267,$A$2:$A$5001,"&lt;="&amp;A1267),"PR",""))</f>
        <v/>
      </c>
    </row>
    <row r="1268">
      <c r="A1268" s="7" t="n"/>
      <c r="H1268" s="11">
        <f>IF(OR(D1268="",E1268=""),"",D1268*E1268)</f>
        <v/>
      </c>
      <c r="I1268" s="8">
        <f>IF(OR(D1268="",E1268=""),"",E1268*(1+D1268/30))</f>
        <v/>
      </c>
      <c r="J1268">
        <f>IF(I1268="","",IF(I1268&gt;=MAXIFS($I$2:$I$5001,$B$2:$B$5001,B1268,$A$2:$A$5001,"&lt;="&amp;A1268),"PR",""))</f>
        <v/>
      </c>
    </row>
    <row r="1269">
      <c r="A1269" s="7" t="n"/>
      <c r="H1269" s="11">
        <f>IF(OR(D1269="",E1269=""),"",D1269*E1269)</f>
        <v/>
      </c>
      <c r="I1269" s="8">
        <f>IF(OR(D1269="",E1269=""),"",E1269*(1+D1269/30))</f>
        <v/>
      </c>
      <c r="J1269">
        <f>IF(I1269="","",IF(I1269&gt;=MAXIFS($I$2:$I$5001,$B$2:$B$5001,B1269,$A$2:$A$5001,"&lt;="&amp;A1269),"PR",""))</f>
        <v/>
      </c>
    </row>
    <row r="1270">
      <c r="A1270" s="7" t="n"/>
      <c r="H1270" s="11">
        <f>IF(OR(D1270="",E1270=""),"",D1270*E1270)</f>
        <v/>
      </c>
      <c r="I1270" s="8">
        <f>IF(OR(D1270="",E1270=""),"",E1270*(1+D1270/30))</f>
        <v/>
      </c>
      <c r="J1270">
        <f>IF(I1270="","",IF(I1270&gt;=MAXIFS($I$2:$I$5001,$B$2:$B$5001,B1270,$A$2:$A$5001,"&lt;="&amp;A1270),"PR",""))</f>
        <v/>
      </c>
    </row>
    <row r="1271">
      <c r="A1271" s="7" t="n"/>
      <c r="H1271" s="11">
        <f>IF(OR(D1271="",E1271=""),"",D1271*E1271)</f>
        <v/>
      </c>
      <c r="I1271" s="8">
        <f>IF(OR(D1271="",E1271=""),"",E1271*(1+D1271/30))</f>
        <v/>
      </c>
      <c r="J1271">
        <f>IF(I1271="","",IF(I1271&gt;=MAXIFS($I$2:$I$5001,$B$2:$B$5001,B1271,$A$2:$A$5001,"&lt;="&amp;A1271),"PR",""))</f>
        <v/>
      </c>
    </row>
    <row r="1272">
      <c r="A1272" s="7" t="n"/>
      <c r="H1272" s="11">
        <f>IF(OR(D1272="",E1272=""),"",D1272*E1272)</f>
        <v/>
      </c>
      <c r="I1272" s="8">
        <f>IF(OR(D1272="",E1272=""),"",E1272*(1+D1272/30))</f>
        <v/>
      </c>
      <c r="J1272">
        <f>IF(I1272="","",IF(I1272&gt;=MAXIFS($I$2:$I$5001,$B$2:$B$5001,B1272,$A$2:$A$5001,"&lt;="&amp;A1272),"PR",""))</f>
        <v/>
      </c>
    </row>
    <row r="1273">
      <c r="A1273" s="7" t="n"/>
      <c r="H1273" s="11">
        <f>IF(OR(D1273="",E1273=""),"",D1273*E1273)</f>
        <v/>
      </c>
      <c r="I1273" s="8">
        <f>IF(OR(D1273="",E1273=""),"",E1273*(1+D1273/30))</f>
        <v/>
      </c>
      <c r="J1273">
        <f>IF(I1273="","",IF(I1273&gt;=MAXIFS($I$2:$I$5001,$B$2:$B$5001,B1273,$A$2:$A$5001,"&lt;="&amp;A1273),"PR",""))</f>
        <v/>
      </c>
    </row>
    <row r="1274">
      <c r="A1274" s="7" t="n"/>
      <c r="H1274" s="11">
        <f>IF(OR(D1274="",E1274=""),"",D1274*E1274)</f>
        <v/>
      </c>
      <c r="I1274" s="8">
        <f>IF(OR(D1274="",E1274=""),"",E1274*(1+D1274/30))</f>
        <v/>
      </c>
      <c r="J1274">
        <f>IF(I1274="","",IF(I1274&gt;=MAXIFS($I$2:$I$5001,$B$2:$B$5001,B1274,$A$2:$A$5001,"&lt;="&amp;A1274),"PR",""))</f>
        <v/>
      </c>
    </row>
    <row r="1275">
      <c r="A1275" s="7" t="n"/>
      <c r="H1275" s="11">
        <f>IF(OR(D1275="",E1275=""),"",D1275*E1275)</f>
        <v/>
      </c>
      <c r="I1275" s="8">
        <f>IF(OR(D1275="",E1275=""),"",E1275*(1+D1275/30))</f>
        <v/>
      </c>
      <c r="J1275">
        <f>IF(I1275="","",IF(I1275&gt;=MAXIFS($I$2:$I$5001,$B$2:$B$5001,B1275,$A$2:$A$5001,"&lt;="&amp;A1275),"PR",""))</f>
        <v/>
      </c>
    </row>
    <row r="1276">
      <c r="A1276" s="7" t="n"/>
      <c r="H1276" s="11">
        <f>IF(OR(D1276="",E1276=""),"",D1276*E1276)</f>
        <v/>
      </c>
      <c r="I1276" s="8">
        <f>IF(OR(D1276="",E1276=""),"",E1276*(1+D1276/30))</f>
        <v/>
      </c>
      <c r="J1276">
        <f>IF(I1276="","",IF(I1276&gt;=MAXIFS($I$2:$I$5001,$B$2:$B$5001,B1276,$A$2:$A$5001,"&lt;="&amp;A1276),"PR",""))</f>
        <v/>
      </c>
    </row>
    <row r="1277">
      <c r="A1277" s="7" t="n"/>
      <c r="H1277" s="11">
        <f>IF(OR(D1277="",E1277=""),"",D1277*E1277)</f>
        <v/>
      </c>
      <c r="I1277" s="8">
        <f>IF(OR(D1277="",E1277=""),"",E1277*(1+D1277/30))</f>
        <v/>
      </c>
      <c r="J1277">
        <f>IF(I1277="","",IF(I1277&gt;=MAXIFS($I$2:$I$5001,$B$2:$B$5001,B1277,$A$2:$A$5001,"&lt;="&amp;A1277),"PR",""))</f>
        <v/>
      </c>
    </row>
    <row r="1278">
      <c r="A1278" s="7" t="n"/>
      <c r="H1278" s="11">
        <f>IF(OR(D1278="",E1278=""),"",D1278*E1278)</f>
        <v/>
      </c>
      <c r="I1278" s="8">
        <f>IF(OR(D1278="",E1278=""),"",E1278*(1+D1278/30))</f>
        <v/>
      </c>
      <c r="J1278">
        <f>IF(I1278="","",IF(I1278&gt;=MAXIFS($I$2:$I$5001,$B$2:$B$5001,B1278,$A$2:$A$5001,"&lt;="&amp;A1278),"PR",""))</f>
        <v/>
      </c>
    </row>
    <row r="1279">
      <c r="A1279" s="7" t="n"/>
      <c r="H1279" s="11">
        <f>IF(OR(D1279="",E1279=""),"",D1279*E1279)</f>
        <v/>
      </c>
      <c r="I1279" s="8">
        <f>IF(OR(D1279="",E1279=""),"",E1279*(1+D1279/30))</f>
        <v/>
      </c>
      <c r="J1279">
        <f>IF(I1279="","",IF(I1279&gt;=MAXIFS($I$2:$I$5001,$B$2:$B$5001,B1279,$A$2:$A$5001,"&lt;="&amp;A1279),"PR",""))</f>
        <v/>
      </c>
    </row>
    <row r="1280">
      <c r="A1280" s="7" t="n"/>
      <c r="H1280" s="11">
        <f>IF(OR(D1280="",E1280=""),"",D1280*E1280)</f>
        <v/>
      </c>
      <c r="I1280" s="8">
        <f>IF(OR(D1280="",E1280=""),"",E1280*(1+D1280/30))</f>
        <v/>
      </c>
      <c r="J1280">
        <f>IF(I1280="","",IF(I1280&gt;=MAXIFS($I$2:$I$5001,$B$2:$B$5001,B1280,$A$2:$A$5001,"&lt;="&amp;A1280),"PR",""))</f>
        <v/>
      </c>
    </row>
    <row r="1281">
      <c r="A1281" s="7" t="n"/>
      <c r="H1281" s="11">
        <f>IF(OR(D1281="",E1281=""),"",D1281*E1281)</f>
        <v/>
      </c>
      <c r="I1281" s="8">
        <f>IF(OR(D1281="",E1281=""),"",E1281*(1+D1281/30))</f>
        <v/>
      </c>
      <c r="J1281">
        <f>IF(I1281="","",IF(I1281&gt;=MAXIFS($I$2:$I$5001,$B$2:$B$5001,B1281,$A$2:$A$5001,"&lt;="&amp;A1281),"PR",""))</f>
        <v/>
      </c>
    </row>
    <row r="1282">
      <c r="A1282" s="7" t="n"/>
      <c r="H1282" s="11">
        <f>IF(OR(D1282="",E1282=""),"",D1282*E1282)</f>
        <v/>
      </c>
      <c r="I1282" s="8">
        <f>IF(OR(D1282="",E1282=""),"",E1282*(1+D1282/30))</f>
        <v/>
      </c>
      <c r="J1282">
        <f>IF(I1282="","",IF(I1282&gt;=MAXIFS($I$2:$I$5001,$B$2:$B$5001,B1282,$A$2:$A$5001,"&lt;="&amp;A1282),"PR",""))</f>
        <v/>
      </c>
    </row>
    <row r="1283">
      <c r="A1283" s="7" t="n"/>
      <c r="H1283" s="11">
        <f>IF(OR(D1283="",E1283=""),"",D1283*E1283)</f>
        <v/>
      </c>
      <c r="I1283" s="8">
        <f>IF(OR(D1283="",E1283=""),"",E1283*(1+D1283/30))</f>
        <v/>
      </c>
      <c r="J1283">
        <f>IF(I1283="","",IF(I1283&gt;=MAXIFS($I$2:$I$5001,$B$2:$B$5001,B1283,$A$2:$A$5001,"&lt;="&amp;A1283),"PR",""))</f>
        <v/>
      </c>
    </row>
    <row r="1284">
      <c r="A1284" s="7" t="n"/>
      <c r="H1284" s="11">
        <f>IF(OR(D1284="",E1284=""),"",D1284*E1284)</f>
        <v/>
      </c>
      <c r="I1284" s="8">
        <f>IF(OR(D1284="",E1284=""),"",E1284*(1+D1284/30))</f>
        <v/>
      </c>
      <c r="J1284">
        <f>IF(I1284="","",IF(I1284&gt;=MAXIFS($I$2:$I$5001,$B$2:$B$5001,B1284,$A$2:$A$5001,"&lt;="&amp;A1284),"PR",""))</f>
        <v/>
      </c>
    </row>
    <row r="1285">
      <c r="A1285" s="7" t="n"/>
      <c r="H1285" s="11">
        <f>IF(OR(D1285="",E1285=""),"",D1285*E1285)</f>
        <v/>
      </c>
      <c r="I1285" s="8">
        <f>IF(OR(D1285="",E1285=""),"",E1285*(1+D1285/30))</f>
        <v/>
      </c>
      <c r="J1285">
        <f>IF(I1285="","",IF(I1285&gt;=MAXIFS($I$2:$I$5001,$B$2:$B$5001,B1285,$A$2:$A$5001,"&lt;="&amp;A1285),"PR",""))</f>
        <v/>
      </c>
    </row>
    <row r="1286">
      <c r="A1286" s="7" t="n"/>
      <c r="H1286" s="11">
        <f>IF(OR(D1286="",E1286=""),"",D1286*E1286)</f>
        <v/>
      </c>
      <c r="I1286" s="8">
        <f>IF(OR(D1286="",E1286=""),"",E1286*(1+D1286/30))</f>
        <v/>
      </c>
      <c r="J1286">
        <f>IF(I1286="","",IF(I1286&gt;=MAXIFS($I$2:$I$5001,$B$2:$B$5001,B1286,$A$2:$A$5001,"&lt;="&amp;A1286),"PR",""))</f>
        <v/>
      </c>
    </row>
    <row r="1287">
      <c r="A1287" s="7" t="n"/>
      <c r="H1287" s="11">
        <f>IF(OR(D1287="",E1287=""),"",D1287*E1287)</f>
        <v/>
      </c>
      <c r="I1287" s="8">
        <f>IF(OR(D1287="",E1287=""),"",E1287*(1+D1287/30))</f>
        <v/>
      </c>
      <c r="J1287">
        <f>IF(I1287="","",IF(I1287&gt;=MAXIFS($I$2:$I$5001,$B$2:$B$5001,B1287,$A$2:$A$5001,"&lt;="&amp;A1287),"PR",""))</f>
        <v/>
      </c>
    </row>
    <row r="1288">
      <c r="A1288" s="7" t="n"/>
      <c r="H1288" s="11">
        <f>IF(OR(D1288="",E1288=""),"",D1288*E1288)</f>
        <v/>
      </c>
      <c r="I1288" s="8">
        <f>IF(OR(D1288="",E1288=""),"",E1288*(1+D1288/30))</f>
        <v/>
      </c>
      <c r="J1288">
        <f>IF(I1288="","",IF(I1288&gt;=MAXIFS($I$2:$I$5001,$B$2:$B$5001,B1288,$A$2:$A$5001,"&lt;="&amp;A1288),"PR",""))</f>
        <v/>
      </c>
    </row>
    <row r="1289">
      <c r="A1289" s="7" t="n"/>
      <c r="H1289" s="11">
        <f>IF(OR(D1289="",E1289=""),"",D1289*E1289)</f>
        <v/>
      </c>
      <c r="I1289" s="8">
        <f>IF(OR(D1289="",E1289=""),"",E1289*(1+D1289/30))</f>
        <v/>
      </c>
      <c r="J1289">
        <f>IF(I1289="","",IF(I1289&gt;=MAXIFS($I$2:$I$5001,$B$2:$B$5001,B1289,$A$2:$A$5001,"&lt;="&amp;A1289),"PR",""))</f>
        <v/>
      </c>
    </row>
    <row r="1290">
      <c r="A1290" s="7" t="n"/>
      <c r="H1290" s="11">
        <f>IF(OR(D1290="",E1290=""),"",D1290*E1290)</f>
        <v/>
      </c>
      <c r="I1290" s="8">
        <f>IF(OR(D1290="",E1290=""),"",E1290*(1+D1290/30))</f>
        <v/>
      </c>
      <c r="J1290">
        <f>IF(I1290="","",IF(I1290&gt;=MAXIFS($I$2:$I$5001,$B$2:$B$5001,B1290,$A$2:$A$5001,"&lt;="&amp;A1290),"PR",""))</f>
        <v/>
      </c>
    </row>
    <row r="1291">
      <c r="A1291" s="7" t="n"/>
      <c r="H1291" s="11">
        <f>IF(OR(D1291="",E1291=""),"",D1291*E1291)</f>
        <v/>
      </c>
      <c r="I1291" s="8">
        <f>IF(OR(D1291="",E1291=""),"",E1291*(1+D1291/30))</f>
        <v/>
      </c>
      <c r="J1291">
        <f>IF(I1291="","",IF(I1291&gt;=MAXIFS($I$2:$I$5001,$B$2:$B$5001,B1291,$A$2:$A$5001,"&lt;="&amp;A1291),"PR",""))</f>
        <v/>
      </c>
    </row>
    <row r="1292">
      <c r="A1292" s="7" t="n"/>
      <c r="H1292" s="11">
        <f>IF(OR(D1292="",E1292=""),"",D1292*E1292)</f>
        <v/>
      </c>
      <c r="I1292" s="8">
        <f>IF(OR(D1292="",E1292=""),"",E1292*(1+D1292/30))</f>
        <v/>
      </c>
      <c r="J1292">
        <f>IF(I1292="","",IF(I1292&gt;=MAXIFS($I$2:$I$5001,$B$2:$B$5001,B1292,$A$2:$A$5001,"&lt;="&amp;A1292),"PR",""))</f>
        <v/>
      </c>
    </row>
    <row r="1293">
      <c r="A1293" s="7" t="n"/>
      <c r="H1293" s="11">
        <f>IF(OR(D1293="",E1293=""),"",D1293*E1293)</f>
        <v/>
      </c>
      <c r="I1293" s="8">
        <f>IF(OR(D1293="",E1293=""),"",E1293*(1+D1293/30))</f>
        <v/>
      </c>
      <c r="J1293">
        <f>IF(I1293="","",IF(I1293&gt;=MAXIFS($I$2:$I$5001,$B$2:$B$5001,B1293,$A$2:$A$5001,"&lt;="&amp;A1293),"PR",""))</f>
        <v/>
      </c>
    </row>
    <row r="1294">
      <c r="A1294" s="7" t="n"/>
      <c r="H1294" s="11">
        <f>IF(OR(D1294="",E1294=""),"",D1294*E1294)</f>
        <v/>
      </c>
      <c r="I1294" s="8">
        <f>IF(OR(D1294="",E1294=""),"",E1294*(1+D1294/30))</f>
        <v/>
      </c>
      <c r="J1294">
        <f>IF(I1294="","",IF(I1294&gt;=MAXIFS($I$2:$I$5001,$B$2:$B$5001,B1294,$A$2:$A$5001,"&lt;="&amp;A1294),"PR",""))</f>
        <v/>
      </c>
    </row>
    <row r="1295">
      <c r="A1295" s="7" t="n"/>
      <c r="H1295" s="11">
        <f>IF(OR(D1295="",E1295=""),"",D1295*E1295)</f>
        <v/>
      </c>
      <c r="I1295" s="8">
        <f>IF(OR(D1295="",E1295=""),"",E1295*(1+D1295/30))</f>
        <v/>
      </c>
      <c r="J1295">
        <f>IF(I1295="","",IF(I1295&gt;=MAXIFS($I$2:$I$5001,$B$2:$B$5001,B1295,$A$2:$A$5001,"&lt;="&amp;A1295),"PR",""))</f>
        <v/>
      </c>
    </row>
    <row r="1296">
      <c r="A1296" s="7" t="n"/>
      <c r="H1296" s="11">
        <f>IF(OR(D1296="",E1296=""),"",D1296*E1296)</f>
        <v/>
      </c>
      <c r="I1296" s="8">
        <f>IF(OR(D1296="",E1296=""),"",E1296*(1+D1296/30))</f>
        <v/>
      </c>
      <c r="J1296">
        <f>IF(I1296="","",IF(I1296&gt;=MAXIFS($I$2:$I$5001,$B$2:$B$5001,B1296,$A$2:$A$5001,"&lt;="&amp;A1296),"PR",""))</f>
        <v/>
      </c>
    </row>
    <row r="1297">
      <c r="A1297" s="7" t="n"/>
      <c r="H1297" s="11">
        <f>IF(OR(D1297="",E1297=""),"",D1297*E1297)</f>
        <v/>
      </c>
      <c r="I1297" s="8">
        <f>IF(OR(D1297="",E1297=""),"",E1297*(1+D1297/30))</f>
        <v/>
      </c>
      <c r="J1297">
        <f>IF(I1297="","",IF(I1297&gt;=MAXIFS($I$2:$I$5001,$B$2:$B$5001,B1297,$A$2:$A$5001,"&lt;="&amp;A1297),"PR",""))</f>
        <v/>
      </c>
    </row>
    <row r="1298">
      <c r="A1298" s="7" t="n"/>
      <c r="H1298" s="11">
        <f>IF(OR(D1298="",E1298=""),"",D1298*E1298)</f>
        <v/>
      </c>
      <c r="I1298" s="8">
        <f>IF(OR(D1298="",E1298=""),"",E1298*(1+D1298/30))</f>
        <v/>
      </c>
      <c r="J1298">
        <f>IF(I1298="","",IF(I1298&gt;=MAXIFS($I$2:$I$5001,$B$2:$B$5001,B1298,$A$2:$A$5001,"&lt;="&amp;A1298),"PR",""))</f>
        <v/>
      </c>
    </row>
    <row r="1299">
      <c r="A1299" s="7" t="n"/>
      <c r="H1299" s="11">
        <f>IF(OR(D1299="",E1299=""),"",D1299*E1299)</f>
        <v/>
      </c>
      <c r="I1299" s="8">
        <f>IF(OR(D1299="",E1299=""),"",E1299*(1+D1299/30))</f>
        <v/>
      </c>
      <c r="J1299">
        <f>IF(I1299="","",IF(I1299&gt;=MAXIFS($I$2:$I$5001,$B$2:$B$5001,B1299,$A$2:$A$5001,"&lt;="&amp;A1299),"PR",""))</f>
        <v/>
      </c>
    </row>
    <row r="1300">
      <c r="A1300" s="7" t="n"/>
      <c r="H1300" s="11">
        <f>IF(OR(D1300="",E1300=""),"",D1300*E1300)</f>
        <v/>
      </c>
      <c r="I1300" s="8">
        <f>IF(OR(D1300="",E1300=""),"",E1300*(1+D1300/30))</f>
        <v/>
      </c>
      <c r="J1300">
        <f>IF(I1300="","",IF(I1300&gt;=MAXIFS($I$2:$I$5001,$B$2:$B$5001,B1300,$A$2:$A$5001,"&lt;="&amp;A1300),"PR",""))</f>
        <v/>
      </c>
    </row>
    <row r="1301">
      <c r="A1301" s="7" t="n"/>
      <c r="H1301" s="11">
        <f>IF(OR(D1301="",E1301=""),"",D1301*E1301)</f>
        <v/>
      </c>
      <c r="I1301" s="8">
        <f>IF(OR(D1301="",E1301=""),"",E1301*(1+D1301/30))</f>
        <v/>
      </c>
      <c r="J1301">
        <f>IF(I1301="","",IF(I1301&gt;=MAXIFS($I$2:$I$5001,$B$2:$B$5001,B1301,$A$2:$A$5001,"&lt;="&amp;A1301),"PR",""))</f>
        <v/>
      </c>
    </row>
    <row r="1302">
      <c r="A1302" s="7" t="n"/>
      <c r="H1302" s="11">
        <f>IF(OR(D1302="",E1302=""),"",D1302*E1302)</f>
        <v/>
      </c>
      <c r="I1302" s="8">
        <f>IF(OR(D1302="",E1302=""),"",E1302*(1+D1302/30))</f>
        <v/>
      </c>
      <c r="J1302">
        <f>IF(I1302="","",IF(I1302&gt;=MAXIFS($I$2:$I$5001,$B$2:$B$5001,B1302,$A$2:$A$5001,"&lt;="&amp;A1302),"PR",""))</f>
        <v/>
      </c>
    </row>
    <row r="1303">
      <c r="A1303" s="7" t="n"/>
      <c r="H1303" s="11">
        <f>IF(OR(D1303="",E1303=""),"",D1303*E1303)</f>
        <v/>
      </c>
      <c r="I1303" s="8">
        <f>IF(OR(D1303="",E1303=""),"",E1303*(1+D1303/30))</f>
        <v/>
      </c>
      <c r="J1303">
        <f>IF(I1303="","",IF(I1303&gt;=MAXIFS($I$2:$I$5001,$B$2:$B$5001,B1303,$A$2:$A$5001,"&lt;="&amp;A1303),"PR",""))</f>
        <v/>
      </c>
    </row>
    <row r="1304">
      <c r="A1304" s="7" t="n"/>
      <c r="H1304" s="11">
        <f>IF(OR(D1304="",E1304=""),"",D1304*E1304)</f>
        <v/>
      </c>
      <c r="I1304" s="8">
        <f>IF(OR(D1304="",E1304=""),"",E1304*(1+D1304/30))</f>
        <v/>
      </c>
      <c r="J1304">
        <f>IF(I1304="","",IF(I1304&gt;=MAXIFS($I$2:$I$5001,$B$2:$B$5001,B1304,$A$2:$A$5001,"&lt;="&amp;A1304),"PR",""))</f>
        <v/>
      </c>
    </row>
    <row r="1305">
      <c r="A1305" s="7" t="n"/>
      <c r="H1305" s="11">
        <f>IF(OR(D1305="",E1305=""),"",D1305*E1305)</f>
        <v/>
      </c>
      <c r="I1305" s="8">
        <f>IF(OR(D1305="",E1305=""),"",E1305*(1+D1305/30))</f>
        <v/>
      </c>
      <c r="J1305">
        <f>IF(I1305="","",IF(I1305&gt;=MAXIFS($I$2:$I$5001,$B$2:$B$5001,B1305,$A$2:$A$5001,"&lt;="&amp;A1305),"PR",""))</f>
        <v/>
      </c>
    </row>
    <row r="1306">
      <c r="A1306" s="7" t="n"/>
      <c r="H1306" s="11">
        <f>IF(OR(D1306="",E1306=""),"",D1306*E1306)</f>
        <v/>
      </c>
      <c r="I1306" s="8">
        <f>IF(OR(D1306="",E1306=""),"",E1306*(1+D1306/30))</f>
        <v/>
      </c>
      <c r="J1306">
        <f>IF(I1306="","",IF(I1306&gt;=MAXIFS($I$2:$I$5001,$B$2:$B$5001,B1306,$A$2:$A$5001,"&lt;="&amp;A1306),"PR",""))</f>
        <v/>
      </c>
    </row>
    <row r="1307">
      <c r="A1307" s="7" t="n"/>
      <c r="H1307" s="11">
        <f>IF(OR(D1307="",E1307=""),"",D1307*E1307)</f>
        <v/>
      </c>
      <c r="I1307" s="8">
        <f>IF(OR(D1307="",E1307=""),"",E1307*(1+D1307/30))</f>
        <v/>
      </c>
      <c r="J1307">
        <f>IF(I1307="","",IF(I1307&gt;=MAXIFS($I$2:$I$5001,$B$2:$B$5001,B1307,$A$2:$A$5001,"&lt;="&amp;A1307),"PR",""))</f>
        <v/>
      </c>
    </row>
    <row r="1308">
      <c r="A1308" s="7" t="n"/>
      <c r="H1308" s="11">
        <f>IF(OR(D1308="",E1308=""),"",D1308*E1308)</f>
        <v/>
      </c>
      <c r="I1308" s="8">
        <f>IF(OR(D1308="",E1308=""),"",E1308*(1+D1308/30))</f>
        <v/>
      </c>
      <c r="J1308">
        <f>IF(I1308="","",IF(I1308&gt;=MAXIFS($I$2:$I$5001,$B$2:$B$5001,B1308,$A$2:$A$5001,"&lt;="&amp;A1308),"PR",""))</f>
        <v/>
      </c>
    </row>
    <row r="1309">
      <c r="A1309" s="7" t="n"/>
      <c r="H1309" s="11">
        <f>IF(OR(D1309="",E1309=""),"",D1309*E1309)</f>
        <v/>
      </c>
      <c r="I1309" s="8">
        <f>IF(OR(D1309="",E1309=""),"",E1309*(1+D1309/30))</f>
        <v/>
      </c>
      <c r="J1309">
        <f>IF(I1309="","",IF(I1309&gt;=MAXIFS($I$2:$I$5001,$B$2:$B$5001,B1309,$A$2:$A$5001,"&lt;="&amp;A1309),"PR",""))</f>
        <v/>
      </c>
    </row>
    <row r="1310">
      <c r="A1310" s="7" t="n"/>
      <c r="H1310" s="11">
        <f>IF(OR(D1310="",E1310=""),"",D1310*E1310)</f>
        <v/>
      </c>
      <c r="I1310" s="8">
        <f>IF(OR(D1310="",E1310=""),"",E1310*(1+D1310/30))</f>
        <v/>
      </c>
      <c r="J1310">
        <f>IF(I1310="","",IF(I1310&gt;=MAXIFS($I$2:$I$5001,$B$2:$B$5001,B1310,$A$2:$A$5001,"&lt;="&amp;A1310),"PR",""))</f>
        <v/>
      </c>
    </row>
    <row r="1311">
      <c r="A1311" s="7" t="n"/>
      <c r="H1311" s="11">
        <f>IF(OR(D1311="",E1311=""),"",D1311*E1311)</f>
        <v/>
      </c>
      <c r="I1311" s="8">
        <f>IF(OR(D1311="",E1311=""),"",E1311*(1+D1311/30))</f>
        <v/>
      </c>
      <c r="J1311">
        <f>IF(I1311="","",IF(I1311&gt;=MAXIFS($I$2:$I$5001,$B$2:$B$5001,B1311,$A$2:$A$5001,"&lt;="&amp;A1311),"PR",""))</f>
        <v/>
      </c>
    </row>
    <row r="1312">
      <c r="A1312" s="7" t="n"/>
      <c r="H1312" s="11">
        <f>IF(OR(D1312="",E1312=""),"",D1312*E1312)</f>
        <v/>
      </c>
      <c r="I1312" s="8">
        <f>IF(OR(D1312="",E1312=""),"",E1312*(1+D1312/30))</f>
        <v/>
      </c>
      <c r="J1312">
        <f>IF(I1312="","",IF(I1312&gt;=MAXIFS($I$2:$I$5001,$B$2:$B$5001,B1312,$A$2:$A$5001,"&lt;="&amp;A1312),"PR",""))</f>
        <v/>
      </c>
    </row>
    <row r="1313">
      <c r="A1313" s="7" t="n"/>
      <c r="H1313" s="11">
        <f>IF(OR(D1313="",E1313=""),"",D1313*E1313)</f>
        <v/>
      </c>
      <c r="I1313" s="8">
        <f>IF(OR(D1313="",E1313=""),"",E1313*(1+D1313/30))</f>
        <v/>
      </c>
      <c r="J1313">
        <f>IF(I1313="","",IF(I1313&gt;=MAXIFS($I$2:$I$5001,$B$2:$B$5001,B1313,$A$2:$A$5001,"&lt;="&amp;A1313),"PR",""))</f>
        <v/>
      </c>
    </row>
    <row r="1314">
      <c r="A1314" s="7" t="n"/>
      <c r="H1314" s="11">
        <f>IF(OR(D1314="",E1314=""),"",D1314*E1314)</f>
        <v/>
      </c>
      <c r="I1314" s="8">
        <f>IF(OR(D1314="",E1314=""),"",E1314*(1+D1314/30))</f>
        <v/>
      </c>
      <c r="J1314">
        <f>IF(I1314="","",IF(I1314&gt;=MAXIFS($I$2:$I$5001,$B$2:$B$5001,B1314,$A$2:$A$5001,"&lt;="&amp;A1314),"PR",""))</f>
        <v/>
      </c>
    </row>
    <row r="1315">
      <c r="A1315" s="7" t="n"/>
      <c r="H1315" s="11">
        <f>IF(OR(D1315="",E1315=""),"",D1315*E1315)</f>
        <v/>
      </c>
      <c r="I1315" s="8">
        <f>IF(OR(D1315="",E1315=""),"",E1315*(1+D1315/30))</f>
        <v/>
      </c>
      <c r="J1315">
        <f>IF(I1315="","",IF(I1315&gt;=MAXIFS($I$2:$I$5001,$B$2:$B$5001,B1315,$A$2:$A$5001,"&lt;="&amp;A1315),"PR",""))</f>
        <v/>
      </c>
    </row>
    <row r="1316">
      <c r="A1316" s="7" t="n"/>
      <c r="H1316" s="11">
        <f>IF(OR(D1316="",E1316=""),"",D1316*E1316)</f>
        <v/>
      </c>
      <c r="I1316" s="8">
        <f>IF(OR(D1316="",E1316=""),"",E1316*(1+D1316/30))</f>
        <v/>
      </c>
      <c r="J1316">
        <f>IF(I1316="","",IF(I1316&gt;=MAXIFS($I$2:$I$5001,$B$2:$B$5001,B1316,$A$2:$A$5001,"&lt;="&amp;A1316),"PR",""))</f>
        <v/>
      </c>
    </row>
    <row r="1317">
      <c r="A1317" s="7" t="n"/>
      <c r="H1317" s="11">
        <f>IF(OR(D1317="",E1317=""),"",D1317*E1317)</f>
        <v/>
      </c>
      <c r="I1317" s="8">
        <f>IF(OR(D1317="",E1317=""),"",E1317*(1+D1317/30))</f>
        <v/>
      </c>
      <c r="J1317">
        <f>IF(I1317="","",IF(I1317&gt;=MAXIFS($I$2:$I$5001,$B$2:$B$5001,B1317,$A$2:$A$5001,"&lt;="&amp;A1317),"PR",""))</f>
        <v/>
      </c>
    </row>
    <row r="1318">
      <c r="A1318" s="7" t="n"/>
      <c r="H1318" s="11">
        <f>IF(OR(D1318="",E1318=""),"",D1318*E1318)</f>
        <v/>
      </c>
      <c r="I1318" s="8">
        <f>IF(OR(D1318="",E1318=""),"",E1318*(1+D1318/30))</f>
        <v/>
      </c>
      <c r="J1318">
        <f>IF(I1318="","",IF(I1318&gt;=MAXIFS($I$2:$I$5001,$B$2:$B$5001,B1318,$A$2:$A$5001,"&lt;="&amp;A1318),"PR",""))</f>
        <v/>
      </c>
    </row>
    <row r="1319">
      <c r="A1319" s="7" t="n"/>
      <c r="H1319" s="11">
        <f>IF(OR(D1319="",E1319=""),"",D1319*E1319)</f>
        <v/>
      </c>
      <c r="I1319" s="8">
        <f>IF(OR(D1319="",E1319=""),"",E1319*(1+D1319/30))</f>
        <v/>
      </c>
      <c r="J1319">
        <f>IF(I1319="","",IF(I1319&gt;=MAXIFS($I$2:$I$5001,$B$2:$B$5001,B1319,$A$2:$A$5001,"&lt;="&amp;A1319),"PR",""))</f>
        <v/>
      </c>
    </row>
    <row r="1320">
      <c r="A1320" s="7" t="n"/>
      <c r="H1320" s="11">
        <f>IF(OR(D1320="",E1320=""),"",D1320*E1320)</f>
        <v/>
      </c>
      <c r="I1320" s="8">
        <f>IF(OR(D1320="",E1320=""),"",E1320*(1+D1320/30))</f>
        <v/>
      </c>
      <c r="J1320">
        <f>IF(I1320="","",IF(I1320&gt;=MAXIFS($I$2:$I$5001,$B$2:$B$5001,B1320,$A$2:$A$5001,"&lt;="&amp;A1320),"PR",""))</f>
        <v/>
      </c>
    </row>
    <row r="1321">
      <c r="A1321" s="7" t="n"/>
      <c r="H1321" s="11">
        <f>IF(OR(D1321="",E1321=""),"",D1321*E1321)</f>
        <v/>
      </c>
      <c r="I1321" s="8">
        <f>IF(OR(D1321="",E1321=""),"",E1321*(1+D1321/30))</f>
        <v/>
      </c>
      <c r="J1321">
        <f>IF(I1321="","",IF(I1321&gt;=MAXIFS($I$2:$I$5001,$B$2:$B$5001,B1321,$A$2:$A$5001,"&lt;="&amp;A1321),"PR",""))</f>
        <v/>
      </c>
    </row>
    <row r="1322">
      <c r="A1322" s="7" t="n"/>
      <c r="H1322" s="11">
        <f>IF(OR(D1322="",E1322=""),"",D1322*E1322)</f>
        <v/>
      </c>
      <c r="I1322" s="8">
        <f>IF(OR(D1322="",E1322=""),"",E1322*(1+D1322/30))</f>
        <v/>
      </c>
      <c r="J1322">
        <f>IF(I1322="","",IF(I1322&gt;=MAXIFS($I$2:$I$5001,$B$2:$B$5001,B1322,$A$2:$A$5001,"&lt;="&amp;A1322),"PR",""))</f>
        <v/>
      </c>
    </row>
    <row r="1323">
      <c r="A1323" s="7" t="n"/>
      <c r="H1323" s="11">
        <f>IF(OR(D1323="",E1323=""),"",D1323*E1323)</f>
        <v/>
      </c>
      <c r="I1323" s="8">
        <f>IF(OR(D1323="",E1323=""),"",E1323*(1+D1323/30))</f>
        <v/>
      </c>
      <c r="J1323">
        <f>IF(I1323="","",IF(I1323&gt;=MAXIFS($I$2:$I$5001,$B$2:$B$5001,B1323,$A$2:$A$5001,"&lt;="&amp;A1323),"PR",""))</f>
        <v/>
      </c>
    </row>
    <row r="1324">
      <c r="A1324" s="7" t="n"/>
      <c r="H1324" s="11">
        <f>IF(OR(D1324="",E1324=""),"",D1324*E1324)</f>
        <v/>
      </c>
      <c r="I1324" s="8">
        <f>IF(OR(D1324="",E1324=""),"",E1324*(1+D1324/30))</f>
        <v/>
      </c>
      <c r="J1324">
        <f>IF(I1324="","",IF(I1324&gt;=MAXIFS($I$2:$I$5001,$B$2:$B$5001,B1324,$A$2:$A$5001,"&lt;="&amp;A1324),"PR",""))</f>
        <v/>
      </c>
    </row>
    <row r="1325">
      <c r="A1325" s="7" t="n"/>
      <c r="H1325" s="11">
        <f>IF(OR(D1325="",E1325=""),"",D1325*E1325)</f>
        <v/>
      </c>
      <c r="I1325" s="8">
        <f>IF(OR(D1325="",E1325=""),"",E1325*(1+D1325/30))</f>
        <v/>
      </c>
      <c r="J1325">
        <f>IF(I1325="","",IF(I1325&gt;=MAXIFS($I$2:$I$5001,$B$2:$B$5001,B1325,$A$2:$A$5001,"&lt;="&amp;A1325),"PR",""))</f>
        <v/>
      </c>
    </row>
    <row r="1326">
      <c r="A1326" s="7" t="n"/>
      <c r="H1326" s="11">
        <f>IF(OR(D1326="",E1326=""),"",D1326*E1326)</f>
        <v/>
      </c>
      <c r="I1326" s="8">
        <f>IF(OR(D1326="",E1326=""),"",E1326*(1+D1326/30))</f>
        <v/>
      </c>
      <c r="J1326">
        <f>IF(I1326="","",IF(I1326&gt;=MAXIFS($I$2:$I$5001,$B$2:$B$5001,B1326,$A$2:$A$5001,"&lt;="&amp;A1326),"PR",""))</f>
        <v/>
      </c>
    </row>
    <row r="1327">
      <c r="A1327" s="7" t="n"/>
      <c r="H1327" s="11">
        <f>IF(OR(D1327="",E1327=""),"",D1327*E1327)</f>
        <v/>
      </c>
      <c r="I1327" s="8">
        <f>IF(OR(D1327="",E1327=""),"",E1327*(1+D1327/30))</f>
        <v/>
      </c>
      <c r="J1327">
        <f>IF(I1327="","",IF(I1327&gt;=MAXIFS($I$2:$I$5001,$B$2:$B$5001,B1327,$A$2:$A$5001,"&lt;="&amp;A1327),"PR",""))</f>
        <v/>
      </c>
    </row>
    <row r="1328">
      <c r="A1328" s="7" t="n"/>
      <c r="H1328" s="11">
        <f>IF(OR(D1328="",E1328=""),"",D1328*E1328)</f>
        <v/>
      </c>
      <c r="I1328" s="8">
        <f>IF(OR(D1328="",E1328=""),"",E1328*(1+D1328/30))</f>
        <v/>
      </c>
      <c r="J1328">
        <f>IF(I1328="","",IF(I1328&gt;=MAXIFS($I$2:$I$5001,$B$2:$B$5001,B1328,$A$2:$A$5001,"&lt;="&amp;A1328),"PR",""))</f>
        <v/>
      </c>
    </row>
    <row r="1329">
      <c r="A1329" s="7" t="n"/>
      <c r="H1329" s="11">
        <f>IF(OR(D1329="",E1329=""),"",D1329*E1329)</f>
        <v/>
      </c>
      <c r="I1329" s="8">
        <f>IF(OR(D1329="",E1329=""),"",E1329*(1+D1329/30))</f>
        <v/>
      </c>
      <c r="J1329">
        <f>IF(I1329="","",IF(I1329&gt;=MAXIFS($I$2:$I$5001,$B$2:$B$5001,B1329,$A$2:$A$5001,"&lt;="&amp;A1329),"PR",""))</f>
        <v/>
      </c>
    </row>
    <row r="1330">
      <c r="A1330" s="7" t="n"/>
      <c r="H1330" s="11">
        <f>IF(OR(D1330="",E1330=""),"",D1330*E1330)</f>
        <v/>
      </c>
      <c r="I1330" s="8">
        <f>IF(OR(D1330="",E1330=""),"",E1330*(1+D1330/30))</f>
        <v/>
      </c>
      <c r="J1330">
        <f>IF(I1330="","",IF(I1330&gt;=MAXIFS($I$2:$I$5001,$B$2:$B$5001,B1330,$A$2:$A$5001,"&lt;="&amp;A1330),"PR",""))</f>
        <v/>
      </c>
    </row>
    <row r="1331">
      <c r="A1331" s="7" t="n"/>
      <c r="H1331" s="11">
        <f>IF(OR(D1331="",E1331=""),"",D1331*E1331)</f>
        <v/>
      </c>
      <c r="I1331" s="8">
        <f>IF(OR(D1331="",E1331=""),"",E1331*(1+D1331/30))</f>
        <v/>
      </c>
      <c r="J1331">
        <f>IF(I1331="","",IF(I1331&gt;=MAXIFS($I$2:$I$5001,$B$2:$B$5001,B1331,$A$2:$A$5001,"&lt;="&amp;A1331),"PR",""))</f>
        <v/>
      </c>
    </row>
    <row r="1332">
      <c r="A1332" s="7" t="n"/>
      <c r="H1332" s="11">
        <f>IF(OR(D1332="",E1332=""),"",D1332*E1332)</f>
        <v/>
      </c>
      <c r="I1332" s="8">
        <f>IF(OR(D1332="",E1332=""),"",E1332*(1+D1332/30))</f>
        <v/>
      </c>
      <c r="J1332">
        <f>IF(I1332="","",IF(I1332&gt;=MAXIFS($I$2:$I$5001,$B$2:$B$5001,B1332,$A$2:$A$5001,"&lt;="&amp;A1332),"PR",""))</f>
        <v/>
      </c>
    </row>
    <row r="1333">
      <c r="A1333" s="7" t="n"/>
      <c r="H1333" s="11">
        <f>IF(OR(D1333="",E1333=""),"",D1333*E1333)</f>
        <v/>
      </c>
      <c r="I1333" s="8">
        <f>IF(OR(D1333="",E1333=""),"",E1333*(1+D1333/30))</f>
        <v/>
      </c>
      <c r="J1333">
        <f>IF(I1333="","",IF(I1333&gt;=MAXIFS($I$2:$I$5001,$B$2:$B$5001,B1333,$A$2:$A$5001,"&lt;="&amp;A1333),"PR",""))</f>
        <v/>
      </c>
    </row>
    <row r="1334">
      <c r="A1334" s="7" t="n"/>
      <c r="H1334" s="11">
        <f>IF(OR(D1334="",E1334=""),"",D1334*E1334)</f>
        <v/>
      </c>
      <c r="I1334" s="8">
        <f>IF(OR(D1334="",E1334=""),"",E1334*(1+D1334/30))</f>
        <v/>
      </c>
      <c r="J1334">
        <f>IF(I1334="","",IF(I1334&gt;=MAXIFS($I$2:$I$5001,$B$2:$B$5001,B1334,$A$2:$A$5001,"&lt;="&amp;A1334),"PR",""))</f>
        <v/>
      </c>
    </row>
    <row r="1335">
      <c r="A1335" s="7" t="n"/>
      <c r="H1335" s="11">
        <f>IF(OR(D1335="",E1335=""),"",D1335*E1335)</f>
        <v/>
      </c>
      <c r="I1335" s="8">
        <f>IF(OR(D1335="",E1335=""),"",E1335*(1+D1335/30))</f>
        <v/>
      </c>
      <c r="J1335">
        <f>IF(I1335="","",IF(I1335&gt;=MAXIFS($I$2:$I$5001,$B$2:$B$5001,B1335,$A$2:$A$5001,"&lt;="&amp;A1335),"PR",""))</f>
        <v/>
      </c>
    </row>
    <row r="1336">
      <c r="A1336" s="7" t="n"/>
      <c r="H1336" s="11">
        <f>IF(OR(D1336="",E1336=""),"",D1336*E1336)</f>
        <v/>
      </c>
      <c r="I1336" s="8">
        <f>IF(OR(D1336="",E1336=""),"",E1336*(1+D1336/30))</f>
        <v/>
      </c>
      <c r="J1336">
        <f>IF(I1336="","",IF(I1336&gt;=MAXIFS($I$2:$I$5001,$B$2:$B$5001,B1336,$A$2:$A$5001,"&lt;="&amp;A1336),"PR",""))</f>
        <v/>
      </c>
    </row>
    <row r="1337">
      <c r="A1337" s="7" t="n"/>
      <c r="H1337" s="11">
        <f>IF(OR(D1337="",E1337=""),"",D1337*E1337)</f>
        <v/>
      </c>
      <c r="I1337" s="8">
        <f>IF(OR(D1337="",E1337=""),"",E1337*(1+D1337/30))</f>
        <v/>
      </c>
      <c r="J1337">
        <f>IF(I1337="","",IF(I1337&gt;=MAXIFS($I$2:$I$5001,$B$2:$B$5001,B1337,$A$2:$A$5001,"&lt;="&amp;A1337),"PR",""))</f>
        <v/>
      </c>
    </row>
    <row r="1338">
      <c r="A1338" s="7" t="n"/>
      <c r="H1338" s="11">
        <f>IF(OR(D1338="",E1338=""),"",D1338*E1338)</f>
        <v/>
      </c>
      <c r="I1338" s="8">
        <f>IF(OR(D1338="",E1338=""),"",E1338*(1+D1338/30))</f>
        <v/>
      </c>
      <c r="J1338">
        <f>IF(I1338="","",IF(I1338&gt;=MAXIFS($I$2:$I$5001,$B$2:$B$5001,B1338,$A$2:$A$5001,"&lt;="&amp;A1338),"PR",""))</f>
        <v/>
      </c>
    </row>
    <row r="1339">
      <c r="A1339" s="7" t="n"/>
      <c r="H1339" s="11">
        <f>IF(OR(D1339="",E1339=""),"",D1339*E1339)</f>
        <v/>
      </c>
      <c r="I1339" s="8">
        <f>IF(OR(D1339="",E1339=""),"",E1339*(1+D1339/30))</f>
        <v/>
      </c>
      <c r="J1339">
        <f>IF(I1339="","",IF(I1339&gt;=MAXIFS($I$2:$I$5001,$B$2:$B$5001,B1339,$A$2:$A$5001,"&lt;="&amp;A1339),"PR",""))</f>
        <v/>
      </c>
    </row>
    <row r="1340">
      <c r="A1340" s="7" t="n"/>
      <c r="H1340" s="11">
        <f>IF(OR(D1340="",E1340=""),"",D1340*E1340)</f>
        <v/>
      </c>
      <c r="I1340" s="8">
        <f>IF(OR(D1340="",E1340=""),"",E1340*(1+D1340/30))</f>
        <v/>
      </c>
      <c r="J1340">
        <f>IF(I1340="","",IF(I1340&gt;=MAXIFS($I$2:$I$5001,$B$2:$B$5001,B1340,$A$2:$A$5001,"&lt;="&amp;A1340),"PR",""))</f>
        <v/>
      </c>
    </row>
    <row r="1341">
      <c r="A1341" s="7" t="n"/>
      <c r="H1341" s="11">
        <f>IF(OR(D1341="",E1341=""),"",D1341*E1341)</f>
        <v/>
      </c>
      <c r="I1341" s="8">
        <f>IF(OR(D1341="",E1341=""),"",E1341*(1+D1341/30))</f>
        <v/>
      </c>
      <c r="J1341">
        <f>IF(I1341="","",IF(I1341&gt;=MAXIFS($I$2:$I$5001,$B$2:$B$5001,B1341,$A$2:$A$5001,"&lt;="&amp;A1341),"PR",""))</f>
        <v/>
      </c>
    </row>
    <row r="1342">
      <c r="A1342" s="7" t="n"/>
      <c r="H1342" s="11">
        <f>IF(OR(D1342="",E1342=""),"",D1342*E1342)</f>
        <v/>
      </c>
      <c r="I1342" s="8">
        <f>IF(OR(D1342="",E1342=""),"",E1342*(1+D1342/30))</f>
        <v/>
      </c>
      <c r="J1342">
        <f>IF(I1342="","",IF(I1342&gt;=MAXIFS($I$2:$I$5001,$B$2:$B$5001,B1342,$A$2:$A$5001,"&lt;="&amp;A1342),"PR",""))</f>
        <v/>
      </c>
    </row>
    <row r="1343">
      <c r="A1343" s="7" t="n"/>
      <c r="H1343" s="11">
        <f>IF(OR(D1343="",E1343=""),"",D1343*E1343)</f>
        <v/>
      </c>
      <c r="I1343" s="8">
        <f>IF(OR(D1343="",E1343=""),"",E1343*(1+D1343/30))</f>
        <v/>
      </c>
      <c r="J1343">
        <f>IF(I1343="","",IF(I1343&gt;=MAXIFS($I$2:$I$5001,$B$2:$B$5001,B1343,$A$2:$A$5001,"&lt;="&amp;A1343),"PR",""))</f>
        <v/>
      </c>
    </row>
    <row r="1344">
      <c r="A1344" s="7" t="n"/>
      <c r="H1344" s="11">
        <f>IF(OR(D1344="",E1344=""),"",D1344*E1344)</f>
        <v/>
      </c>
      <c r="I1344" s="8">
        <f>IF(OR(D1344="",E1344=""),"",E1344*(1+D1344/30))</f>
        <v/>
      </c>
      <c r="J1344">
        <f>IF(I1344="","",IF(I1344&gt;=MAXIFS($I$2:$I$5001,$B$2:$B$5001,B1344,$A$2:$A$5001,"&lt;="&amp;A1344),"PR",""))</f>
        <v/>
      </c>
    </row>
    <row r="1345">
      <c r="A1345" s="7" t="n"/>
      <c r="H1345" s="11">
        <f>IF(OR(D1345="",E1345=""),"",D1345*E1345)</f>
        <v/>
      </c>
      <c r="I1345" s="8">
        <f>IF(OR(D1345="",E1345=""),"",E1345*(1+D1345/30))</f>
        <v/>
      </c>
      <c r="J1345">
        <f>IF(I1345="","",IF(I1345&gt;=MAXIFS($I$2:$I$5001,$B$2:$B$5001,B1345,$A$2:$A$5001,"&lt;="&amp;A1345),"PR",""))</f>
        <v/>
      </c>
    </row>
    <row r="1346">
      <c r="A1346" s="7" t="n"/>
      <c r="H1346" s="11">
        <f>IF(OR(D1346="",E1346=""),"",D1346*E1346)</f>
        <v/>
      </c>
      <c r="I1346" s="8">
        <f>IF(OR(D1346="",E1346=""),"",E1346*(1+D1346/30))</f>
        <v/>
      </c>
      <c r="J1346">
        <f>IF(I1346="","",IF(I1346&gt;=MAXIFS($I$2:$I$5001,$B$2:$B$5001,B1346,$A$2:$A$5001,"&lt;="&amp;A1346),"PR",""))</f>
        <v/>
      </c>
    </row>
    <row r="1347">
      <c r="A1347" s="7" t="n"/>
      <c r="H1347" s="11">
        <f>IF(OR(D1347="",E1347=""),"",D1347*E1347)</f>
        <v/>
      </c>
      <c r="I1347" s="8">
        <f>IF(OR(D1347="",E1347=""),"",E1347*(1+D1347/30))</f>
        <v/>
      </c>
      <c r="J1347">
        <f>IF(I1347="","",IF(I1347&gt;=MAXIFS($I$2:$I$5001,$B$2:$B$5001,B1347,$A$2:$A$5001,"&lt;="&amp;A1347),"PR",""))</f>
        <v/>
      </c>
    </row>
    <row r="1348">
      <c r="A1348" s="7" t="n"/>
      <c r="H1348" s="11">
        <f>IF(OR(D1348="",E1348=""),"",D1348*E1348)</f>
        <v/>
      </c>
      <c r="I1348" s="8">
        <f>IF(OR(D1348="",E1348=""),"",E1348*(1+D1348/30))</f>
        <v/>
      </c>
      <c r="J1348">
        <f>IF(I1348="","",IF(I1348&gt;=MAXIFS($I$2:$I$5001,$B$2:$B$5001,B1348,$A$2:$A$5001,"&lt;="&amp;A1348),"PR",""))</f>
        <v/>
      </c>
    </row>
    <row r="1349">
      <c r="A1349" s="7" t="n"/>
      <c r="H1349" s="11">
        <f>IF(OR(D1349="",E1349=""),"",D1349*E1349)</f>
        <v/>
      </c>
      <c r="I1349" s="8">
        <f>IF(OR(D1349="",E1349=""),"",E1349*(1+D1349/30))</f>
        <v/>
      </c>
      <c r="J1349">
        <f>IF(I1349="","",IF(I1349&gt;=MAXIFS($I$2:$I$5001,$B$2:$B$5001,B1349,$A$2:$A$5001,"&lt;="&amp;A1349),"PR",""))</f>
        <v/>
      </c>
    </row>
    <row r="1350">
      <c r="A1350" s="7" t="n"/>
      <c r="H1350" s="11">
        <f>IF(OR(D1350="",E1350=""),"",D1350*E1350)</f>
        <v/>
      </c>
      <c r="I1350" s="8">
        <f>IF(OR(D1350="",E1350=""),"",E1350*(1+D1350/30))</f>
        <v/>
      </c>
      <c r="J1350">
        <f>IF(I1350="","",IF(I1350&gt;=MAXIFS($I$2:$I$5001,$B$2:$B$5001,B1350,$A$2:$A$5001,"&lt;="&amp;A1350),"PR",""))</f>
        <v/>
      </c>
    </row>
    <row r="1351">
      <c r="A1351" s="7" t="n"/>
      <c r="H1351" s="11">
        <f>IF(OR(D1351="",E1351=""),"",D1351*E1351)</f>
        <v/>
      </c>
      <c r="I1351" s="8">
        <f>IF(OR(D1351="",E1351=""),"",E1351*(1+D1351/30))</f>
        <v/>
      </c>
      <c r="J1351">
        <f>IF(I1351="","",IF(I1351&gt;=MAXIFS($I$2:$I$5001,$B$2:$B$5001,B1351,$A$2:$A$5001,"&lt;="&amp;A1351),"PR",""))</f>
        <v/>
      </c>
    </row>
    <row r="1352">
      <c r="A1352" s="7" t="n"/>
      <c r="H1352" s="11">
        <f>IF(OR(D1352="",E1352=""),"",D1352*E1352)</f>
        <v/>
      </c>
      <c r="I1352" s="8">
        <f>IF(OR(D1352="",E1352=""),"",E1352*(1+D1352/30))</f>
        <v/>
      </c>
      <c r="J1352">
        <f>IF(I1352="","",IF(I1352&gt;=MAXIFS($I$2:$I$5001,$B$2:$B$5001,B1352,$A$2:$A$5001,"&lt;="&amp;A1352),"PR",""))</f>
        <v/>
      </c>
    </row>
    <row r="1353">
      <c r="A1353" s="7" t="n"/>
      <c r="H1353" s="11">
        <f>IF(OR(D1353="",E1353=""),"",D1353*E1353)</f>
        <v/>
      </c>
      <c r="I1353" s="8">
        <f>IF(OR(D1353="",E1353=""),"",E1353*(1+D1353/30))</f>
        <v/>
      </c>
      <c r="J1353">
        <f>IF(I1353="","",IF(I1353&gt;=MAXIFS($I$2:$I$5001,$B$2:$B$5001,B1353,$A$2:$A$5001,"&lt;="&amp;A1353),"PR",""))</f>
        <v/>
      </c>
    </row>
    <row r="1354">
      <c r="A1354" s="7" t="n"/>
      <c r="H1354" s="11">
        <f>IF(OR(D1354="",E1354=""),"",D1354*E1354)</f>
        <v/>
      </c>
      <c r="I1354" s="8">
        <f>IF(OR(D1354="",E1354=""),"",E1354*(1+D1354/30))</f>
        <v/>
      </c>
      <c r="J1354">
        <f>IF(I1354="","",IF(I1354&gt;=MAXIFS($I$2:$I$5001,$B$2:$B$5001,B1354,$A$2:$A$5001,"&lt;="&amp;A1354),"PR",""))</f>
        <v/>
      </c>
    </row>
    <row r="1355">
      <c r="A1355" s="7" t="n"/>
      <c r="H1355" s="11">
        <f>IF(OR(D1355="",E1355=""),"",D1355*E1355)</f>
        <v/>
      </c>
      <c r="I1355" s="8">
        <f>IF(OR(D1355="",E1355=""),"",E1355*(1+D1355/30))</f>
        <v/>
      </c>
      <c r="J1355">
        <f>IF(I1355="","",IF(I1355&gt;=MAXIFS($I$2:$I$5001,$B$2:$B$5001,B1355,$A$2:$A$5001,"&lt;="&amp;A1355),"PR",""))</f>
        <v/>
      </c>
    </row>
    <row r="1356">
      <c r="A1356" s="7" t="n"/>
      <c r="H1356" s="11">
        <f>IF(OR(D1356="",E1356=""),"",D1356*E1356)</f>
        <v/>
      </c>
      <c r="I1356" s="8">
        <f>IF(OR(D1356="",E1356=""),"",E1356*(1+D1356/30))</f>
        <v/>
      </c>
      <c r="J1356">
        <f>IF(I1356="","",IF(I1356&gt;=MAXIFS($I$2:$I$5001,$B$2:$B$5001,B1356,$A$2:$A$5001,"&lt;="&amp;A1356),"PR",""))</f>
        <v/>
      </c>
    </row>
    <row r="1357">
      <c r="A1357" s="7" t="n"/>
      <c r="H1357" s="11">
        <f>IF(OR(D1357="",E1357=""),"",D1357*E1357)</f>
        <v/>
      </c>
      <c r="I1357" s="8">
        <f>IF(OR(D1357="",E1357=""),"",E1357*(1+D1357/30))</f>
        <v/>
      </c>
      <c r="J1357">
        <f>IF(I1357="","",IF(I1357&gt;=MAXIFS($I$2:$I$5001,$B$2:$B$5001,B1357,$A$2:$A$5001,"&lt;="&amp;A1357),"PR",""))</f>
        <v/>
      </c>
    </row>
    <row r="1358">
      <c r="A1358" s="7" t="n"/>
      <c r="H1358" s="11">
        <f>IF(OR(D1358="",E1358=""),"",D1358*E1358)</f>
        <v/>
      </c>
      <c r="I1358" s="8">
        <f>IF(OR(D1358="",E1358=""),"",E1358*(1+D1358/30))</f>
        <v/>
      </c>
      <c r="J1358">
        <f>IF(I1358="","",IF(I1358&gt;=MAXIFS($I$2:$I$5001,$B$2:$B$5001,B1358,$A$2:$A$5001,"&lt;="&amp;A1358),"PR",""))</f>
        <v/>
      </c>
    </row>
    <row r="1359">
      <c r="A1359" s="7" t="n"/>
      <c r="H1359" s="11">
        <f>IF(OR(D1359="",E1359=""),"",D1359*E1359)</f>
        <v/>
      </c>
      <c r="I1359" s="8">
        <f>IF(OR(D1359="",E1359=""),"",E1359*(1+D1359/30))</f>
        <v/>
      </c>
      <c r="J1359">
        <f>IF(I1359="","",IF(I1359&gt;=MAXIFS($I$2:$I$5001,$B$2:$B$5001,B1359,$A$2:$A$5001,"&lt;="&amp;A1359),"PR",""))</f>
        <v/>
      </c>
    </row>
    <row r="1360">
      <c r="A1360" s="7" t="n"/>
      <c r="H1360" s="11">
        <f>IF(OR(D1360="",E1360=""),"",D1360*E1360)</f>
        <v/>
      </c>
      <c r="I1360" s="8">
        <f>IF(OR(D1360="",E1360=""),"",E1360*(1+D1360/30))</f>
        <v/>
      </c>
      <c r="J1360">
        <f>IF(I1360="","",IF(I1360&gt;=MAXIFS($I$2:$I$5001,$B$2:$B$5001,B1360,$A$2:$A$5001,"&lt;="&amp;A1360),"PR",""))</f>
        <v/>
      </c>
    </row>
    <row r="1361">
      <c r="A1361" s="7" t="n"/>
      <c r="H1361" s="11">
        <f>IF(OR(D1361="",E1361=""),"",D1361*E1361)</f>
        <v/>
      </c>
      <c r="I1361" s="8">
        <f>IF(OR(D1361="",E1361=""),"",E1361*(1+D1361/30))</f>
        <v/>
      </c>
      <c r="J1361">
        <f>IF(I1361="","",IF(I1361&gt;=MAXIFS($I$2:$I$5001,$B$2:$B$5001,B1361,$A$2:$A$5001,"&lt;="&amp;A1361),"PR",""))</f>
        <v/>
      </c>
    </row>
    <row r="1362">
      <c r="A1362" s="7" t="n"/>
      <c r="H1362" s="11">
        <f>IF(OR(D1362="",E1362=""),"",D1362*E1362)</f>
        <v/>
      </c>
      <c r="I1362" s="8">
        <f>IF(OR(D1362="",E1362=""),"",E1362*(1+D1362/30))</f>
        <v/>
      </c>
      <c r="J1362">
        <f>IF(I1362="","",IF(I1362&gt;=MAXIFS($I$2:$I$5001,$B$2:$B$5001,B1362,$A$2:$A$5001,"&lt;="&amp;A1362),"PR",""))</f>
        <v/>
      </c>
    </row>
    <row r="1363">
      <c r="A1363" s="7" t="n"/>
      <c r="H1363" s="11">
        <f>IF(OR(D1363="",E1363=""),"",D1363*E1363)</f>
        <v/>
      </c>
      <c r="I1363" s="8">
        <f>IF(OR(D1363="",E1363=""),"",E1363*(1+D1363/30))</f>
        <v/>
      </c>
      <c r="J1363">
        <f>IF(I1363="","",IF(I1363&gt;=MAXIFS($I$2:$I$5001,$B$2:$B$5001,B1363,$A$2:$A$5001,"&lt;="&amp;A1363),"PR",""))</f>
        <v/>
      </c>
    </row>
    <row r="1364">
      <c r="A1364" s="7" t="n"/>
      <c r="H1364" s="11">
        <f>IF(OR(D1364="",E1364=""),"",D1364*E1364)</f>
        <v/>
      </c>
      <c r="I1364" s="8">
        <f>IF(OR(D1364="",E1364=""),"",E1364*(1+D1364/30))</f>
        <v/>
      </c>
      <c r="J1364">
        <f>IF(I1364="","",IF(I1364&gt;=MAXIFS($I$2:$I$5001,$B$2:$B$5001,B1364,$A$2:$A$5001,"&lt;="&amp;A1364),"PR",""))</f>
        <v/>
      </c>
    </row>
    <row r="1365">
      <c r="A1365" s="7" t="n"/>
      <c r="H1365" s="11">
        <f>IF(OR(D1365="",E1365=""),"",D1365*E1365)</f>
        <v/>
      </c>
      <c r="I1365" s="8">
        <f>IF(OR(D1365="",E1365=""),"",E1365*(1+D1365/30))</f>
        <v/>
      </c>
      <c r="J1365">
        <f>IF(I1365="","",IF(I1365&gt;=MAXIFS($I$2:$I$5001,$B$2:$B$5001,B1365,$A$2:$A$5001,"&lt;="&amp;A1365),"PR",""))</f>
        <v/>
      </c>
    </row>
    <row r="1366">
      <c r="A1366" s="7" t="n"/>
      <c r="H1366" s="11">
        <f>IF(OR(D1366="",E1366=""),"",D1366*E1366)</f>
        <v/>
      </c>
      <c r="I1366" s="8">
        <f>IF(OR(D1366="",E1366=""),"",E1366*(1+D1366/30))</f>
        <v/>
      </c>
      <c r="J1366">
        <f>IF(I1366="","",IF(I1366&gt;=MAXIFS($I$2:$I$5001,$B$2:$B$5001,B1366,$A$2:$A$5001,"&lt;="&amp;A1366),"PR",""))</f>
        <v/>
      </c>
    </row>
    <row r="1367">
      <c r="A1367" s="7" t="n"/>
      <c r="H1367" s="11">
        <f>IF(OR(D1367="",E1367=""),"",D1367*E1367)</f>
        <v/>
      </c>
      <c r="I1367" s="8">
        <f>IF(OR(D1367="",E1367=""),"",E1367*(1+D1367/30))</f>
        <v/>
      </c>
      <c r="J1367">
        <f>IF(I1367="","",IF(I1367&gt;=MAXIFS($I$2:$I$5001,$B$2:$B$5001,B1367,$A$2:$A$5001,"&lt;="&amp;A1367),"PR",""))</f>
        <v/>
      </c>
    </row>
    <row r="1368">
      <c r="A1368" s="7" t="n"/>
      <c r="H1368" s="11">
        <f>IF(OR(D1368="",E1368=""),"",D1368*E1368)</f>
        <v/>
      </c>
      <c r="I1368" s="8">
        <f>IF(OR(D1368="",E1368=""),"",E1368*(1+D1368/30))</f>
        <v/>
      </c>
      <c r="J1368">
        <f>IF(I1368="","",IF(I1368&gt;=MAXIFS($I$2:$I$5001,$B$2:$B$5001,B1368,$A$2:$A$5001,"&lt;="&amp;A1368),"PR",""))</f>
        <v/>
      </c>
    </row>
    <row r="1369">
      <c r="A1369" s="7" t="n"/>
      <c r="H1369" s="11">
        <f>IF(OR(D1369="",E1369=""),"",D1369*E1369)</f>
        <v/>
      </c>
      <c r="I1369" s="8">
        <f>IF(OR(D1369="",E1369=""),"",E1369*(1+D1369/30))</f>
        <v/>
      </c>
      <c r="J1369">
        <f>IF(I1369="","",IF(I1369&gt;=MAXIFS($I$2:$I$5001,$B$2:$B$5001,B1369,$A$2:$A$5001,"&lt;="&amp;A1369),"PR",""))</f>
        <v/>
      </c>
    </row>
    <row r="1370">
      <c r="A1370" s="7" t="n"/>
      <c r="H1370" s="11">
        <f>IF(OR(D1370="",E1370=""),"",D1370*E1370)</f>
        <v/>
      </c>
      <c r="I1370" s="8">
        <f>IF(OR(D1370="",E1370=""),"",E1370*(1+D1370/30))</f>
        <v/>
      </c>
      <c r="J1370">
        <f>IF(I1370="","",IF(I1370&gt;=MAXIFS($I$2:$I$5001,$B$2:$B$5001,B1370,$A$2:$A$5001,"&lt;="&amp;A1370),"PR",""))</f>
        <v/>
      </c>
    </row>
    <row r="1371">
      <c r="A1371" s="7" t="n"/>
      <c r="H1371" s="11">
        <f>IF(OR(D1371="",E1371=""),"",D1371*E1371)</f>
        <v/>
      </c>
      <c r="I1371" s="8">
        <f>IF(OR(D1371="",E1371=""),"",E1371*(1+D1371/30))</f>
        <v/>
      </c>
      <c r="J1371">
        <f>IF(I1371="","",IF(I1371&gt;=MAXIFS($I$2:$I$5001,$B$2:$B$5001,B1371,$A$2:$A$5001,"&lt;="&amp;A1371),"PR",""))</f>
        <v/>
      </c>
    </row>
    <row r="1372">
      <c r="A1372" s="7" t="n"/>
      <c r="H1372" s="11">
        <f>IF(OR(D1372="",E1372=""),"",D1372*E1372)</f>
        <v/>
      </c>
      <c r="I1372" s="8">
        <f>IF(OR(D1372="",E1372=""),"",E1372*(1+D1372/30))</f>
        <v/>
      </c>
      <c r="J1372">
        <f>IF(I1372="","",IF(I1372&gt;=MAXIFS($I$2:$I$5001,$B$2:$B$5001,B1372,$A$2:$A$5001,"&lt;="&amp;A1372),"PR",""))</f>
        <v/>
      </c>
    </row>
    <row r="1373">
      <c r="A1373" s="7" t="n"/>
      <c r="H1373" s="11">
        <f>IF(OR(D1373="",E1373=""),"",D1373*E1373)</f>
        <v/>
      </c>
      <c r="I1373" s="8">
        <f>IF(OR(D1373="",E1373=""),"",E1373*(1+D1373/30))</f>
        <v/>
      </c>
      <c r="J1373">
        <f>IF(I1373="","",IF(I1373&gt;=MAXIFS($I$2:$I$5001,$B$2:$B$5001,B1373,$A$2:$A$5001,"&lt;="&amp;A1373),"PR",""))</f>
        <v/>
      </c>
    </row>
    <row r="1374">
      <c r="A1374" s="7" t="n"/>
      <c r="H1374" s="11">
        <f>IF(OR(D1374="",E1374=""),"",D1374*E1374)</f>
        <v/>
      </c>
      <c r="I1374" s="8">
        <f>IF(OR(D1374="",E1374=""),"",E1374*(1+D1374/30))</f>
        <v/>
      </c>
      <c r="J1374">
        <f>IF(I1374="","",IF(I1374&gt;=MAXIFS($I$2:$I$5001,$B$2:$B$5001,B1374,$A$2:$A$5001,"&lt;="&amp;A1374),"PR",""))</f>
        <v/>
      </c>
    </row>
    <row r="1375">
      <c r="A1375" s="7" t="n"/>
      <c r="H1375" s="11">
        <f>IF(OR(D1375="",E1375=""),"",D1375*E1375)</f>
        <v/>
      </c>
      <c r="I1375" s="8">
        <f>IF(OR(D1375="",E1375=""),"",E1375*(1+D1375/30))</f>
        <v/>
      </c>
      <c r="J1375">
        <f>IF(I1375="","",IF(I1375&gt;=MAXIFS($I$2:$I$5001,$B$2:$B$5001,B1375,$A$2:$A$5001,"&lt;="&amp;A1375),"PR",""))</f>
        <v/>
      </c>
    </row>
    <row r="1376">
      <c r="A1376" s="7" t="n"/>
      <c r="H1376" s="11">
        <f>IF(OR(D1376="",E1376=""),"",D1376*E1376)</f>
        <v/>
      </c>
      <c r="I1376" s="8">
        <f>IF(OR(D1376="",E1376=""),"",E1376*(1+D1376/30))</f>
        <v/>
      </c>
      <c r="J1376">
        <f>IF(I1376="","",IF(I1376&gt;=MAXIFS($I$2:$I$5001,$B$2:$B$5001,B1376,$A$2:$A$5001,"&lt;="&amp;A1376),"PR",""))</f>
        <v/>
      </c>
    </row>
    <row r="1377">
      <c r="A1377" s="7" t="n"/>
      <c r="H1377" s="11">
        <f>IF(OR(D1377="",E1377=""),"",D1377*E1377)</f>
        <v/>
      </c>
      <c r="I1377" s="8">
        <f>IF(OR(D1377="",E1377=""),"",E1377*(1+D1377/30))</f>
        <v/>
      </c>
      <c r="J1377">
        <f>IF(I1377="","",IF(I1377&gt;=MAXIFS($I$2:$I$5001,$B$2:$B$5001,B1377,$A$2:$A$5001,"&lt;="&amp;A1377),"PR",""))</f>
        <v/>
      </c>
    </row>
    <row r="1378">
      <c r="A1378" s="7" t="n"/>
      <c r="H1378" s="11">
        <f>IF(OR(D1378="",E1378=""),"",D1378*E1378)</f>
        <v/>
      </c>
      <c r="I1378" s="8">
        <f>IF(OR(D1378="",E1378=""),"",E1378*(1+D1378/30))</f>
        <v/>
      </c>
      <c r="J1378">
        <f>IF(I1378="","",IF(I1378&gt;=MAXIFS($I$2:$I$5001,$B$2:$B$5001,B1378,$A$2:$A$5001,"&lt;="&amp;A1378),"PR",""))</f>
        <v/>
      </c>
    </row>
    <row r="1379">
      <c r="A1379" s="7" t="n"/>
      <c r="H1379" s="11">
        <f>IF(OR(D1379="",E1379=""),"",D1379*E1379)</f>
        <v/>
      </c>
      <c r="I1379" s="8">
        <f>IF(OR(D1379="",E1379=""),"",E1379*(1+D1379/30))</f>
        <v/>
      </c>
      <c r="J1379">
        <f>IF(I1379="","",IF(I1379&gt;=MAXIFS($I$2:$I$5001,$B$2:$B$5001,B1379,$A$2:$A$5001,"&lt;="&amp;A1379),"PR",""))</f>
        <v/>
      </c>
    </row>
    <row r="1380">
      <c r="A1380" s="7" t="n"/>
      <c r="H1380" s="11">
        <f>IF(OR(D1380="",E1380=""),"",D1380*E1380)</f>
        <v/>
      </c>
      <c r="I1380" s="8">
        <f>IF(OR(D1380="",E1380=""),"",E1380*(1+D1380/30))</f>
        <v/>
      </c>
      <c r="J1380">
        <f>IF(I1380="","",IF(I1380&gt;=MAXIFS($I$2:$I$5001,$B$2:$B$5001,B1380,$A$2:$A$5001,"&lt;="&amp;A1380),"PR",""))</f>
        <v/>
      </c>
    </row>
    <row r="1381">
      <c r="A1381" s="7" t="n"/>
      <c r="H1381" s="11">
        <f>IF(OR(D1381="",E1381=""),"",D1381*E1381)</f>
        <v/>
      </c>
      <c r="I1381" s="8">
        <f>IF(OR(D1381="",E1381=""),"",E1381*(1+D1381/30))</f>
        <v/>
      </c>
      <c r="J1381">
        <f>IF(I1381="","",IF(I1381&gt;=MAXIFS($I$2:$I$5001,$B$2:$B$5001,B1381,$A$2:$A$5001,"&lt;="&amp;A1381),"PR",""))</f>
        <v/>
      </c>
    </row>
    <row r="1382">
      <c r="A1382" s="7" t="n"/>
      <c r="H1382" s="11">
        <f>IF(OR(D1382="",E1382=""),"",D1382*E1382)</f>
        <v/>
      </c>
      <c r="I1382" s="8">
        <f>IF(OR(D1382="",E1382=""),"",E1382*(1+D1382/30))</f>
        <v/>
      </c>
      <c r="J1382">
        <f>IF(I1382="","",IF(I1382&gt;=MAXIFS($I$2:$I$5001,$B$2:$B$5001,B1382,$A$2:$A$5001,"&lt;="&amp;A1382),"PR",""))</f>
        <v/>
      </c>
    </row>
    <row r="1383">
      <c r="A1383" s="7" t="n"/>
      <c r="H1383" s="11">
        <f>IF(OR(D1383="",E1383=""),"",D1383*E1383)</f>
        <v/>
      </c>
      <c r="I1383" s="8">
        <f>IF(OR(D1383="",E1383=""),"",E1383*(1+D1383/30))</f>
        <v/>
      </c>
      <c r="J1383">
        <f>IF(I1383="","",IF(I1383&gt;=MAXIFS($I$2:$I$5001,$B$2:$B$5001,B1383,$A$2:$A$5001,"&lt;="&amp;A1383),"PR",""))</f>
        <v/>
      </c>
    </row>
    <row r="1384">
      <c r="A1384" s="7" t="n"/>
      <c r="H1384" s="11">
        <f>IF(OR(D1384="",E1384=""),"",D1384*E1384)</f>
        <v/>
      </c>
      <c r="I1384" s="8">
        <f>IF(OR(D1384="",E1384=""),"",E1384*(1+D1384/30))</f>
        <v/>
      </c>
      <c r="J1384">
        <f>IF(I1384="","",IF(I1384&gt;=MAXIFS($I$2:$I$5001,$B$2:$B$5001,B1384,$A$2:$A$5001,"&lt;="&amp;A1384),"PR",""))</f>
        <v/>
      </c>
    </row>
    <row r="1385">
      <c r="A1385" s="7" t="n"/>
      <c r="H1385" s="11">
        <f>IF(OR(D1385="",E1385=""),"",D1385*E1385)</f>
        <v/>
      </c>
      <c r="I1385" s="8">
        <f>IF(OR(D1385="",E1385=""),"",E1385*(1+D1385/30))</f>
        <v/>
      </c>
      <c r="J1385">
        <f>IF(I1385="","",IF(I1385&gt;=MAXIFS($I$2:$I$5001,$B$2:$B$5001,B1385,$A$2:$A$5001,"&lt;="&amp;A1385),"PR",""))</f>
        <v/>
      </c>
    </row>
    <row r="1386">
      <c r="A1386" s="7" t="n"/>
      <c r="H1386" s="11">
        <f>IF(OR(D1386="",E1386=""),"",D1386*E1386)</f>
        <v/>
      </c>
      <c r="I1386" s="8">
        <f>IF(OR(D1386="",E1386=""),"",E1386*(1+D1386/30))</f>
        <v/>
      </c>
      <c r="J1386">
        <f>IF(I1386="","",IF(I1386&gt;=MAXIFS($I$2:$I$5001,$B$2:$B$5001,B1386,$A$2:$A$5001,"&lt;="&amp;A1386),"PR",""))</f>
        <v/>
      </c>
    </row>
    <row r="1387">
      <c r="A1387" s="7" t="n"/>
      <c r="H1387" s="11">
        <f>IF(OR(D1387="",E1387=""),"",D1387*E1387)</f>
        <v/>
      </c>
      <c r="I1387" s="8">
        <f>IF(OR(D1387="",E1387=""),"",E1387*(1+D1387/30))</f>
        <v/>
      </c>
      <c r="J1387">
        <f>IF(I1387="","",IF(I1387&gt;=MAXIFS($I$2:$I$5001,$B$2:$B$5001,B1387,$A$2:$A$5001,"&lt;="&amp;A1387),"PR",""))</f>
        <v/>
      </c>
    </row>
    <row r="1388">
      <c r="A1388" s="7" t="n"/>
      <c r="H1388" s="11">
        <f>IF(OR(D1388="",E1388=""),"",D1388*E1388)</f>
        <v/>
      </c>
      <c r="I1388" s="8">
        <f>IF(OR(D1388="",E1388=""),"",E1388*(1+D1388/30))</f>
        <v/>
      </c>
      <c r="J1388">
        <f>IF(I1388="","",IF(I1388&gt;=MAXIFS($I$2:$I$5001,$B$2:$B$5001,B1388,$A$2:$A$5001,"&lt;="&amp;A1388),"PR",""))</f>
        <v/>
      </c>
    </row>
    <row r="1389">
      <c r="A1389" s="7" t="n"/>
      <c r="H1389" s="11">
        <f>IF(OR(D1389="",E1389=""),"",D1389*E1389)</f>
        <v/>
      </c>
      <c r="I1389" s="8">
        <f>IF(OR(D1389="",E1389=""),"",E1389*(1+D1389/30))</f>
        <v/>
      </c>
      <c r="J1389">
        <f>IF(I1389="","",IF(I1389&gt;=MAXIFS($I$2:$I$5001,$B$2:$B$5001,B1389,$A$2:$A$5001,"&lt;="&amp;A1389),"PR",""))</f>
        <v/>
      </c>
    </row>
    <row r="1390">
      <c r="A1390" s="7" t="n"/>
      <c r="H1390" s="11">
        <f>IF(OR(D1390="",E1390=""),"",D1390*E1390)</f>
        <v/>
      </c>
      <c r="I1390" s="8">
        <f>IF(OR(D1390="",E1390=""),"",E1390*(1+D1390/30))</f>
        <v/>
      </c>
      <c r="J1390">
        <f>IF(I1390="","",IF(I1390&gt;=MAXIFS($I$2:$I$5001,$B$2:$B$5001,B1390,$A$2:$A$5001,"&lt;="&amp;A1390),"PR",""))</f>
        <v/>
      </c>
    </row>
    <row r="1391">
      <c r="A1391" s="7" t="n"/>
      <c r="H1391" s="11">
        <f>IF(OR(D1391="",E1391=""),"",D1391*E1391)</f>
        <v/>
      </c>
      <c r="I1391" s="8">
        <f>IF(OR(D1391="",E1391=""),"",E1391*(1+D1391/30))</f>
        <v/>
      </c>
      <c r="J1391">
        <f>IF(I1391="","",IF(I1391&gt;=MAXIFS($I$2:$I$5001,$B$2:$B$5001,B1391,$A$2:$A$5001,"&lt;="&amp;A1391),"PR",""))</f>
        <v/>
      </c>
    </row>
    <row r="1392">
      <c r="A1392" s="7" t="n"/>
      <c r="H1392" s="11">
        <f>IF(OR(D1392="",E1392=""),"",D1392*E1392)</f>
        <v/>
      </c>
      <c r="I1392" s="8">
        <f>IF(OR(D1392="",E1392=""),"",E1392*(1+D1392/30))</f>
        <v/>
      </c>
      <c r="J1392">
        <f>IF(I1392="","",IF(I1392&gt;=MAXIFS($I$2:$I$5001,$B$2:$B$5001,B1392,$A$2:$A$5001,"&lt;="&amp;A1392),"PR",""))</f>
        <v/>
      </c>
    </row>
    <row r="1393">
      <c r="A1393" s="7" t="n"/>
      <c r="H1393" s="11">
        <f>IF(OR(D1393="",E1393=""),"",D1393*E1393)</f>
        <v/>
      </c>
      <c r="I1393" s="8">
        <f>IF(OR(D1393="",E1393=""),"",E1393*(1+D1393/30))</f>
        <v/>
      </c>
      <c r="J1393">
        <f>IF(I1393="","",IF(I1393&gt;=MAXIFS($I$2:$I$5001,$B$2:$B$5001,B1393,$A$2:$A$5001,"&lt;="&amp;A1393),"PR",""))</f>
        <v/>
      </c>
    </row>
    <row r="1394">
      <c r="A1394" s="7" t="n"/>
      <c r="H1394" s="11">
        <f>IF(OR(D1394="",E1394=""),"",D1394*E1394)</f>
        <v/>
      </c>
      <c r="I1394" s="8">
        <f>IF(OR(D1394="",E1394=""),"",E1394*(1+D1394/30))</f>
        <v/>
      </c>
      <c r="J1394">
        <f>IF(I1394="","",IF(I1394&gt;=MAXIFS($I$2:$I$5001,$B$2:$B$5001,B1394,$A$2:$A$5001,"&lt;="&amp;A1394),"PR",""))</f>
        <v/>
      </c>
    </row>
    <row r="1395">
      <c r="A1395" s="7" t="n"/>
      <c r="H1395" s="11">
        <f>IF(OR(D1395="",E1395=""),"",D1395*E1395)</f>
        <v/>
      </c>
      <c r="I1395" s="8">
        <f>IF(OR(D1395="",E1395=""),"",E1395*(1+D1395/30))</f>
        <v/>
      </c>
      <c r="J1395">
        <f>IF(I1395="","",IF(I1395&gt;=MAXIFS($I$2:$I$5001,$B$2:$B$5001,B1395,$A$2:$A$5001,"&lt;="&amp;A1395),"PR",""))</f>
        <v/>
      </c>
    </row>
    <row r="1396">
      <c r="A1396" s="7" t="n"/>
      <c r="H1396" s="11">
        <f>IF(OR(D1396="",E1396=""),"",D1396*E1396)</f>
        <v/>
      </c>
      <c r="I1396" s="8">
        <f>IF(OR(D1396="",E1396=""),"",E1396*(1+D1396/30))</f>
        <v/>
      </c>
      <c r="J1396">
        <f>IF(I1396="","",IF(I1396&gt;=MAXIFS($I$2:$I$5001,$B$2:$B$5001,B1396,$A$2:$A$5001,"&lt;="&amp;A1396),"PR",""))</f>
        <v/>
      </c>
    </row>
    <row r="1397">
      <c r="A1397" s="7" t="n"/>
      <c r="H1397" s="11">
        <f>IF(OR(D1397="",E1397=""),"",D1397*E1397)</f>
        <v/>
      </c>
      <c r="I1397" s="8">
        <f>IF(OR(D1397="",E1397=""),"",E1397*(1+D1397/30))</f>
        <v/>
      </c>
      <c r="J1397">
        <f>IF(I1397="","",IF(I1397&gt;=MAXIFS($I$2:$I$5001,$B$2:$B$5001,B1397,$A$2:$A$5001,"&lt;="&amp;A1397),"PR",""))</f>
        <v/>
      </c>
    </row>
    <row r="1398">
      <c r="A1398" s="7" t="n"/>
      <c r="H1398" s="11">
        <f>IF(OR(D1398="",E1398=""),"",D1398*E1398)</f>
        <v/>
      </c>
      <c r="I1398" s="8">
        <f>IF(OR(D1398="",E1398=""),"",E1398*(1+D1398/30))</f>
        <v/>
      </c>
      <c r="J1398">
        <f>IF(I1398="","",IF(I1398&gt;=MAXIFS($I$2:$I$5001,$B$2:$B$5001,B1398,$A$2:$A$5001,"&lt;="&amp;A1398),"PR",""))</f>
        <v/>
      </c>
    </row>
    <row r="1399">
      <c r="A1399" s="7" t="n"/>
      <c r="H1399" s="11">
        <f>IF(OR(D1399="",E1399=""),"",D1399*E1399)</f>
        <v/>
      </c>
      <c r="I1399" s="8">
        <f>IF(OR(D1399="",E1399=""),"",E1399*(1+D1399/30))</f>
        <v/>
      </c>
      <c r="J1399">
        <f>IF(I1399="","",IF(I1399&gt;=MAXIFS($I$2:$I$5001,$B$2:$B$5001,B1399,$A$2:$A$5001,"&lt;="&amp;A1399),"PR",""))</f>
        <v/>
      </c>
    </row>
    <row r="1400">
      <c r="A1400" s="7" t="n"/>
      <c r="H1400" s="11">
        <f>IF(OR(D1400="",E1400=""),"",D1400*E1400)</f>
        <v/>
      </c>
      <c r="I1400" s="8">
        <f>IF(OR(D1400="",E1400=""),"",E1400*(1+D1400/30))</f>
        <v/>
      </c>
      <c r="J1400">
        <f>IF(I1400="","",IF(I1400&gt;=MAXIFS($I$2:$I$5001,$B$2:$B$5001,B1400,$A$2:$A$5001,"&lt;="&amp;A1400),"PR",""))</f>
        <v/>
      </c>
    </row>
    <row r="1401">
      <c r="A1401" s="7" t="n"/>
      <c r="H1401" s="11">
        <f>IF(OR(D1401="",E1401=""),"",D1401*E1401)</f>
        <v/>
      </c>
      <c r="I1401" s="8">
        <f>IF(OR(D1401="",E1401=""),"",E1401*(1+D1401/30))</f>
        <v/>
      </c>
      <c r="J1401">
        <f>IF(I1401="","",IF(I1401&gt;=MAXIFS($I$2:$I$5001,$B$2:$B$5001,B1401,$A$2:$A$5001,"&lt;="&amp;A1401),"PR",""))</f>
        <v/>
      </c>
    </row>
    <row r="1402">
      <c r="A1402" s="7" t="n"/>
      <c r="H1402" s="11">
        <f>IF(OR(D1402="",E1402=""),"",D1402*E1402)</f>
        <v/>
      </c>
      <c r="I1402" s="8">
        <f>IF(OR(D1402="",E1402=""),"",E1402*(1+D1402/30))</f>
        <v/>
      </c>
      <c r="J1402">
        <f>IF(I1402="","",IF(I1402&gt;=MAXIFS($I$2:$I$5001,$B$2:$B$5001,B1402,$A$2:$A$5001,"&lt;="&amp;A1402),"PR",""))</f>
        <v/>
      </c>
    </row>
    <row r="1403">
      <c r="A1403" s="7" t="n"/>
      <c r="H1403" s="11">
        <f>IF(OR(D1403="",E1403=""),"",D1403*E1403)</f>
        <v/>
      </c>
      <c r="I1403" s="8">
        <f>IF(OR(D1403="",E1403=""),"",E1403*(1+D1403/30))</f>
        <v/>
      </c>
      <c r="J1403">
        <f>IF(I1403="","",IF(I1403&gt;=MAXIFS($I$2:$I$5001,$B$2:$B$5001,B1403,$A$2:$A$5001,"&lt;="&amp;A1403),"PR",""))</f>
        <v/>
      </c>
    </row>
    <row r="1404">
      <c r="A1404" s="7" t="n"/>
      <c r="H1404" s="11">
        <f>IF(OR(D1404="",E1404=""),"",D1404*E1404)</f>
        <v/>
      </c>
      <c r="I1404" s="8">
        <f>IF(OR(D1404="",E1404=""),"",E1404*(1+D1404/30))</f>
        <v/>
      </c>
      <c r="J1404">
        <f>IF(I1404="","",IF(I1404&gt;=MAXIFS($I$2:$I$5001,$B$2:$B$5001,B1404,$A$2:$A$5001,"&lt;="&amp;A1404),"PR",""))</f>
        <v/>
      </c>
    </row>
    <row r="1405">
      <c r="A1405" s="7" t="n"/>
      <c r="H1405" s="11">
        <f>IF(OR(D1405="",E1405=""),"",D1405*E1405)</f>
        <v/>
      </c>
      <c r="I1405" s="8">
        <f>IF(OR(D1405="",E1405=""),"",E1405*(1+D1405/30))</f>
        <v/>
      </c>
      <c r="J1405">
        <f>IF(I1405="","",IF(I1405&gt;=MAXIFS($I$2:$I$5001,$B$2:$B$5001,B1405,$A$2:$A$5001,"&lt;="&amp;A1405),"PR",""))</f>
        <v/>
      </c>
    </row>
    <row r="1406">
      <c r="A1406" s="7" t="n"/>
      <c r="H1406" s="11">
        <f>IF(OR(D1406="",E1406=""),"",D1406*E1406)</f>
        <v/>
      </c>
      <c r="I1406" s="8">
        <f>IF(OR(D1406="",E1406=""),"",E1406*(1+D1406/30))</f>
        <v/>
      </c>
      <c r="J1406">
        <f>IF(I1406="","",IF(I1406&gt;=MAXIFS($I$2:$I$5001,$B$2:$B$5001,B1406,$A$2:$A$5001,"&lt;="&amp;A1406),"PR",""))</f>
        <v/>
      </c>
    </row>
    <row r="1407">
      <c r="A1407" s="7" t="n"/>
      <c r="H1407" s="11">
        <f>IF(OR(D1407="",E1407=""),"",D1407*E1407)</f>
        <v/>
      </c>
      <c r="I1407" s="8">
        <f>IF(OR(D1407="",E1407=""),"",E1407*(1+D1407/30))</f>
        <v/>
      </c>
      <c r="J1407">
        <f>IF(I1407="","",IF(I1407&gt;=MAXIFS($I$2:$I$5001,$B$2:$B$5001,B1407,$A$2:$A$5001,"&lt;="&amp;A1407),"PR",""))</f>
        <v/>
      </c>
    </row>
    <row r="1408">
      <c r="A1408" s="7" t="n"/>
      <c r="H1408" s="11">
        <f>IF(OR(D1408="",E1408=""),"",D1408*E1408)</f>
        <v/>
      </c>
      <c r="I1408" s="8">
        <f>IF(OR(D1408="",E1408=""),"",E1408*(1+D1408/30))</f>
        <v/>
      </c>
      <c r="J1408">
        <f>IF(I1408="","",IF(I1408&gt;=MAXIFS($I$2:$I$5001,$B$2:$B$5001,B1408,$A$2:$A$5001,"&lt;="&amp;A1408),"PR",""))</f>
        <v/>
      </c>
    </row>
    <row r="1409">
      <c r="A1409" s="7" t="n"/>
      <c r="H1409" s="11">
        <f>IF(OR(D1409="",E1409=""),"",D1409*E1409)</f>
        <v/>
      </c>
      <c r="I1409" s="8">
        <f>IF(OR(D1409="",E1409=""),"",E1409*(1+D1409/30))</f>
        <v/>
      </c>
      <c r="J1409">
        <f>IF(I1409="","",IF(I1409&gt;=MAXIFS($I$2:$I$5001,$B$2:$B$5001,B1409,$A$2:$A$5001,"&lt;="&amp;A1409),"PR",""))</f>
        <v/>
      </c>
    </row>
    <row r="1410">
      <c r="A1410" s="7" t="n"/>
      <c r="H1410" s="11">
        <f>IF(OR(D1410="",E1410=""),"",D1410*E1410)</f>
        <v/>
      </c>
      <c r="I1410" s="8">
        <f>IF(OR(D1410="",E1410=""),"",E1410*(1+D1410/30))</f>
        <v/>
      </c>
      <c r="J1410">
        <f>IF(I1410="","",IF(I1410&gt;=MAXIFS($I$2:$I$5001,$B$2:$B$5001,B1410,$A$2:$A$5001,"&lt;="&amp;A1410),"PR",""))</f>
        <v/>
      </c>
    </row>
    <row r="1411">
      <c r="A1411" s="7" t="n"/>
      <c r="H1411" s="11">
        <f>IF(OR(D1411="",E1411=""),"",D1411*E1411)</f>
        <v/>
      </c>
      <c r="I1411" s="8">
        <f>IF(OR(D1411="",E1411=""),"",E1411*(1+D1411/30))</f>
        <v/>
      </c>
      <c r="J1411">
        <f>IF(I1411="","",IF(I1411&gt;=MAXIFS($I$2:$I$5001,$B$2:$B$5001,B1411,$A$2:$A$5001,"&lt;="&amp;A1411),"PR",""))</f>
        <v/>
      </c>
    </row>
    <row r="1412">
      <c r="A1412" s="7" t="n"/>
      <c r="H1412" s="11">
        <f>IF(OR(D1412="",E1412=""),"",D1412*E1412)</f>
        <v/>
      </c>
      <c r="I1412" s="8">
        <f>IF(OR(D1412="",E1412=""),"",E1412*(1+D1412/30))</f>
        <v/>
      </c>
      <c r="J1412">
        <f>IF(I1412="","",IF(I1412&gt;=MAXIFS($I$2:$I$5001,$B$2:$B$5001,B1412,$A$2:$A$5001,"&lt;="&amp;A1412),"PR",""))</f>
        <v/>
      </c>
    </row>
    <row r="1413">
      <c r="A1413" s="7" t="n"/>
      <c r="H1413" s="11">
        <f>IF(OR(D1413="",E1413=""),"",D1413*E1413)</f>
        <v/>
      </c>
      <c r="I1413" s="8">
        <f>IF(OR(D1413="",E1413=""),"",E1413*(1+D1413/30))</f>
        <v/>
      </c>
      <c r="J1413">
        <f>IF(I1413="","",IF(I1413&gt;=MAXIFS($I$2:$I$5001,$B$2:$B$5001,B1413,$A$2:$A$5001,"&lt;="&amp;A1413),"PR",""))</f>
        <v/>
      </c>
    </row>
    <row r="1414">
      <c r="A1414" s="7" t="n"/>
      <c r="H1414" s="11">
        <f>IF(OR(D1414="",E1414=""),"",D1414*E1414)</f>
        <v/>
      </c>
      <c r="I1414" s="8">
        <f>IF(OR(D1414="",E1414=""),"",E1414*(1+D1414/30))</f>
        <v/>
      </c>
      <c r="J1414">
        <f>IF(I1414="","",IF(I1414&gt;=MAXIFS($I$2:$I$5001,$B$2:$B$5001,B1414,$A$2:$A$5001,"&lt;="&amp;A1414),"PR",""))</f>
        <v/>
      </c>
    </row>
    <row r="1415">
      <c r="A1415" s="7" t="n"/>
      <c r="H1415" s="11">
        <f>IF(OR(D1415="",E1415=""),"",D1415*E1415)</f>
        <v/>
      </c>
      <c r="I1415" s="8">
        <f>IF(OR(D1415="",E1415=""),"",E1415*(1+D1415/30))</f>
        <v/>
      </c>
      <c r="J1415">
        <f>IF(I1415="","",IF(I1415&gt;=MAXIFS($I$2:$I$5001,$B$2:$B$5001,B1415,$A$2:$A$5001,"&lt;="&amp;A1415),"PR",""))</f>
        <v/>
      </c>
    </row>
    <row r="1416">
      <c r="A1416" s="7" t="n"/>
      <c r="H1416" s="11">
        <f>IF(OR(D1416="",E1416=""),"",D1416*E1416)</f>
        <v/>
      </c>
      <c r="I1416" s="8">
        <f>IF(OR(D1416="",E1416=""),"",E1416*(1+D1416/30))</f>
        <v/>
      </c>
      <c r="J1416">
        <f>IF(I1416="","",IF(I1416&gt;=MAXIFS($I$2:$I$5001,$B$2:$B$5001,B1416,$A$2:$A$5001,"&lt;="&amp;A1416),"PR",""))</f>
        <v/>
      </c>
    </row>
    <row r="1417">
      <c r="A1417" s="7" t="n"/>
      <c r="H1417" s="11">
        <f>IF(OR(D1417="",E1417=""),"",D1417*E1417)</f>
        <v/>
      </c>
      <c r="I1417" s="8">
        <f>IF(OR(D1417="",E1417=""),"",E1417*(1+D1417/30))</f>
        <v/>
      </c>
      <c r="J1417">
        <f>IF(I1417="","",IF(I1417&gt;=MAXIFS($I$2:$I$5001,$B$2:$B$5001,B1417,$A$2:$A$5001,"&lt;="&amp;A1417),"PR",""))</f>
        <v/>
      </c>
    </row>
    <row r="1418">
      <c r="A1418" s="7" t="n"/>
      <c r="H1418" s="11">
        <f>IF(OR(D1418="",E1418=""),"",D1418*E1418)</f>
        <v/>
      </c>
      <c r="I1418" s="8">
        <f>IF(OR(D1418="",E1418=""),"",E1418*(1+D1418/30))</f>
        <v/>
      </c>
      <c r="J1418">
        <f>IF(I1418="","",IF(I1418&gt;=MAXIFS($I$2:$I$5001,$B$2:$B$5001,B1418,$A$2:$A$5001,"&lt;="&amp;A1418),"PR",""))</f>
        <v/>
      </c>
    </row>
    <row r="1419">
      <c r="A1419" s="7" t="n"/>
      <c r="H1419" s="11">
        <f>IF(OR(D1419="",E1419=""),"",D1419*E1419)</f>
        <v/>
      </c>
      <c r="I1419" s="8">
        <f>IF(OR(D1419="",E1419=""),"",E1419*(1+D1419/30))</f>
        <v/>
      </c>
      <c r="J1419">
        <f>IF(I1419="","",IF(I1419&gt;=MAXIFS($I$2:$I$5001,$B$2:$B$5001,B1419,$A$2:$A$5001,"&lt;="&amp;A1419),"PR",""))</f>
        <v/>
      </c>
    </row>
    <row r="1420">
      <c r="A1420" s="7" t="n"/>
      <c r="H1420" s="11">
        <f>IF(OR(D1420="",E1420=""),"",D1420*E1420)</f>
        <v/>
      </c>
      <c r="I1420" s="8">
        <f>IF(OR(D1420="",E1420=""),"",E1420*(1+D1420/30))</f>
        <v/>
      </c>
      <c r="J1420">
        <f>IF(I1420="","",IF(I1420&gt;=MAXIFS($I$2:$I$5001,$B$2:$B$5001,B1420,$A$2:$A$5001,"&lt;="&amp;A1420),"PR",""))</f>
        <v/>
      </c>
    </row>
    <row r="1421">
      <c r="A1421" s="7" t="n"/>
      <c r="H1421" s="11">
        <f>IF(OR(D1421="",E1421=""),"",D1421*E1421)</f>
        <v/>
      </c>
      <c r="I1421" s="8">
        <f>IF(OR(D1421="",E1421=""),"",E1421*(1+D1421/30))</f>
        <v/>
      </c>
      <c r="J1421">
        <f>IF(I1421="","",IF(I1421&gt;=MAXIFS($I$2:$I$5001,$B$2:$B$5001,B1421,$A$2:$A$5001,"&lt;="&amp;A1421),"PR",""))</f>
        <v/>
      </c>
    </row>
    <row r="1422">
      <c r="A1422" s="7" t="n"/>
      <c r="H1422" s="11">
        <f>IF(OR(D1422="",E1422=""),"",D1422*E1422)</f>
        <v/>
      </c>
      <c r="I1422" s="8">
        <f>IF(OR(D1422="",E1422=""),"",E1422*(1+D1422/30))</f>
        <v/>
      </c>
      <c r="J1422">
        <f>IF(I1422="","",IF(I1422&gt;=MAXIFS($I$2:$I$5001,$B$2:$B$5001,B1422,$A$2:$A$5001,"&lt;="&amp;A1422),"PR",""))</f>
        <v/>
      </c>
    </row>
    <row r="1423">
      <c r="A1423" s="7" t="n"/>
      <c r="H1423" s="11">
        <f>IF(OR(D1423="",E1423=""),"",D1423*E1423)</f>
        <v/>
      </c>
      <c r="I1423" s="8">
        <f>IF(OR(D1423="",E1423=""),"",E1423*(1+D1423/30))</f>
        <v/>
      </c>
      <c r="J1423">
        <f>IF(I1423="","",IF(I1423&gt;=MAXIFS($I$2:$I$5001,$B$2:$B$5001,B1423,$A$2:$A$5001,"&lt;="&amp;A1423),"PR",""))</f>
        <v/>
      </c>
    </row>
    <row r="1424">
      <c r="A1424" s="7" t="n"/>
      <c r="H1424" s="11">
        <f>IF(OR(D1424="",E1424=""),"",D1424*E1424)</f>
        <v/>
      </c>
      <c r="I1424" s="8">
        <f>IF(OR(D1424="",E1424=""),"",E1424*(1+D1424/30))</f>
        <v/>
      </c>
      <c r="J1424">
        <f>IF(I1424="","",IF(I1424&gt;=MAXIFS($I$2:$I$5001,$B$2:$B$5001,B1424,$A$2:$A$5001,"&lt;="&amp;A1424),"PR",""))</f>
        <v/>
      </c>
    </row>
    <row r="1425">
      <c r="A1425" s="7" t="n"/>
      <c r="H1425" s="11">
        <f>IF(OR(D1425="",E1425=""),"",D1425*E1425)</f>
        <v/>
      </c>
      <c r="I1425" s="8">
        <f>IF(OR(D1425="",E1425=""),"",E1425*(1+D1425/30))</f>
        <v/>
      </c>
      <c r="J1425">
        <f>IF(I1425="","",IF(I1425&gt;=MAXIFS($I$2:$I$5001,$B$2:$B$5001,B1425,$A$2:$A$5001,"&lt;="&amp;A1425),"PR",""))</f>
        <v/>
      </c>
    </row>
    <row r="1426">
      <c r="A1426" s="7" t="n"/>
      <c r="H1426" s="11">
        <f>IF(OR(D1426="",E1426=""),"",D1426*E1426)</f>
        <v/>
      </c>
      <c r="I1426" s="8">
        <f>IF(OR(D1426="",E1426=""),"",E1426*(1+D1426/30))</f>
        <v/>
      </c>
      <c r="J1426">
        <f>IF(I1426="","",IF(I1426&gt;=MAXIFS($I$2:$I$5001,$B$2:$B$5001,B1426,$A$2:$A$5001,"&lt;="&amp;A1426),"PR",""))</f>
        <v/>
      </c>
    </row>
    <row r="1427">
      <c r="A1427" s="7" t="n"/>
      <c r="H1427" s="11">
        <f>IF(OR(D1427="",E1427=""),"",D1427*E1427)</f>
        <v/>
      </c>
      <c r="I1427" s="8">
        <f>IF(OR(D1427="",E1427=""),"",E1427*(1+D1427/30))</f>
        <v/>
      </c>
      <c r="J1427">
        <f>IF(I1427="","",IF(I1427&gt;=MAXIFS($I$2:$I$5001,$B$2:$B$5001,B1427,$A$2:$A$5001,"&lt;="&amp;A1427),"PR",""))</f>
        <v/>
      </c>
    </row>
    <row r="1428">
      <c r="A1428" s="7" t="n"/>
      <c r="H1428" s="11">
        <f>IF(OR(D1428="",E1428=""),"",D1428*E1428)</f>
        <v/>
      </c>
      <c r="I1428" s="8">
        <f>IF(OR(D1428="",E1428=""),"",E1428*(1+D1428/30))</f>
        <v/>
      </c>
      <c r="J1428">
        <f>IF(I1428="","",IF(I1428&gt;=MAXIFS($I$2:$I$5001,$B$2:$B$5001,B1428,$A$2:$A$5001,"&lt;="&amp;A1428),"PR",""))</f>
        <v/>
      </c>
    </row>
    <row r="1429">
      <c r="A1429" s="7" t="n"/>
      <c r="H1429" s="11">
        <f>IF(OR(D1429="",E1429=""),"",D1429*E1429)</f>
        <v/>
      </c>
      <c r="I1429" s="8">
        <f>IF(OR(D1429="",E1429=""),"",E1429*(1+D1429/30))</f>
        <v/>
      </c>
      <c r="J1429">
        <f>IF(I1429="","",IF(I1429&gt;=MAXIFS($I$2:$I$5001,$B$2:$B$5001,B1429,$A$2:$A$5001,"&lt;="&amp;A1429),"PR",""))</f>
        <v/>
      </c>
    </row>
    <row r="1430">
      <c r="A1430" s="7" t="n"/>
      <c r="H1430" s="11">
        <f>IF(OR(D1430="",E1430=""),"",D1430*E1430)</f>
        <v/>
      </c>
      <c r="I1430" s="8">
        <f>IF(OR(D1430="",E1430=""),"",E1430*(1+D1430/30))</f>
        <v/>
      </c>
      <c r="J1430">
        <f>IF(I1430="","",IF(I1430&gt;=MAXIFS($I$2:$I$5001,$B$2:$B$5001,B1430,$A$2:$A$5001,"&lt;="&amp;A1430),"PR",""))</f>
        <v/>
      </c>
    </row>
    <row r="1431">
      <c r="A1431" s="7" t="n"/>
      <c r="H1431" s="11">
        <f>IF(OR(D1431="",E1431=""),"",D1431*E1431)</f>
        <v/>
      </c>
      <c r="I1431" s="8">
        <f>IF(OR(D1431="",E1431=""),"",E1431*(1+D1431/30))</f>
        <v/>
      </c>
      <c r="J1431">
        <f>IF(I1431="","",IF(I1431&gt;=MAXIFS($I$2:$I$5001,$B$2:$B$5001,B1431,$A$2:$A$5001,"&lt;="&amp;A1431),"PR",""))</f>
        <v/>
      </c>
    </row>
    <row r="1432">
      <c r="A1432" s="7" t="n"/>
      <c r="H1432" s="11">
        <f>IF(OR(D1432="",E1432=""),"",D1432*E1432)</f>
        <v/>
      </c>
      <c r="I1432" s="8">
        <f>IF(OR(D1432="",E1432=""),"",E1432*(1+D1432/30))</f>
        <v/>
      </c>
      <c r="J1432">
        <f>IF(I1432="","",IF(I1432&gt;=MAXIFS($I$2:$I$5001,$B$2:$B$5001,B1432,$A$2:$A$5001,"&lt;="&amp;A1432),"PR",""))</f>
        <v/>
      </c>
    </row>
    <row r="1433">
      <c r="A1433" s="7" t="n"/>
      <c r="H1433" s="11">
        <f>IF(OR(D1433="",E1433=""),"",D1433*E1433)</f>
        <v/>
      </c>
      <c r="I1433" s="8">
        <f>IF(OR(D1433="",E1433=""),"",E1433*(1+D1433/30))</f>
        <v/>
      </c>
      <c r="J1433">
        <f>IF(I1433="","",IF(I1433&gt;=MAXIFS($I$2:$I$5001,$B$2:$B$5001,B1433,$A$2:$A$5001,"&lt;="&amp;A1433),"PR",""))</f>
        <v/>
      </c>
    </row>
    <row r="1434">
      <c r="A1434" s="7" t="n"/>
      <c r="H1434" s="11">
        <f>IF(OR(D1434="",E1434=""),"",D1434*E1434)</f>
        <v/>
      </c>
      <c r="I1434" s="8">
        <f>IF(OR(D1434="",E1434=""),"",E1434*(1+D1434/30))</f>
        <v/>
      </c>
      <c r="J1434">
        <f>IF(I1434="","",IF(I1434&gt;=MAXIFS($I$2:$I$5001,$B$2:$B$5001,B1434,$A$2:$A$5001,"&lt;="&amp;A1434),"PR",""))</f>
        <v/>
      </c>
    </row>
    <row r="1435">
      <c r="A1435" s="7" t="n"/>
      <c r="H1435" s="11">
        <f>IF(OR(D1435="",E1435=""),"",D1435*E1435)</f>
        <v/>
      </c>
      <c r="I1435" s="8">
        <f>IF(OR(D1435="",E1435=""),"",E1435*(1+D1435/30))</f>
        <v/>
      </c>
      <c r="J1435">
        <f>IF(I1435="","",IF(I1435&gt;=MAXIFS($I$2:$I$5001,$B$2:$B$5001,B1435,$A$2:$A$5001,"&lt;="&amp;A1435),"PR",""))</f>
        <v/>
      </c>
    </row>
    <row r="1436">
      <c r="A1436" s="7" t="n"/>
      <c r="H1436" s="11">
        <f>IF(OR(D1436="",E1436=""),"",D1436*E1436)</f>
        <v/>
      </c>
      <c r="I1436" s="8">
        <f>IF(OR(D1436="",E1436=""),"",E1436*(1+D1436/30))</f>
        <v/>
      </c>
      <c r="J1436">
        <f>IF(I1436="","",IF(I1436&gt;=MAXIFS($I$2:$I$5001,$B$2:$B$5001,B1436,$A$2:$A$5001,"&lt;="&amp;A1436),"PR",""))</f>
        <v/>
      </c>
    </row>
    <row r="1437">
      <c r="A1437" s="7" t="n"/>
      <c r="H1437" s="11">
        <f>IF(OR(D1437="",E1437=""),"",D1437*E1437)</f>
        <v/>
      </c>
      <c r="I1437" s="8">
        <f>IF(OR(D1437="",E1437=""),"",E1437*(1+D1437/30))</f>
        <v/>
      </c>
      <c r="J1437">
        <f>IF(I1437="","",IF(I1437&gt;=MAXIFS($I$2:$I$5001,$B$2:$B$5001,B1437,$A$2:$A$5001,"&lt;="&amp;A1437),"PR",""))</f>
        <v/>
      </c>
    </row>
    <row r="1438">
      <c r="A1438" s="7" t="n"/>
      <c r="H1438" s="11">
        <f>IF(OR(D1438="",E1438=""),"",D1438*E1438)</f>
        <v/>
      </c>
      <c r="I1438" s="8">
        <f>IF(OR(D1438="",E1438=""),"",E1438*(1+D1438/30))</f>
        <v/>
      </c>
      <c r="J1438">
        <f>IF(I1438="","",IF(I1438&gt;=MAXIFS($I$2:$I$5001,$B$2:$B$5001,B1438,$A$2:$A$5001,"&lt;="&amp;A1438),"PR",""))</f>
        <v/>
      </c>
    </row>
    <row r="1439">
      <c r="A1439" s="7" t="n"/>
      <c r="H1439" s="11">
        <f>IF(OR(D1439="",E1439=""),"",D1439*E1439)</f>
        <v/>
      </c>
      <c r="I1439" s="8">
        <f>IF(OR(D1439="",E1439=""),"",E1439*(1+D1439/30))</f>
        <v/>
      </c>
      <c r="J1439">
        <f>IF(I1439="","",IF(I1439&gt;=MAXIFS($I$2:$I$5001,$B$2:$B$5001,B1439,$A$2:$A$5001,"&lt;="&amp;A1439),"PR",""))</f>
        <v/>
      </c>
    </row>
    <row r="1440">
      <c r="A1440" s="7" t="n"/>
      <c r="H1440" s="11">
        <f>IF(OR(D1440="",E1440=""),"",D1440*E1440)</f>
        <v/>
      </c>
      <c r="I1440" s="8">
        <f>IF(OR(D1440="",E1440=""),"",E1440*(1+D1440/30))</f>
        <v/>
      </c>
      <c r="J1440">
        <f>IF(I1440="","",IF(I1440&gt;=MAXIFS($I$2:$I$5001,$B$2:$B$5001,B1440,$A$2:$A$5001,"&lt;="&amp;A1440),"PR",""))</f>
        <v/>
      </c>
    </row>
    <row r="1441">
      <c r="A1441" s="7" t="n"/>
      <c r="H1441" s="11">
        <f>IF(OR(D1441="",E1441=""),"",D1441*E1441)</f>
        <v/>
      </c>
      <c r="I1441" s="8">
        <f>IF(OR(D1441="",E1441=""),"",E1441*(1+D1441/30))</f>
        <v/>
      </c>
      <c r="J1441">
        <f>IF(I1441="","",IF(I1441&gt;=MAXIFS($I$2:$I$5001,$B$2:$B$5001,B1441,$A$2:$A$5001,"&lt;="&amp;A1441),"PR",""))</f>
        <v/>
      </c>
    </row>
    <row r="1442">
      <c r="A1442" s="7" t="n"/>
      <c r="H1442" s="11">
        <f>IF(OR(D1442="",E1442=""),"",D1442*E1442)</f>
        <v/>
      </c>
      <c r="I1442" s="8">
        <f>IF(OR(D1442="",E1442=""),"",E1442*(1+D1442/30))</f>
        <v/>
      </c>
      <c r="J1442">
        <f>IF(I1442="","",IF(I1442&gt;=MAXIFS($I$2:$I$5001,$B$2:$B$5001,B1442,$A$2:$A$5001,"&lt;="&amp;A1442),"PR",""))</f>
        <v/>
      </c>
    </row>
    <row r="1443">
      <c r="A1443" s="7" t="n"/>
      <c r="H1443" s="11">
        <f>IF(OR(D1443="",E1443=""),"",D1443*E1443)</f>
        <v/>
      </c>
      <c r="I1443" s="8">
        <f>IF(OR(D1443="",E1443=""),"",E1443*(1+D1443/30))</f>
        <v/>
      </c>
      <c r="J1443">
        <f>IF(I1443="","",IF(I1443&gt;=MAXIFS($I$2:$I$5001,$B$2:$B$5001,B1443,$A$2:$A$5001,"&lt;="&amp;A1443),"PR",""))</f>
        <v/>
      </c>
    </row>
    <row r="1444">
      <c r="A1444" s="7" t="n"/>
      <c r="H1444" s="11">
        <f>IF(OR(D1444="",E1444=""),"",D1444*E1444)</f>
        <v/>
      </c>
      <c r="I1444" s="8">
        <f>IF(OR(D1444="",E1444=""),"",E1444*(1+D1444/30))</f>
        <v/>
      </c>
      <c r="J1444">
        <f>IF(I1444="","",IF(I1444&gt;=MAXIFS($I$2:$I$5001,$B$2:$B$5001,B1444,$A$2:$A$5001,"&lt;="&amp;A1444),"PR",""))</f>
        <v/>
      </c>
    </row>
    <row r="1445">
      <c r="A1445" s="7" t="n"/>
      <c r="H1445" s="11">
        <f>IF(OR(D1445="",E1445=""),"",D1445*E1445)</f>
        <v/>
      </c>
      <c r="I1445" s="8">
        <f>IF(OR(D1445="",E1445=""),"",E1445*(1+D1445/30))</f>
        <v/>
      </c>
      <c r="J1445">
        <f>IF(I1445="","",IF(I1445&gt;=MAXIFS($I$2:$I$5001,$B$2:$B$5001,B1445,$A$2:$A$5001,"&lt;="&amp;A1445),"PR",""))</f>
        <v/>
      </c>
    </row>
    <row r="1446">
      <c r="A1446" s="7" t="n"/>
      <c r="H1446" s="11">
        <f>IF(OR(D1446="",E1446=""),"",D1446*E1446)</f>
        <v/>
      </c>
      <c r="I1446" s="8">
        <f>IF(OR(D1446="",E1446=""),"",E1446*(1+D1446/30))</f>
        <v/>
      </c>
      <c r="J1446">
        <f>IF(I1446="","",IF(I1446&gt;=MAXIFS($I$2:$I$5001,$B$2:$B$5001,B1446,$A$2:$A$5001,"&lt;="&amp;A1446),"PR",""))</f>
        <v/>
      </c>
    </row>
    <row r="1447">
      <c r="A1447" s="7" t="n"/>
      <c r="H1447" s="11">
        <f>IF(OR(D1447="",E1447=""),"",D1447*E1447)</f>
        <v/>
      </c>
      <c r="I1447" s="8">
        <f>IF(OR(D1447="",E1447=""),"",E1447*(1+D1447/30))</f>
        <v/>
      </c>
      <c r="J1447">
        <f>IF(I1447="","",IF(I1447&gt;=MAXIFS($I$2:$I$5001,$B$2:$B$5001,B1447,$A$2:$A$5001,"&lt;="&amp;A1447),"PR",""))</f>
        <v/>
      </c>
    </row>
    <row r="1448">
      <c r="A1448" s="7" t="n"/>
      <c r="H1448" s="11">
        <f>IF(OR(D1448="",E1448=""),"",D1448*E1448)</f>
        <v/>
      </c>
      <c r="I1448" s="8">
        <f>IF(OR(D1448="",E1448=""),"",E1448*(1+D1448/30))</f>
        <v/>
      </c>
      <c r="J1448">
        <f>IF(I1448="","",IF(I1448&gt;=MAXIFS($I$2:$I$5001,$B$2:$B$5001,B1448,$A$2:$A$5001,"&lt;="&amp;A1448),"PR",""))</f>
        <v/>
      </c>
    </row>
    <row r="1449">
      <c r="A1449" s="7" t="n"/>
      <c r="H1449" s="11">
        <f>IF(OR(D1449="",E1449=""),"",D1449*E1449)</f>
        <v/>
      </c>
      <c r="I1449" s="8">
        <f>IF(OR(D1449="",E1449=""),"",E1449*(1+D1449/30))</f>
        <v/>
      </c>
      <c r="J1449">
        <f>IF(I1449="","",IF(I1449&gt;=MAXIFS($I$2:$I$5001,$B$2:$B$5001,B1449,$A$2:$A$5001,"&lt;="&amp;A1449),"PR",""))</f>
        <v/>
      </c>
    </row>
    <row r="1450">
      <c r="A1450" s="7" t="n"/>
      <c r="H1450" s="11">
        <f>IF(OR(D1450="",E1450=""),"",D1450*E1450)</f>
        <v/>
      </c>
      <c r="I1450" s="8">
        <f>IF(OR(D1450="",E1450=""),"",E1450*(1+D1450/30))</f>
        <v/>
      </c>
      <c r="J1450">
        <f>IF(I1450="","",IF(I1450&gt;=MAXIFS($I$2:$I$5001,$B$2:$B$5001,B1450,$A$2:$A$5001,"&lt;="&amp;A1450),"PR",""))</f>
        <v/>
      </c>
    </row>
    <row r="1451">
      <c r="A1451" s="7" t="n"/>
      <c r="H1451" s="11">
        <f>IF(OR(D1451="",E1451=""),"",D1451*E1451)</f>
        <v/>
      </c>
      <c r="I1451" s="8">
        <f>IF(OR(D1451="",E1451=""),"",E1451*(1+D1451/30))</f>
        <v/>
      </c>
      <c r="J1451">
        <f>IF(I1451="","",IF(I1451&gt;=MAXIFS($I$2:$I$5001,$B$2:$B$5001,B1451,$A$2:$A$5001,"&lt;="&amp;A1451),"PR",""))</f>
        <v/>
      </c>
    </row>
    <row r="1452">
      <c r="A1452" s="7" t="n"/>
      <c r="H1452" s="11">
        <f>IF(OR(D1452="",E1452=""),"",D1452*E1452)</f>
        <v/>
      </c>
      <c r="I1452" s="8">
        <f>IF(OR(D1452="",E1452=""),"",E1452*(1+D1452/30))</f>
        <v/>
      </c>
      <c r="J1452">
        <f>IF(I1452="","",IF(I1452&gt;=MAXIFS($I$2:$I$5001,$B$2:$B$5001,B1452,$A$2:$A$5001,"&lt;="&amp;A1452),"PR",""))</f>
        <v/>
      </c>
    </row>
    <row r="1453">
      <c r="A1453" s="7" t="n"/>
      <c r="H1453" s="11">
        <f>IF(OR(D1453="",E1453=""),"",D1453*E1453)</f>
        <v/>
      </c>
      <c r="I1453" s="8">
        <f>IF(OR(D1453="",E1453=""),"",E1453*(1+D1453/30))</f>
        <v/>
      </c>
      <c r="J1453">
        <f>IF(I1453="","",IF(I1453&gt;=MAXIFS($I$2:$I$5001,$B$2:$B$5001,B1453,$A$2:$A$5001,"&lt;="&amp;A1453),"PR",""))</f>
        <v/>
      </c>
    </row>
    <row r="1454">
      <c r="A1454" s="7" t="n"/>
      <c r="H1454" s="11">
        <f>IF(OR(D1454="",E1454=""),"",D1454*E1454)</f>
        <v/>
      </c>
      <c r="I1454" s="8">
        <f>IF(OR(D1454="",E1454=""),"",E1454*(1+D1454/30))</f>
        <v/>
      </c>
      <c r="J1454">
        <f>IF(I1454="","",IF(I1454&gt;=MAXIFS($I$2:$I$5001,$B$2:$B$5001,B1454,$A$2:$A$5001,"&lt;="&amp;A1454),"PR",""))</f>
        <v/>
      </c>
    </row>
    <row r="1455">
      <c r="A1455" s="7" t="n"/>
      <c r="H1455" s="11">
        <f>IF(OR(D1455="",E1455=""),"",D1455*E1455)</f>
        <v/>
      </c>
      <c r="I1455" s="8">
        <f>IF(OR(D1455="",E1455=""),"",E1455*(1+D1455/30))</f>
        <v/>
      </c>
      <c r="J1455">
        <f>IF(I1455="","",IF(I1455&gt;=MAXIFS($I$2:$I$5001,$B$2:$B$5001,B1455,$A$2:$A$5001,"&lt;="&amp;A1455),"PR",""))</f>
        <v/>
      </c>
    </row>
    <row r="1456">
      <c r="A1456" s="7" t="n"/>
      <c r="H1456" s="11">
        <f>IF(OR(D1456="",E1456=""),"",D1456*E1456)</f>
        <v/>
      </c>
      <c r="I1456" s="8">
        <f>IF(OR(D1456="",E1456=""),"",E1456*(1+D1456/30))</f>
        <v/>
      </c>
      <c r="J1456">
        <f>IF(I1456="","",IF(I1456&gt;=MAXIFS($I$2:$I$5001,$B$2:$B$5001,B1456,$A$2:$A$5001,"&lt;="&amp;A1456),"PR",""))</f>
        <v/>
      </c>
    </row>
    <row r="1457">
      <c r="A1457" s="7" t="n"/>
      <c r="H1457" s="11">
        <f>IF(OR(D1457="",E1457=""),"",D1457*E1457)</f>
        <v/>
      </c>
      <c r="I1457" s="8">
        <f>IF(OR(D1457="",E1457=""),"",E1457*(1+D1457/30))</f>
        <v/>
      </c>
      <c r="J1457">
        <f>IF(I1457="","",IF(I1457&gt;=MAXIFS($I$2:$I$5001,$B$2:$B$5001,B1457,$A$2:$A$5001,"&lt;="&amp;A1457),"PR",""))</f>
        <v/>
      </c>
    </row>
    <row r="1458">
      <c r="A1458" s="7" t="n"/>
      <c r="H1458" s="11">
        <f>IF(OR(D1458="",E1458=""),"",D1458*E1458)</f>
        <v/>
      </c>
      <c r="I1458" s="8">
        <f>IF(OR(D1458="",E1458=""),"",E1458*(1+D1458/30))</f>
        <v/>
      </c>
      <c r="J1458">
        <f>IF(I1458="","",IF(I1458&gt;=MAXIFS($I$2:$I$5001,$B$2:$B$5001,B1458,$A$2:$A$5001,"&lt;="&amp;A1458),"PR",""))</f>
        <v/>
      </c>
    </row>
    <row r="1459">
      <c r="A1459" s="7" t="n"/>
      <c r="H1459" s="11">
        <f>IF(OR(D1459="",E1459=""),"",D1459*E1459)</f>
        <v/>
      </c>
      <c r="I1459" s="8">
        <f>IF(OR(D1459="",E1459=""),"",E1459*(1+D1459/30))</f>
        <v/>
      </c>
      <c r="J1459">
        <f>IF(I1459="","",IF(I1459&gt;=MAXIFS($I$2:$I$5001,$B$2:$B$5001,B1459,$A$2:$A$5001,"&lt;="&amp;A1459),"PR",""))</f>
        <v/>
      </c>
    </row>
    <row r="1460">
      <c r="A1460" s="7" t="n"/>
      <c r="H1460" s="11">
        <f>IF(OR(D1460="",E1460=""),"",D1460*E1460)</f>
        <v/>
      </c>
      <c r="I1460" s="8">
        <f>IF(OR(D1460="",E1460=""),"",E1460*(1+D1460/30))</f>
        <v/>
      </c>
      <c r="J1460">
        <f>IF(I1460="","",IF(I1460&gt;=MAXIFS($I$2:$I$5001,$B$2:$B$5001,B1460,$A$2:$A$5001,"&lt;="&amp;A1460),"PR",""))</f>
        <v/>
      </c>
    </row>
    <row r="1461">
      <c r="A1461" s="7" t="n"/>
      <c r="H1461" s="11">
        <f>IF(OR(D1461="",E1461=""),"",D1461*E1461)</f>
        <v/>
      </c>
      <c r="I1461" s="8">
        <f>IF(OR(D1461="",E1461=""),"",E1461*(1+D1461/30))</f>
        <v/>
      </c>
      <c r="J1461">
        <f>IF(I1461="","",IF(I1461&gt;=MAXIFS($I$2:$I$5001,$B$2:$B$5001,B1461,$A$2:$A$5001,"&lt;="&amp;A1461),"PR",""))</f>
        <v/>
      </c>
    </row>
    <row r="1462">
      <c r="A1462" s="7" t="n"/>
      <c r="H1462" s="11">
        <f>IF(OR(D1462="",E1462=""),"",D1462*E1462)</f>
        <v/>
      </c>
      <c r="I1462" s="8">
        <f>IF(OR(D1462="",E1462=""),"",E1462*(1+D1462/30))</f>
        <v/>
      </c>
      <c r="J1462">
        <f>IF(I1462="","",IF(I1462&gt;=MAXIFS($I$2:$I$5001,$B$2:$B$5001,B1462,$A$2:$A$5001,"&lt;="&amp;A1462),"PR",""))</f>
        <v/>
      </c>
    </row>
    <row r="1463">
      <c r="A1463" s="7" t="n"/>
      <c r="H1463" s="11">
        <f>IF(OR(D1463="",E1463=""),"",D1463*E1463)</f>
        <v/>
      </c>
      <c r="I1463" s="8">
        <f>IF(OR(D1463="",E1463=""),"",E1463*(1+D1463/30))</f>
        <v/>
      </c>
      <c r="J1463">
        <f>IF(I1463="","",IF(I1463&gt;=MAXIFS($I$2:$I$5001,$B$2:$B$5001,B1463,$A$2:$A$5001,"&lt;="&amp;A1463),"PR",""))</f>
        <v/>
      </c>
    </row>
    <row r="1464">
      <c r="A1464" s="7" t="n"/>
      <c r="H1464" s="11">
        <f>IF(OR(D1464="",E1464=""),"",D1464*E1464)</f>
        <v/>
      </c>
      <c r="I1464" s="8">
        <f>IF(OR(D1464="",E1464=""),"",E1464*(1+D1464/30))</f>
        <v/>
      </c>
      <c r="J1464">
        <f>IF(I1464="","",IF(I1464&gt;=MAXIFS($I$2:$I$5001,$B$2:$B$5001,B1464,$A$2:$A$5001,"&lt;="&amp;A1464),"PR",""))</f>
        <v/>
      </c>
    </row>
    <row r="1465">
      <c r="A1465" s="7" t="n"/>
      <c r="H1465" s="11">
        <f>IF(OR(D1465="",E1465=""),"",D1465*E1465)</f>
        <v/>
      </c>
      <c r="I1465" s="8">
        <f>IF(OR(D1465="",E1465=""),"",E1465*(1+D1465/30))</f>
        <v/>
      </c>
      <c r="J1465">
        <f>IF(I1465="","",IF(I1465&gt;=MAXIFS($I$2:$I$5001,$B$2:$B$5001,B1465,$A$2:$A$5001,"&lt;="&amp;A1465),"PR",""))</f>
        <v/>
      </c>
    </row>
    <row r="1466">
      <c r="A1466" s="7" t="n"/>
      <c r="H1466" s="11">
        <f>IF(OR(D1466="",E1466=""),"",D1466*E1466)</f>
        <v/>
      </c>
      <c r="I1466" s="8">
        <f>IF(OR(D1466="",E1466=""),"",E1466*(1+D1466/30))</f>
        <v/>
      </c>
      <c r="J1466">
        <f>IF(I1466="","",IF(I1466&gt;=MAXIFS($I$2:$I$5001,$B$2:$B$5001,B1466,$A$2:$A$5001,"&lt;="&amp;A1466),"PR",""))</f>
        <v/>
      </c>
    </row>
    <row r="1467">
      <c r="A1467" s="7" t="n"/>
      <c r="H1467" s="11">
        <f>IF(OR(D1467="",E1467=""),"",D1467*E1467)</f>
        <v/>
      </c>
      <c r="I1467" s="8">
        <f>IF(OR(D1467="",E1467=""),"",E1467*(1+D1467/30))</f>
        <v/>
      </c>
      <c r="J1467">
        <f>IF(I1467="","",IF(I1467&gt;=MAXIFS($I$2:$I$5001,$B$2:$B$5001,B1467,$A$2:$A$5001,"&lt;="&amp;A1467),"PR",""))</f>
        <v/>
      </c>
    </row>
    <row r="1468">
      <c r="A1468" s="7" t="n"/>
      <c r="H1468" s="11">
        <f>IF(OR(D1468="",E1468=""),"",D1468*E1468)</f>
        <v/>
      </c>
      <c r="I1468" s="8">
        <f>IF(OR(D1468="",E1468=""),"",E1468*(1+D1468/30))</f>
        <v/>
      </c>
      <c r="J1468">
        <f>IF(I1468="","",IF(I1468&gt;=MAXIFS($I$2:$I$5001,$B$2:$B$5001,B1468,$A$2:$A$5001,"&lt;="&amp;A1468),"PR",""))</f>
        <v/>
      </c>
    </row>
    <row r="1469">
      <c r="A1469" s="7" t="n"/>
      <c r="H1469" s="11">
        <f>IF(OR(D1469="",E1469=""),"",D1469*E1469)</f>
        <v/>
      </c>
      <c r="I1469" s="8">
        <f>IF(OR(D1469="",E1469=""),"",E1469*(1+D1469/30))</f>
        <v/>
      </c>
      <c r="J1469">
        <f>IF(I1469="","",IF(I1469&gt;=MAXIFS($I$2:$I$5001,$B$2:$B$5001,B1469,$A$2:$A$5001,"&lt;="&amp;A1469),"PR",""))</f>
        <v/>
      </c>
    </row>
    <row r="1470">
      <c r="A1470" s="7" t="n"/>
      <c r="H1470" s="11">
        <f>IF(OR(D1470="",E1470=""),"",D1470*E1470)</f>
        <v/>
      </c>
      <c r="I1470" s="8">
        <f>IF(OR(D1470="",E1470=""),"",E1470*(1+D1470/30))</f>
        <v/>
      </c>
      <c r="J1470">
        <f>IF(I1470="","",IF(I1470&gt;=MAXIFS($I$2:$I$5001,$B$2:$B$5001,B1470,$A$2:$A$5001,"&lt;="&amp;A1470),"PR",""))</f>
        <v/>
      </c>
    </row>
    <row r="1471">
      <c r="A1471" s="7" t="n"/>
      <c r="H1471" s="11">
        <f>IF(OR(D1471="",E1471=""),"",D1471*E1471)</f>
        <v/>
      </c>
      <c r="I1471" s="8">
        <f>IF(OR(D1471="",E1471=""),"",E1471*(1+D1471/30))</f>
        <v/>
      </c>
      <c r="J1471">
        <f>IF(I1471="","",IF(I1471&gt;=MAXIFS($I$2:$I$5001,$B$2:$B$5001,B1471,$A$2:$A$5001,"&lt;="&amp;A1471),"PR",""))</f>
        <v/>
      </c>
    </row>
    <row r="1472">
      <c r="A1472" s="7" t="n"/>
      <c r="H1472" s="11">
        <f>IF(OR(D1472="",E1472=""),"",D1472*E1472)</f>
        <v/>
      </c>
      <c r="I1472" s="8">
        <f>IF(OR(D1472="",E1472=""),"",E1472*(1+D1472/30))</f>
        <v/>
      </c>
      <c r="J1472">
        <f>IF(I1472="","",IF(I1472&gt;=MAXIFS($I$2:$I$5001,$B$2:$B$5001,B1472,$A$2:$A$5001,"&lt;="&amp;A1472),"PR",""))</f>
        <v/>
      </c>
    </row>
    <row r="1473">
      <c r="A1473" s="7" t="n"/>
      <c r="H1473" s="11">
        <f>IF(OR(D1473="",E1473=""),"",D1473*E1473)</f>
        <v/>
      </c>
      <c r="I1473" s="8">
        <f>IF(OR(D1473="",E1473=""),"",E1473*(1+D1473/30))</f>
        <v/>
      </c>
      <c r="J1473">
        <f>IF(I1473="","",IF(I1473&gt;=MAXIFS($I$2:$I$5001,$B$2:$B$5001,B1473,$A$2:$A$5001,"&lt;="&amp;A1473),"PR",""))</f>
        <v/>
      </c>
    </row>
    <row r="1474">
      <c r="A1474" s="7" t="n"/>
      <c r="H1474" s="11">
        <f>IF(OR(D1474="",E1474=""),"",D1474*E1474)</f>
        <v/>
      </c>
      <c r="I1474" s="8">
        <f>IF(OR(D1474="",E1474=""),"",E1474*(1+D1474/30))</f>
        <v/>
      </c>
      <c r="J1474">
        <f>IF(I1474="","",IF(I1474&gt;=MAXIFS($I$2:$I$5001,$B$2:$B$5001,B1474,$A$2:$A$5001,"&lt;="&amp;A1474),"PR",""))</f>
        <v/>
      </c>
    </row>
    <row r="1475">
      <c r="A1475" s="7" t="n"/>
      <c r="H1475" s="11">
        <f>IF(OR(D1475="",E1475=""),"",D1475*E1475)</f>
        <v/>
      </c>
      <c r="I1475" s="8">
        <f>IF(OR(D1475="",E1475=""),"",E1475*(1+D1475/30))</f>
        <v/>
      </c>
      <c r="J1475">
        <f>IF(I1475="","",IF(I1475&gt;=MAXIFS($I$2:$I$5001,$B$2:$B$5001,B1475,$A$2:$A$5001,"&lt;="&amp;A1475),"PR",""))</f>
        <v/>
      </c>
    </row>
    <row r="1476">
      <c r="A1476" s="7" t="n"/>
      <c r="H1476" s="11">
        <f>IF(OR(D1476="",E1476=""),"",D1476*E1476)</f>
        <v/>
      </c>
      <c r="I1476" s="8">
        <f>IF(OR(D1476="",E1476=""),"",E1476*(1+D1476/30))</f>
        <v/>
      </c>
      <c r="J1476">
        <f>IF(I1476="","",IF(I1476&gt;=MAXIFS($I$2:$I$5001,$B$2:$B$5001,B1476,$A$2:$A$5001,"&lt;="&amp;A1476),"PR",""))</f>
        <v/>
      </c>
    </row>
    <row r="1477">
      <c r="A1477" s="7" t="n"/>
      <c r="H1477" s="11">
        <f>IF(OR(D1477="",E1477=""),"",D1477*E1477)</f>
        <v/>
      </c>
      <c r="I1477" s="8">
        <f>IF(OR(D1477="",E1477=""),"",E1477*(1+D1477/30))</f>
        <v/>
      </c>
      <c r="J1477">
        <f>IF(I1477="","",IF(I1477&gt;=MAXIFS($I$2:$I$5001,$B$2:$B$5001,B1477,$A$2:$A$5001,"&lt;="&amp;A1477),"PR",""))</f>
        <v/>
      </c>
    </row>
    <row r="1478">
      <c r="A1478" s="7" t="n"/>
      <c r="H1478" s="11">
        <f>IF(OR(D1478="",E1478=""),"",D1478*E1478)</f>
        <v/>
      </c>
      <c r="I1478" s="8">
        <f>IF(OR(D1478="",E1478=""),"",E1478*(1+D1478/30))</f>
        <v/>
      </c>
      <c r="J1478">
        <f>IF(I1478="","",IF(I1478&gt;=MAXIFS($I$2:$I$5001,$B$2:$B$5001,B1478,$A$2:$A$5001,"&lt;="&amp;A1478),"PR",""))</f>
        <v/>
      </c>
    </row>
    <row r="1479">
      <c r="A1479" s="7" t="n"/>
      <c r="H1479" s="11">
        <f>IF(OR(D1479="",E1479=""),"",D1479*E1479)</f>
        <v/>
      </c>
      <c r="I1479" s="8">
        <f>IF(OR(D1479="",E1479=""),"",E1479*(1+D1479/30))</f>
        <v/>
      </c>
      <c r="J1479">
        <f>IF(I1479="","",IF(I1479&gt;=MAXIFS($I$2:$I$5001,$B$2:$B$5001,B1479,$A$2:$A$5001,"&lt;="&amp;A1479),"PR",""))</f>
        <v/>
      </c>
    </row>
    <row r="1480">
      <c r="A1480" s="7" t="n"/>
      <c r="H1480" s="11">
        <f>IF(OR(D1480="",E1480=""),"",D1480*E1480)</f>
        <v/>
      </c>
      <c r="I1480" s="8">
        <f>IF(OR(D1480="",E1480=""),"",E1480*(1+D1480/30))</f>
        <v/>
      </c>
      <c r="J1480">
        <f>IF(I1480="","",IF(I1480&gt;=MAXIFS($I$2:$I$5001,$B$2:$B$5001,B1480,$A$2:$A$5001,"&lt;="&amp;A1480),"PR",""))</f>
        <v/>
      </c>
    </row>
    <row r="1481">
      <c r="A1481" s="7" t="n"/>
      <c r="H1481" s="11">
        <f>IF(OR(D1481="",E1481=""),"",D1481*E1481)</f>
        <v/>
      </c>
      <c r="I1481" s="8">
        <f>IF(OR(D1481="",E1481=""),"",E1481*(1+D1481/30))</f>
        <v/>
      </c>
      <c r="J1481">
        <f>IF(I1481="","",IF(I1481&gt;=MAXIFS($I$2:$I$5001,$B$2:$B$5001,B1481,$A$2:$A$5001,"&lt;="&amp;A1481),"PR",""))</f>
        <v/>
      </c>
    </row>
    <row r="1482">
      <c r="A1482" s="7" t="n"/>
      <c r="H1482" s="11">
        <f>IF(OR(D1482="",E1482=""),"",D1482*E1482)</f>
        <v/>
      </c>
      <c r="I1482" s="8">
        <f>IF(OR(D1482="",E1482=""),"",E1482*(1+D1482/30))</f>
        <v/>
      </c>
      <c r="J1482">
        <f>IF(I1482="","",IF(I1482&gt;=MAXIFS($I$2:$I$5001,$B$2:$B$5001,B1482,$A$2:$A$5001,"&lt;="&amp;A1482),"PR",""))</f>
        <v/>
      </c>
    </row>
    <row r="1483">
      <c r="A1483" s="7" t="n"/>
      <c r="H1483" s="11">
        <f>IF(OR(D1483="",E1483=""),"",D1483*E1483)</f>
        <v/>
      </c>
      <c r="I1483" s="8">
        <f>IF(OR(D1483="",E1483=""),"",E1483*(1+D1483/30))</f>
        <v/>
      </c>
      <c r="J1483">
        <f>IF(I1483="","",IF(I1483&gt;=MAXIFS($I$2:$I$5001,$B$2:$B$5001,B1483,$A$2:$A$5001,"&lt;="&amp;A1483),"PR",""))</f>
        <v/>
      </c>
    </row>
    <row r="1484">
      <c r="A1484" s="7" t="n"/>
      <c r="H1484" s="11">
        <f>IF(OR(D1484="",E1484=""),"",D1484*E1484)</f>
        <v/>
      </c>
      <c r="I1484" s="8">
        <f>IF(OR(D1484="",E1484=""),"",E1484*(1+D1484/30))</f>
        <v/>
      </c>
      <c r="J1484">
        <f>IF(I1484="","",IF(I1484&gt;=MAXIFS($I$2:$I$5001,$B$2:$B$5001,B1484,$A$2:$A$5001,"&lt;="&amp;A1484),"PR",""))</f>
        <v/>
      </c>
    </row>
    <row r="1485">
      <c r="A1485" s="7" t="n"/>
      <c r="H1485" s="11">
        <f>IF(OR(D1485="",E1485=""),"",D1485*E1485)</f>
        <v/>
      </c>
      <c r="I1485" s="8">
        <f>IF(OR(D1485="",E1485=""),"",E1485*(1+D1485/30))</f>
        <v/>
      </c>
      <c r="J1485">
        <f>IF(I1485="","",IF(I1485&gt;=MAXIFS($I$2:$I$5001,$B$2:$B$5001,B1485,$A$2:$A$5001,"&lt;="&amp;A1485),"PR",""))</f>
        <v/>
      </c>
    </row>
    <row r="1486">
      <c r="A1486" s="7" t="n"/>
      <c r="H1486" s="11">
        <f>IF(OR(D1486="",E1486=""),"",D1486*E1486)</f>
        <v/>
      </c>
      <c r="I1486" s="8">
        <f>IF(OR(D1486="",E1486=""),"",E1486*(1+D1486/30))</f>
        <v/>
      </c>
      <c r="J1486">
        <f>IF(I1486="","",IF(I1486&gt;=MAXIFS($I$2:$I$5001,$B$2:$B$5001,B1486,$A$2:$A$5001,"&lt;="&amp;A1486),"PR",""))</f>
        <v/>
      </c>
    </row>
    <row r="1487">
      <c r="A1487" s="7" t="n"/>
      <c r="H1487" s="11">
        <f>IF(OR(D1487="",E1487=""),"",D1487*E1487)</f>
        <v/>
      </c>
      <c r="I1487" s="8">
        <f>IF(OR(D1487="",E1487=""),"",E1487*(1+D1487/30))</f>
        <v/>
      </c>
      <c r="J1487">
        <f>IF(I1487="","",IF(I1487&gt;=MAXIFS($I$2:$I$5001,$B$2:$B$5001,B1487,$A$2:$A$5001,"&lt;="&amp;A1487),"PR",""))</f>
        <v/>
      </c>
    </row>
    <row r="1488">
      <c r="A1488" s="7" t="n"/>
      <c r="H1488" s="11">
        <f>IF(OR(D1488="",E1488=""),"",D1488*E1488)</f>
        <v/>
      </c>
      <c r="I1488" s="8">
        <f>IF(OR(D1488="",E1488=""),"",E1488*(1+D1488/30))</f>
        <v/>
      </c>
      <c r="J1488">
        <f>IF(I1488="","",IF(I1488&gt;=MAXIFS($I$2:$I$5001,$B$2:$B$5001,B1488,$A$2:$A$5001,"&lt;="&amp;A1488),"PR",""))</f>
        <v/>
      </c>
    </row>
    <row r="1489">
      <c r="A1489" s="7" t="n"/>
      <c r="H1489" s="11">
        <f>IF(OR(D1489="",E1489=""),"",D1489*E1489)</f>
        <v/>
      </c>
      <c r="I1489" s="8">
        <f>IF(OR(D1489="",E1489=""),"",E1489*(1+D1489/30))</f>
        <v/>
      </c>
      <c r="J1489">
        <f>IF(I1489="","",IF(I1489&gt;=MAXIFS($I$2:$I$5001,$B$2:$B$5001,B1489,$A$2:$A$5001,"&lt;="&amp;A1489),"PR",""))</f>
        <v/>
      </c>
    </row>
    <row r="1490">
      <c r="A1490" s="7" t="n"/>
      <c r="H1490" s="11">
        <f>IF(OR(D1490="",E1490=""),"",D1490*E1490)</f>
        <v/>
      </c>
      <c r="I1490" s="8">
        <f>IF(OR(D1490="",E1490=""),"",E1490*(1+D1490/30))</f>
        <v/>
      </c>
      <c r="J1490">
        <f>IF(I1490="","",IF(I1490&gt;=MAXIFS($I$2:$I$5001,$B$2:$B$5001,B1490,$A$2:$A$5001,"&lt;="&amp;A1490),"PR",""))</f>
        <v/>
      </c>
    </row>
    <row r="1491">
      <c r="A1491" s="7" t="n"/>
      <c r="H1491" s="11">
        <f>IF(OR(D1491="",E1491=""),"",D1491*E1491)</f>
        <v/>
      </c>
      <c r="I1491" s="8">
        <f>IF(OR(D1491="",E1491=""),"",E1491*(1+D1491/30))</f>
        <v/>
      </c>
      <c r="J1491">
        <f>IF(I1491="","",IF(I1491&gt;=MAXIFS($I$2:$I$5001,$B$2:$B$5001,B1491,$A$2:$A$5001,"&lt;="&amp;A1491),"PR",""))</f>
        <v/>
      </c>
    </row>
    <row r="1492">
      <c r="A1492" s="7" t="n"/>
      <c r="H1492" s="11">
        <f>IF(OR(D1492="",E1492=""),"",D1492*E1492)</f>
        <v/>
      </c>
      <c r="I1492" s="8">
        <f>IF(OR(D1492="",E1492=""),"",E1492*(1+D1492/30))</f>
        <v/>
      </c>
      <c r="J1492">
        <f>IF(I1492="","",IF(I1492&gt;=MAXIFS($I$2:$I$5001,$B$2:$B$5001,B1492,$A$2:$A$5001,"&lt;="&amp;A1492),"PR",""))</f>
        <v/>
      </c>
    </row>
    <row r="1493">
      <c r="A1493" s="7" t="n"/>
      <c r="H1493" s="11">
        <f>IF(OR(D1493="",E1493=""),"",D1493*E1493)</f>
        <v/>
      </c>
      <c r="I1493" s="8">
        <f>IF(OR(D1493="",E1493=""),"",E1493*(1+D1493/30))</f>
        <v/>
      </c>
      <c r="J1493">
        <f>IF(I1493="","",IF(I1493&gt;=MAXIFS($I$2:$I$5001,$B$2:$B$5001,B1493,$A$2:$A$5001,"&lt;="&amp;A1493),"PR",""))</f>
        <v/>
      </c>
    </row>
    <row r="1494">
      <c r="A1494" s="7" t="n"/>
      <c r="H1494" s="11">
        <f>IF(OR(D1494="",E1494=""),"",D1494*E1494)</f>
        <v/>
      </c>
      <c r="I1494" s="8">
        <f>IF(OR(D1494="",E1494=""),"",E1494*(1+D1494/30))</f>
        <v/>
      </c>
      <c r="J1494">
        <f>IF(I1494="","",IF(I1494&gt;=MAXIFS($I$2:$I$5001,$B$2:$B$5001,B1494,$A$2:$A$5001,"&lt;="&amp;A1494),"PR",""))</f>
        <v/>
      </c>
    </row>
    <row r="1495">
      <c r="A1495" s="7" t="n"/>
      <c r="H1495" s="11">
        <f>IF(OR(D1495="",E1495=""),"",D1495*E1495)</f>
        <v/>
      </c>
      <c r="I1495" s="8">
        <f>IF(OR(D1495="",E1495=""),"",E1495*(1+D1495/30))</f>
        <v/>
      </c>
      <c r="J1495">
        <f>IF(I1495="","",IF(I1495&gt;=MAXIFS($I$2:$I$5001,$B$2:$B$5001,B1495,$A$2:$A$5001,"&lt;="&amp;A1495),"PR",""))</f>
        <v/>
      </c>
    </row>
    <row r="1496">
      <c r="A1496" s="7" t="n"/>
      <c r="H1496" s="11">
        <f>IF(OR(D1496="",E1496=""),"",D1496*E1496)</f>
        <v/>
      </c>
      <c r="I1496" s="8">
        <f>IF(OR(D1496="",E1496=""),"",E1496*(1+D1496/30))</f>
        <v/>
      </c>
      <c r="J1496">
        <f>IF(I1496="","",IF(I1496&gt;=MAXIFS($I$2:$I$5001,$B$2:$B$5001,B1496,$A$2:$A$5001,"&lt;="&amp;A1496),"PR",""))</f>
        <v/>
      </c>
    </row>
    <row r="1497">
      <c r="A1497" s="7" t="n"/>
      <c r="H1497" s="11">
        <f>IF(OR(D1497="",E1497=""),"",D1497*E1497)</f>
        <v/>
      </c>
      <c r="I1497" s="8">
        <f>IF(OR(D1497="",E1497=""),"",E1497*(1+D1497/30))</f>
        <v/>
      </c>
      <c r="J1497">
        <f>IF(I1497="","",IF(I1497&gt;=MAXIFS($I$2:$I$5001,$B$2:$B$5001,B1497,$A$2:$A$5001,"&lt;="&amp;A1497),"PR",""))</f>
        <v/>
      </c>
    </row>
    <row r="1498">
      <c r="A1498" s="7" t="n"/>
      <c r="H1498" s="11">
        <f>IF(OR(D1498="",E1498=""),"",D1498*E1498)</f>
        <v/>
      </c>
      <c r="I1498" s="8">
        <f>IF(OR(D1498="",E1498=""),"",E1498*(1+D1498/30))</f>
        <v/>
      </c>
      <c r="J1498">
        <f>IF(I1498="","",IF(I1498&gt;=MAXIFS($I$2:$I$5001,$B$2:$B$5001,B1498,$A$2:$A$5001,"&lt;="&amp;A1498),"PR",""))</f>
        <v/>
      </c>
    </row>
    <row r="1499">
      <c r="A1499" s="7" t="n"/>
      <c r="H1499" s="11">
        <f>IF(OR(D1499="",E1499=""),"",D1499*E1499)</f>
        <v/>
      </c>
      <c r="I1499" s="8">
        <f>IF(OR(D1499="",E1499=""),"",E1499*(1+D1499/30))</f>
        <v/>
      </c>
      <c r="J1499">
        <f>IF(I1499="","",IF(I1499&gt;=MAXIFS($I$2:$I$5001,$B$2:$B$5001,B1499,$A$2:$A$5001,"&lt;="&amp;A1499),"PR",""))</f>
        <v/>
      </c>
    </row>
    <row r="1500">
      <c r="A1500" s="7" t="n"/>
      <c r="H1500" s="11">
        <f>IF(OR(D1500="",E1500=""),"",D1500*E1500)</f>
        <v/>
      </c>
      <c r="I1500" s="8">
        <f>IF(OR(D1500="",E1500=""),"",E1500*(1+D1500/30))</f>
        <v/>
      </c>
      <c r="J1500">
        <f>IF(I1500="","",IF(I1500&gt;=MAXIFS($I$2:$I$5001,$B$2:$B$5001,B1500,$A$2:$A$5001,"&lt;="&amp;A1500),"PR",""))</f>
        <v/>
      </c>
    </row>
    <row r="1501">
      <c r="A1501" s="7" t="n"/>
      <c r="H1501" s="11">
        <f>IF(OR(D1501="",E1501=""),"",D1501*E1501)</f>
        <v/>
      </c>
      <c r="I1501" s="8">
        <f>IF(OR(D1501="",E1501=""),"",E1501*(1+D1501/30))</f>
        <v/>
      </c>
      <c r="J1501">
        <f>IF(I1501="","",IF(I1501&gt;=MAXIFS($I$2:$I$5001,$B$2:$B$5001,B1501,$A$2:$A$5001,"&lt;="&amp;A1501),"PR",""))</f>
        <v/>
      </c>
    </row>
    <row r="1502">
      <c r="A1502" s="7" t="n"/>
      <c r="H1502" s="11">
        <f>IF(OR(D1502="",E1502=""),"",D1502*E1502)</f>
        <v/>
      </c>
      <c r="I1502" s="8">
        <f>IF(OR(D1502="",E1502=""),"",E1502*(1+D1502/30))</f>
        <v/>
      </c>
      <c r="J1502">
        <f>IF(I1502="","",IF(I1502&gt;=MAXIFS($I$2:$I$5001,$B$2:$B$5001,B1502,$A$2:$A$5001,"&lt;="&amp;A1502),"PR",""))</f>
        <v/>
      </c>
    </row>
    <row r="1503">
      <c r="A1503" s="7" t="n"/>
      <c r="H1503" s="11">
        <f>IF(OR(D1503="",E1503=""),"",D1503*E1503)</f>
        <v/>
      </c>
      <c r="I1503" s="8">
        <f>IF(OR(D1503="",E1503=""),"",E1503*(1+D1503/30))</f>
        <v/>
      </c>
      <c r="J1503">
        <f>IF(I1503="","",IF(I1503&gt;=MAXIFS($I$2:$I$5001,$B$2:$B$5001,B1503,$A$2:$A$5001,"&lt;="&amp;A1503),"PR",""))</f>
        <v/>
      </c>
    </row>
    <row r="1504">
      <c r="A1504" s="7" t="n"/>
      <c r="H1504" s="11">
        <f>IF(OR(D1504="",E1504=""),"",D1504*E1504)</f>
        <v/>
      </c>
      <c r="I1504" s="8">
        <f>IF(OR(D1504="",E1504=""),"",E1504*(1+D1504/30))</f>
        <v/>
      </c>
      <c r="J1504">
        <f>IF(I1504="","",IF(I1504&gt;=MAXIFS($I$2:$I$5001,$B$2:$B$5001,B1504,$A$2:$A$5001,"&lt;="&amp;A1504),"PR",""))</f>
        <v/>
      </c>
    </row>
    <row r="1505">
      <c r="A1505" s="7" t="n"/>
      <c r="H1505" s="11">
        <f>IF(OR(D1505="",E1505=""),"",D1505*E1505)</f>
        <v/>
      </c>
      <c r="I1505" s="8">
        <f>IF(OR(D1505="",E1505=""),"",E1505*(1+D1505/30))</f>
        <v/>
      </c>
      <c r="J1505">
        <f>IF(I1505="","",IF(I1505&gt;=MAXIFS($I$2:$I$5001,$B$2:$B$5001,B1505,$A$2:$A$5001,"&lt;="&amp;A1505),"PR",""))</f>
        <v/>
      </c>
    </row>
    <row r="1506">
      <c r="A1506" s="7" t="n"/>
      <c r="H1506" s="11">
        <f>IF(OR(D1506="",E1506=""),"",D1506*E1506)</f>
        <v/>
      </c>
      <c r="I1506" s="8">
        <f>IF(OR(D1506="",E1506=""),"",E1506*(1+D1506/30))</f>
        <v/>
      </c>
      <c r="J1506">
        <f>IF(I1506="","",IF(I1506&gt;=MAXIFS($I$2:$I$5001,$B$2:$B$5001,B1506,$A$2:$A$5001,"&lt;="&amp;A1506),"PR",""))</f>
        <v/>
      </c>
    </row>
    <row r="1507">
      <c r="A1507" s="7" t="n"/>
      <c r="H1507" s="11">
        <f>IF(OR(D1507="",E1507=""),"",D1507*E1507)</f>
        <v/>
      </c>
      <c r="I1507" s="8">
        <f>IF(OR(D1507="",E1507=""),"",E1507*(1+D1507/30))</f>
        <v/>
      </c>
      <c r="J1507">
        <f>IF(I1507="","",IF(I1507&gt;=MAXIFS($I$2:$I$5001,$B$2:$B$5001,B1507,$A$2:$A$5001,"&lt;="&amp;A1507),"PR",""))</f>
        <v/>
      </c>
    </row>
    <row r="1508">
      <c r="A1508" s="7" t="n"/>
      <c r="H1508" s="11">
        <f>IF(OR(D1508="",E1508=""),"",D1508*E1508)</f>
        <v/>
      </c>
      <c r="I1508" s="8">
        <f>IF(OR(D1508="",E1508=""),"",E1508*(1+D1508/30))</f>
        <v/>
      </c>
      <c r="J1508">
        <f>IF(I1508="","",IF(I1508&gt;=MAXIFS($I$2:$I$5001,$B$2:$B$5001,B1508,$A$2:$A$5001,"&lt;="&amp;A1508),"PR",""))</f>
        <v/>
      </c>
    </row>
    <row r="1509">
      <c r="A1509" s="7" t="n"/>
      <c r="H1509" s="11">
        <f>IF(OR(D1509="",E1509=""),"",D1509*E1509)</f>
        <v/>
      </c>
      <c r="I1509" s="8">
        <f>IF(OR(D1509="",E1509=""),"",E1509*(1+D1509/30))</f>
        <v/>
      </c>
      <c r="J1509">
        <f>IF(I1509="","",IF(I1509&gt;=MAXIFS($I$2:$I$5001,$B$2:$B$5001,B1509,$A$2:$A$5001,"&lt;="&amp;A1509),"PR",""))</f>
        <v/>
      </c>
    </row>
    <row r="1510">
      <c r="A1510" s="7" t="n"/>
      <c r="H1510" s="11">
        <f>IF(OR(D1510="",E1510=""),"",D1510*E1510)</f>
        <v/>
      </c>
      <c r="I1510" s="8">
        <f>IF(OR(D1510="",E1510=""),"",E1510*(1+D1510/30))</f>
        <v/>
      </c>
      <c r="J1510">
        <f>IF(I1510="","",IF(I1510&gt;=MAXIFS($I$2:$I$5001,$B$2:$B$5001,B1510,$A$2:$A$5001,"&lt;="&amp;A1510),"PR",""))</f>
        <v/>
      </c>
    </row>
    <row r="1511">
      <c r="A1511" s="7" t="n"/>
      <c r="H1511" s="11">
        <f>IF(OR(D1511="",E1511=""),"",D1511*E1511)</f>
        <v/>
      </c>
      <c r="I1511" s="8">
        <f>IF(OR(D1511="",E1511=""),"",E1511*(1+D1511/30))</f>
        <v/>
      </c>
      <c r="J1511">
        <f>IF(I1511="","",IF(I1511&gt;=MAXIFS($I$2:$I$5001,$B$2:$B$5001,B1511,$A$2:$A$5001,"&lt;="&amp;A1511),"PR",""))</f>
        <v/>
      </c>
    </row>
    <row r="1512">
      <c r="A1512" s="7" t="n"/>
      <c r="H1512" s="11">
        <f>IF(OR(D1512="",E1512=""),"",D1512*E1512)</f>
        <v/>
      </c>
      <c r="I1512" s="8">
        <f>IF(OR(D1512="",E1512=""),"",E1512*(1+D1512/30))</f>
        <v/>
      </c>
      <c r="J1512">
        <f>IF(I1512="","",IF(I1512&gt;=MAXIFS($I$2:$I$5001,$B$2:$B$5001,B1512,$A$2:$A$5001,"&lt;="&amp;A1512),"PR",""))</f>
        <v/>
      </c>
    </row>
    <row r="1513">
      <c r="A1513" s="7" t="n"/>
      <c r="H1513" s="11">
        <f>IF(OR(D1513="",E1513=""),"",D1513*E1513)</f>
        <v/>
      </c>
      <c r="I1513" s="8">
        <f>IF(OR(D1513="",E1513=""),"",E1513*(1+D1513/30))</f>
        <v/>
      </c>
      <c r="J1513">
        <f>IF(I1513="","",IF(I1513&gt;=MAXIFS($I$2:$I$5001,$B$2:$B$5001,B1513,$A$2:$A$5001,"&lt;="&amp;A1513),"PR",""))</f>
        <v/>
      </c>
    </row>
    <row r="1514">
      <c r="A1514" s="7" t="n"/>
      <c r="H1514" s="11">
        <f>IF(OR(D1514="",E1514=""),"",D1514*E1514)</f>
        <v/>
      </c>
      <c r="I1514" s="8">
        <f>IF(OR(D1514="",E1514=""),"",E1514*(1+D1514/30))</f>
        <v/>
      </c>
      <c r="J1514">
        <f>IF(I1514="","",IF(I1514&gt;=MAXIFS($I$2:$I$5001,$B$2:$B$5001,B1514,$A$2:$A$5001,"&lt;="&amp;A1514),"PR",""))</f>
        <v/>
      </c>
    </row>
    <row r="1515">
      <c r="A1515" s="7" t="n"/>
      <c r="H1515" s="11">
        <f>IF(OR(D1515="",E1515=""),"",D1515*E1515)</f>
        <v/>
      </c>
      <c r="I1515" s="8">
        <f>IF(OR(D1515="",E1515=""),"",E1515*(1+D1515/30))</f>
        <v/>
      </c>
      <c r="J1515">
        <f>IF(I1515="","",IF(I1515&gt;=MAXIFS($I$2:$I$5001,$B$2:$B$5001,B1515,$A$2:$A$5001,"&lt;="&amp;A1515),"PR",""))</f>
        <v/>
      </c>
    </row>
    <row r="1516">
      <c r="A1516" s="7" t="n"/>
      <c r="H1516" s="11">
        <f>IF(OR(D1516="",E1516=""),"",D1516*E1516)</f>
        <v/>
      </c>
      <c r="I1516" s="8">
        <f>IF(OR(D1516="",E1516=""),"",E1516*(1+D1516/30))</f>
        <v/>
      </c>
      <c r="J1516">
        <f>IF(I1516="","",IF(I1516&gt;=MAXIFS($I$2:$I$5001,$B$2:$B$5001,B1516,$A$2:$A$5001,"&lt;="&amp;A1516),"PR",""))</f>
        <v/>
      </c>
    </row>
    <row r="1517">
      <c r="A1517" s="7" t="n"/>
      <c r="H1517" s="11">
        <f>IF(OR(D1517="",E1517=""),"",D1517*E1517)</f>
        <v/>
      </c>
      <c r="I1517" s="8">
        <f>IF(OR(D1517="",E1517=""),"",E1517*(1+D1517/30))</f>
        <v/>
      </c>
      <c r="J1517">
        <f>IF(I1517="","",IF(I1517&gt;=MAXIFS($I$2:$I$5001,$B$2:$B$5001,B1517,$A$2:$A$5001,"&lt;="&amp;A1517),"PR",""))</f>
        <v/>
      </c>
    </row>
    <row r="1518">
      <c r="A1518" s="7" t="n"/>
      <c r="H1518" s="11">
        <f>IF(OR(D1518="",E1518=""),"",D1518*E1518)</f>
        <v/>
      </c>
      <c r="I1518" s="8">
        <f>IF(OR(D1518="",E1518=""),"",E1518*(1+D1518/30))</f>
        <v/>
      </c>
      <c r="J1518">
        <f>IF(I1518="","",IF(I1518&gt;=MAXIFS($I$2:$I$5001,$B$2:$B$5001,B1518,$A$2:$A$5001,"&lt;="&amp;A1518),"PR",""))</f>
        <v/>
      </c>
    </row>
    <row r="1519">
      <c r="A1519" s="7" t="n"/>
      <c r="H1519" s="11">
        <f>IF(OR(D1519="",E1519=""),"",D1519*E1519)</f>
        <v/>
      </c>
      <c r="I1519" s="8">
        <f>IF(OR(D1519="",E1519=""),"",E1519*(1+D1519/30))</f>
        <v/>
      </c>
      <c r="J1519">
        <f>IF(I1519="","",IF(I1519&gt;=MAXIFS($I$2:$I$5001,$B$2:$B$5001,B1519,$A$2:$A$5001,"&lt;="&amp;A1519),"PR",""))</f>
        <v/>
      </c>
    </row>
    <row r="1520">
      <c r="A1520" s="7" t="n"/>
      <c r="H1520" s="11">
        <f>IF(OR(D1520="",E1520=""),"",D1520*E1520)</f>
        <v/>
      </c>
      <c r="I1520" s="8">
        <f>IF(OR(D1520="",E1520=""),"",E1520*(1+D1520/30))</f>
        <v/>
      </c>
      <c r="J1520">
        <f>IF(I1520="","",IF(I1520&gt;=MAXIFS($I$2:$I$5001,$B$2:$B$5001,B1520,$A$2:$A$5001,"&lt;="&amp;A1520),"PR",""))</f>
        <v/>
      </c>
    </row>
    <row r="1521">
      <c r="A1521" s="7" t="n"/>
      <c r="H1521" s="11">
        <f>IF(OR(D1521="",E1521=""),"",D1521*E1521)</f>
        <v/>
      </c>
      <c r="I1521" s="8">
        <f>IF(OR(D1521="",E1521=""),"",E1521*(1+D1521/30))</f>
        <v/>
      </c>
      <c r="J1521">
        <f>IF(I1521="","",IF(I1521&gt;=MAXIFS($I$2:$I$5001,$B$2:$B$5001,B1521,$A$2:$A$5001,"&lt;="&amp;A1521),"PR",""))</f>
        <v/>
      </c>
    </row>
    <row r="1522">
      <c r="A1522" s="7" t="n"/>
      <c r="H1522" s="11">
        <f>IF(OR(D1522="",E1522=""),"",D1522*E1522)</f>
        <v/>
      </c>
      <c r="I1522" s="8">
        <f>IF(OR(D1522="",E1522=""),"",E1522*(1+D1522/30))</f>
        <v/>
      </c>
      <c r="J1522">
        <f>IF(I1522="","",IF(I1522&gt;=MAXIFS($I$2:$I$5001,$B$2:$B$5001,B1522,$A$2:$A$5001,"&lt;="&amp;A1522),"PR",""))</f>
        <v/>
      </c>
    </row>
    <row r="1523">
      <c r="A1523" s="7" t="n"/>
      <c r="H1523" s="11">
        <f>IF(OR(D1523="",E1523=""),"",D1523*E1523)</f>
        <v/>
      </c>
      <c r="I1523" s="8">
        <f>IF(OR(D1523="",E1523=""),"",E1523*(1+D1523/30))</f>
        <v/>
      </c>
      <c r="J1523">
        <f>IF(I1523="","",IF(I1523&gt;=MAXIFS($I$2:$I$5001,$B$2:$B$5001,B1523,$A$2:$A$5001,"&lt;="&amp;A1523),"PR",""))</f>
        <v/>
      </c>
    </row>
    <row r="1524">
      <c r="A1524" s="7" t="n"/>
      <c r="H1524" s="11">
        <f>IF(OR(D1524="",E1524=""),"",D1524*E1524)</f>
        <v/>
      </c>
      <c r="I1524" s="8">
        <f>IF(OR(D1524="",E1524=""),"",E1524*(1+D1524/30))</f>
        <v/>
      </c>
      <c r="J1524">
        <f>IF(I1524="","",IF(I1524&gt;=MAXIFS($I$2:$I$5001,$B$2:$B$5001,B1524,$A$2:$A$5001,"&lt;="&amp;A1524),"PR",""))</f>
        <v/>
      </c>
    </row>
    <row r="1525">
      <c r="A1525" s="7" t="n"/>
      <c r="H1525" s="11">
        <f>IF(OR(D1525="",E1525=""),"",D1525*E1525)</f>
        <v/>
      </c>
      <c r="I1525" s="8">
        <f>IF(OR(D1525="",E1525=""),"",E1525*(1+D1525/30))</f>
        <v/>
      </c>
      <c r="J1525">
        <f>IF(I1525="","",IF(I1525&gt;=MAXIFS($I$2:$I$5001,$B$2:$B$5001,B1525,$A$2:$A$5001,"&lt;="&amp;A1525),"PR",""))</f>
        <v/>
      </c>
    </row>
    <row r="1526">
      <c r="A1526" s="7" t="n"/>
      <c r="H1526" s="11">
        <f>IF(OR(D1526="",E1526=""),"",D1526*E1526)</f>
        <v/>
      </c>
      <c r="I1526" s="8">
        <f>IF(OR(D1526="",E1526=""),"",E1526*(1+D1526/30))</f>
        <v/>
      </c>
      <c r="J1526">
        <f>IF(I1526="","",IF(I1526&gt;=MAXIFS($I$2:$I$5001,$B$2:$B$5001,B1526,$A$2:$A$5001,"&lt;="&amp;A1526),"PR",""))</f>
        <v/>
      </c>
    </row>
    <row r="1527">
      <c r="A1527" s="7" t="n"/>
      <c r="H1527" s="11">
        <f>IF(OR(D1527="",E1527=""),"",D1527*E1527)</f>
        <v/>
      </c>
      <c r="I1527" s="8">
        <f>IF(OR(D1527="",E1527=""),"",E1527*(1+D1527/30))</f>
        <v/>
      </c>
      <c r="J1527">
        <f>IF(I1527="","",IF(I1527&gt;=MAXIFS($I$2:$I$5001,$B$2:$B$5001,B1527,$A$2:$A$5001,"&lt;="&amp;A1527),"PR",""))</f>
        <v/>
      </c>
    </row>
    <row r="1528">
      <c r="A1528" s="7" t="n"/>
      <c r="H1528" s="11">
        <f>IF(OR(D1528="",E1528=""),"",D1528*E1528)</f>
        <v/>
      </c>
      <c r="I1528" s="8">
        <f>IF(OR(D1528="",E1528=""),"",E1528*(1+D1528/30))</f>
        <v/>
      </c>
      <c r="J1528">
        <f>IF(I1528="","",IF(I1528&gt;=MAXIFS($I$2:$I$5001,$B$2:$B$5001,B1528,$A$2:$A$5001,"&lt;="&amp;A1528),"PR",""))</f>
        <v/>
      </c>
    </row>
    <row r="1529">
      <c r="A1529" s="7" t="n"/>
      <c r="H1529" s="11">
        <f>IF(OR(D1529="",E1529=""),"",D1529*E1529)</f>
        <v/>
      </c>
      <c r="I1529" s="8">
        <f>IF(OR(D1529="",E1529=""),"",E1529*(1+D1529/30))</f>
        <v/>
      </c>
      <c r="J1529">
        <f>IF(I1529="","",IF(I1529&gt;=MAXIFS($I$2:$I$5001,$B$2:$B$5001,B1529,$A$2:$A$5001,"&lt;="&amp;A1529),"PR",""))</f>
        <v/>
      </c>
    </row>
    <row r="1530">
      <c r="A1530" s="7" t="n"/>
      <c r="H1530" s="11">
        <f>IF(OR(D1530="",E1530=""),"",D1530*E1530)</f>
        <v/>
      </c>
      <c r="I1530" s="8">
        <f>IF(OR(D1530="",E1530=""),"",E1530*(1+D1530/30))</f>
        <v/>
      </c>
      <c r="J1530">
        <f>IF(I1530="","",IF(I1530&gt;=MAXIFS($I$2:$I$5001,$B$2:$B$5001,B1530,$A$2:$A$5001,"&lt;="&amp;A1530),"PR",""))</f>
        <v/>
      </c>
    </row>
    <row r="1531">
      <c r="A1531" s="7" t="n"/>
      <c r="H1531" s="11">
        <f>IF(OR(D1531="",E1531=""),"",D1531*E1531)</f>
        <v/>
      </c>
      <c r="I1531" s="8">
        <f>IF(OR(D1531="",E1531=""),"",E1531*(1+D1531/30))</f>
        <v/>
      </c>
      <c r="J1531">
        <f>IF(I1531="","",IF(I1531&gt;=MAXIFS($I$2:$I$5001,$B$2:$B$5001,B1531,$A$2:$A$5001,"&lt;="&amp;A1531),"PR",""))</f>
        <v/>
      </c>
    </row>
    <row r="1532">
      <c r="A1532" s="7" t="n"/>
      <c r="H1532" s="11">
        <f>IF(OR(D1532="",E1532=""),"",D1532*E1532)</f>
        <v/>
      </c>
      <c r="I1532" s="8">
        <f>IF(OR(D1532="",E1532=""),"",E1532*(1+D1532/30))</f>
        <v/>
      </c>
      <c r="J1532">
        <f>IF(I1532="","",IF(I1532&gt;=MAXIFS($I$2:$I$5001,$B$2:$B$5001,B1532,$A$2:$A$5001,"&lt;="&amp;A1532),"PR",""))</f>
        <v/>
      </c>
    </row>
    <row r="1533">
      <c r="A1533" s="7" t="n"/>
      <c r="H1533" s="11">
        <f>IF(OR(D1533="",E1533=""),"",D1533*E1533)</f>
        <v/>
      </c>
      <c r="I1533" s="8">
        <f>IF(OR(D1533="",E1533=""),"",E1533*(1+D1533/30))</f>
        <v/>
      </c>
      <c r="J1533">
        <f>IF(I1533="","",IF(I1533&gt;=MAXIFS($I$2:$I$5001,$B$2:$B$5001,B1533,$A$2:$A$5001,"&lt;="&amp;A1533),"PR",""))</f>
        <v/>
      </c>
    </row>
    <row r="1534">
      <c r="A1534" s="7" t="n"/>
      <c r="H1534" s="11">
        <f>IF(OR(D1534="",E1534=""),"",D1534*E1534)</f>
        <v/>
      </c>
      <c r="I1534" s="8">
        <f>IF(OR(D1534="",E1534=""),"",E1534*(1+D1534/30))</f>
        <v/>
      </c>
      <c r="J1534">
        <f>IF(I1534="","",IF(I1534&gt;=MAXIFS($I$2:$I$5001,$B$2:$B$5001,B1534,$A$2:$A$5001,"&lt;="&amp;A1534),"PR",""))</f>
        <v/>
      </c>
    </row>
    <row r="1535">
      <c r="A1535" s="7" t="n"/>
      <c r="H1535" s="11">
        <f>IF(OR(D1535="",E1535=""),"",D1535*E1535)</f>
        <v/>
      </c>
      <c r="I1535" s="8">
        <f>IF(OR(D1535="",E1535=""),"",E1535*(1+D1535/30))</f>
        <v/>
      </c>
      <c r="J1535">
        <f>IF(I1535="","",IF(I1535&gt;=MAXIFS($I$2:$I$5001,$B$2:$B$5001,B1535,$A$2:$A$5001,"&lt;="&amp;A1535),"PR",""))</f>
        <v/>
      </c>
    </row>
    <row r="1536">
      <c r="A1536" s="7" t="n"/>
      <c r="H1536" s="11">
        <f>IF(OR(D1536="",E1536=""),"",D1536*E1536)</f>
        <v/>
      </c>
      <c r="I1536" s="8">
        <f>IF(OR(D1536="",E1536=""),"",E1536*(1+D1536/30))</f>
        <v/>
      </c>
      <c r="J1536">
        <f>IF(I1536="","",IF(I1536&gt;=MAXIFS($I$2:$I$5001,$B$2:$B$5001,B1536,$A$2:$A$5001,"&lt;="&amp;A1536),"PR",""))</f>
        <v/>
      </c>
    </row>
    <row r="1537">
      <c r="A1537" s="7" t="n"/>
      <c r="H1537" s="11">
        <f>IF(OR(D1537="",E1537=""),"",D1537*E1537)</f>
        <v/>
      </c>
      <c r="I1537" s="8">
        <f>IF(OR(D1537="",E1537=""),"",E1537*(1+D1537/30))</f>
        <v/>
      </c>
      <c r="J1537">
        <f>IF(I1537="","",IF(I1537&gt;=MAXIFS($I$2:$I$5001,$B$2:$B$5001,B1537,$A$2:$A$5001,"&lt;="&amp;A1537),"PR",""))</f>
        <v/>
      </c>
    </row>
    <row r="1538">
      <c r="A1538" s="7" t="n"/>
      <c r="H1538" s="11">
        <f>IF(OR(D1538="",E1538=""),"",D1538*E1538)</f>
        <v/>
      </c>
      <c r="I1538" s="8">
        <f>IF(OR(D1538="",E1538=""),"",E1538*(1+D1538/30))</f>
        <v/>
      </c>
      <c r="J1538">
        <f>IF(I1538="","",IF(I1538&gt;=MAXIFS($I$2:$I$5001,$B$2:$B$5001,B1538,$A$2:$A$5001,"&lt;="&amp;A1538),"PR",""))</f>
        <v/>
      </c>
    </row>
    <row r="1539">
      <c r="A1539" s="7" t="n"/>
      <c r="H1539" s="11">
        <f>IF(OR(D1539="",E1539=""),"",D1539*E1539)</f>
        <v/>
      </c>
      <c r="I1539" s="8">
        <f>IF(OR(D1539="",E1539=""),"",E1539*(1+D1539/30))</f>
        <v/>
      </c>
      <c r="J1539">
        <f>IF(I1539="","",IF(I1539&gt;=MAXIFS($I$2:$I$5001,$B$2:$B$5001,B1539,$A$2:$A$5001,"&lt;="&amp;A1539),"PR",""))</f>
        <v/>
      </c>
    </row>
    <row r="1540">
      <c r="A1540" s="7" t="n"/>
      <c r="H1540" s="11">
        <f>IF(OR(D1540="",E1540=""),"",D1540*E1540)</f>
        <v/>
      </c>
      <c r="I1540" s="8">
        <f>IF(OR(D1540="",E1540=""),"",E1540*(1+D1540/30))</f>
        <v/>
      </c>
      <c r="J1540">
        <f>IF(I1540="","",IF(I1540&gt;=MAXIFS($I$2:$I$5001,$B$2:$B$5001,B1540,$A$2:$A$5001,"&lt;="&amp;A1540),"PR",""))</f>
        <v/>
      </c>
    </row>
    <row r="1541">
      <c r="A1541" s="7" t="n"/>
      <c r="H1541" s="11">
        <f>IF(OR(D1541="",E1541=""),"",D1541*E1541)</f>
        <v/>
      </c>
      <c r="I1541" s="8">
        <f>IF(OR(D1541="",E1541=""),"",E1541*(1+D1541/30))</f>
        <v/>
      </c>
      <c r="J1541">
        <f>IF(I1541="","",IF(I1541&gt;=MAXIFS($I$2:$I$5001,$B$2:$B$5001,B1541,$A$2:$A$5001,"&lt;="&amp;A1541),"PR",""))</f>
        <v/>
      </c>
    </row>
    <row r="1542">
      <c r="A1542" s="7" t="n"/>
      <c r="H1542" s="11">
        <f>IF(OR(D1542="",E1542=""),"",D1542*E1542)</f>
        <v/>
      </c>
      <c r="I1542" s="8">
        <f>IF(OR(D1542="",E1542=""),"",E1542*(1+D1542/30))</f>
        <v/>
      </c>
      <c r="J1542">
        <f>IF(I1542="","",IF(I1542&gt;=MAXIFS($I$2:$I$5001,$B$2:$B$5001,B1542,$A$2:$A$5001,"&lt;="&amp;A1542),"PR",""))</f>
        <v/>
      </c>
    </row>
    <row r="1543">
      <c r="A1543" s="7" t="n"/>
      <c r="H1543" s="11">
        <f>IF(OR(D1543="",E1543=""),"",D1543*E1543)</f>
        <v/>
      </c>
      <c r="I1543" s="8">
        <f>IF(OR(D1543="",E1543=""),"",E1543*(1+D1543/30))</f>
        <v/>
      </c>
      <c r="J1543">
        <f>IF(I1543="","",IF(I1543&gt;=MAXIFS($I$2:$I$5001,$B$2:$B$5001,B1543,$A$2:$A$5001,"&lt;="&amp;A1543),"PR",""))</f>
        <v/>
      </c>
    </row>
    <row r="1544">
      <c r="A1544" s="7" t="n"/>
      <c r="H1544" s="11">
        <f>IF(OR(D1544="",E1544=""),"",D1544*E1544)</f>
        <v/>
      </c>
      <c r="I1544" s="8">
        <f>IF(OR(D1544="",E1544=""),"",E1544*(1+D1544/30))</f>
        <v/>
      </c>
      <c r="J1544">
        <f>IF(I1544="","",IF(I1544&gt;=MAXIFS($I$2:$I$5001,$B$2:$B$5001,B1544,$A$2:$A$5001,"&lt;="&amp;A1544),"PR",""))</f>
        <v/>
      </c>
    </row>
    <row r="1545">
      <c r="A1545" s="7" t="n"/>
      <c r="H1545" s="11">
        <f>IF(OR(D1545="",E1545=""),"",D1545*E1545)</f>
        <v/>
      </c>
      <c r="I1545" s="8">
        <f>IF(OR(D1545="",E1545=""),"",E1545*(1+D1545/30))</f>
        <v/>
      </c>
      <c r="J1545">
        <f>IF(I1545="","",IF(I1545&gt;=MAXIFS($I$2:$I$5001,$B$2:$B$5001,B1545,$A$2:$A$5001,"&lt;="&amp;A1545),"PR",""))</f>
        <v/>
      </c>
    </row>
    <row r="1546">
      <c r="A1546" s="7" t="n"/>
      <c r="H1546" s="11">
        <f>IF(OR(D1546="",E1546=""),"",D1546*E1546)</f>
        <v/>
      </c>
      <c r="I1546" s="8">
        <f>IF(OR(D1546="",E1546=""),"",E1546*(1+D1546/30))</f>
        <v/>
      </c>
      <c r="J1546">
        <f>IF(I1546="","",IF(I1546&gt;=MAXIFS($I$2:$I$5001,$B$2:$B$5001,B1546,$A$2:$A$5001,"&lt;="&amp;A1546),"PR",""))</f>
        <v/>
      </c>
    </row>
    <row r="1547">
      <c r="A1547" s="7" t="n"/>
      <c r="H1547" s="11">
        <f>IF(OR(D1547="",E1547=""),"",D1547*E1547)</f>
        <v/>
      </c>
      <c r="I1547" s="8">
        <f>IF(OR(D1547="",E1547=""),"",E1547*(1+D1547/30))</f>
        <v/>
      </c>
      <c r="J1547">
        <f>IF(I1547="","",IF(I1547&gt;=MAXIFS($I$2:$I$5001,$B$2:$B$5001,B1547,$A$2:$A$5001,"&lt;="&amp;A1547),"PR",""))</f>
        <v/>
      </c>
    </row>
    <row r="1548">
      <c r="A1548" s="7" t="n"/>
      <c r="H1548" s="11">
        <f>IF(OR(D1548="",E1548=""),"",D1548*E1548)</f>
        <v/>
      </c>
      <c r="I1548" s="8">
        <f>IF(OR(D1548="",E1548=""),"",E1548*(1+D1548/30))</f>
        <v/>
      </c>
      <c r="J1548">
        <f>IF(I1548="","",IF(I1548&gt;=MAXIFS($I$2:$I$5001,$B$2:$B$5001,B1548,$A$2:$A$5001,"&lt;="&amp;A1548),"PR",""))</f>
        <v/>
      </c>
    </row>
    <row r="1549">
      <c r="A1549" s="7" t="n"/>
      <c r="H1549" s="11">
        <f>IF(OR(D1549="",E1549=""),"",D1549*E1549)</f>
        <v/>
      </c>
      <c r="I1549" s="8">
        <f>IF(OR(D1549="",E1549=""),"",E1549*(1+D1549/30))</f>
        <v/>
      </c>
      <c r="J1549">
        <f>IF(I1549="","",IF(I1549&gt;=MAXIFS($I$2:$I$5001,$B$2:$B$5001,B1549,$A$2:$A$5001,"&lt;="&amp;A1549),"PR",""))</f>
        <v/>
      </c>
    </row>
    <row r="1550">
      <c r="A1550" s="7" t="n"/>
      <c r="H1550" s="11">
        <f>IF(OR(D1550="",E1550=""),"",D1550*E1550)</f>
        <v/>
      </c>
      <c r="I1550" s="8">
        <f>IF(OR(D1550="",E1550=""),"",E1550*(1+D1550/30))</f>
        <v/>
      </c>
      <c r="J1550">
        <f>IF(I1550="","",IF(I1550&gt;=MAXIFS($I$2:$I$5001,$B$2:$B$5001,B1550,$A$2:$A$5001,"&lt;="&amp;A1550),"PR",""))</f>
        <v/>
      </c>
    </row>
    <row r="1551">
      <c r="A1551" s="7" t="n"/>
      <c r="H1551" s="11">
        <f>IF(OR(D1551="",E1551=""),"",D1551*E1551)</f>
        <v/>
      </c>
      <c r="I1551" s="8">
        <f>IF(OR(D1551="",E1551=""),"",E1551*(1+D1551/30))</f>
        <v/>
      </c>
      <c r="J1551">
        <f>IF(I1551="","",IF(I1551&gt;=MAXIFS($I$2:$I$5001,$B$2:$B$5001,B1551,$A$2:$A$5001,"&lt;="&amp;A1551),"PR",""))</f>
        <v/>
      </c>
    </row>
    <row r="1552">
      <c r="A1552" s="7" t="n"/>
      <c r="H1552" s="11">
        <f>IF(OR(D1552="",E1552=""),"",D1552*E1552)</f>
        <v/>
      </c>
      <c r="I1552" s="8">
        <f>IF(OR(D1552="",E1552=""),"",E1552*(1+D1552/30))</f>
        <v/>
      </c>
      <c r="J1552">
        <f>IF(I1552="","",IF(I1552&gt;=MAXIFS($I$2:$I$5001,$B$2:$B$5001,B1552,$A$2:$A$5001,"&lt;="&amp;A1552),"PR",""))</f>
        <v/>
      </c>
    </row>
    <row r="1553">
      <c r="A1553" s="7" t="n"/>
      <c r="H1553" s="11">
        <f>IF(OR(D1553="",E1553=""),"",D1553*E1553)</f>
        <v/>
      </c>
      <c r="I1553" s="8">
        <f>IF(OR(D1553="",E1553=""),"",E1553*(1+D1553/30))</f>
        <v/>
      </c>
      <c r="J1553">
        <f>IF(I1553="","",IF(I1553&gt;=MAXIFS($I$2:$I$5001,$B$2:$B$5001,B1553,$A$2:$A$5001,"&lt;="&amp;A1553),"PR",""))</f>
        <v/>
      </c>
    </row>
    <row r="1554">
      <c r="A1554" s="7" t="n"/>
      <c r="H1554" s="11">
        <f>IF(OR(D1554="",E1554=""),"",D1554*E1554)</f>
        <v/>
      </c>
      <c r="I1554" s="8">
        <f>IF(OR(D1554="",E1554=""),"",E1554*(1+D1554/30))</f>
        <v/>
      </c>
      <c r="J1554">
        <f>IF(I1554="","",IF(I1554&gt;=MAXIFS($I$2:$I$5001,$B$2:$B$5001,B1554,$A$2:$A$5001,"&lt;="&amp;A1554),"PR",""))</f>
        <v/>
      </c>
    </row>
    <row r="1555">
      <c r="A1555" s="7" t="n"/>
      <c r="H1555" s="11">
        <f>IF(OR(D1555="",E1555=""),"",D1555*E1555)</f>
        <v/>
      </c>
      <c r="I1555" s="8">
        <f>IF(OR(D1555="",E1555=""),"",E1555*(1+D1555/30))</f>
        <v/>
      </c>
      <c r="J1555">
        <f>IF(I1555="","",IF(I1555&gt;=MAXIFS($I$2:$I$5001,$B$2:$B$5001,B1555,$A$2:$A$5001,"&lt;="&amp;A1555),"PR",""))</f>
        <v/>
      </c>
    </row>
    <row r="1556">
      <c r="A1556" s="7" t="n"/>
      <c r="H1556" s="11">
        <f>IF(OR(D1556="",E1556=""),"",D1556*E1556)</f>
        <v/>
      </c>
      <c r="I1556" s="8">
        <f>IF(OR(D1556="",E1556=""),"",E1556*(1+D1556/30))</f>
        <v/>
      </c>
      <c r="J1556">
        <f>IF(I1556="","",IF(I1556&gt;=MAXIFS($I$2:$I$5001,$B$2:$B$5001,B1556,$A$2:$A$5001,"&lt;="&amp;A1556),"PR",""))</f>
        <v/>
      </c>
    </row>
    <row r="1557">
      <c r="A1557" s="7" t="n"/>
      <c r="H1557" s="11">
        <f>IF(OR(D1557="",E1557=""),"",D1557*E1557)</f>
        <v/>
      </c>
      <c r="I1557" s="8">
        <f>IF(OR(D1557="",E1557=""),"",E1557*(1+D1557/30))</f>
        <v/>
      </c>
      <c r="J1557">
        <f>IF(I1557="","",IF(I1557&gt;=MAXIFS($I$2:$I$5001,$B$2:$B$5001,B1557,$A$2:$A$5001,"&lt;="&amp;A1557),"PR",""))</f>
        <v/>
      </c>
    </row>
    <row r="1558">
      <c r="A1558" s="7" t="n"/>
      <c r="H1558" s="11">
        <f>IF(OR(D1558="",E1558=""),"",D1558*E1558)</f>
        <v/>
      </c>
      <c r="I1558" s="8">
        <f>IF(OR(D1558="",E1558=""),"",E1558*(1+D1558/30))</f>
        <v/>
      </c>
      <c r="J1558">
        <f>IF(I1558="","",IF(I1558&gt;=MAXIFS($I$2:$I$5001,$B$2:$B$5001,B1558,$A$2:$A$5001,"&lt;="&amp;A1558),"PR",""))</f>
        <v/>
      </c>
    </row>
    <row r="1559">
      <c r="A1559" s="7" t="n"/>
      <c r="H1559" s="11">
        <f>IF(OR(D1559="",E1559=""),"",D1559*E1559)</f>
        <v/>
      </c>
      <c r="I1559" s="8">
        <f>IF(OR(D1559="",E1559=""),"",E1559*(1+D1559/30))</f>
        <v/>
      </c>
      <c r="J1559">
        <f>IF(I1559="","",IF(I1559&gt;=MAXIFS($I$2:$I$5001,$B$2:$B$5001,B1559,$A$2:$A$5001,"&lt;="&amp;A1559),"PR",""))</f>
        <v/>
      </c>
    </row>
    <row r="1560">
      <c r="A1560" s="7" t="n"/>
      <c r="H1560" s="11">
        <f>IF(OR(D1560="",E1560=""),"",D1560*E1560)</f>
        <v/>
      </c>
      <c r="I1560" s="8">
        <f>IF(OR(D1560="",E1560=""),"",E1560*(1+D1560/30))</f>
        <v/>
      </c>
      <c r="J1560">
        <f>IF(I1560="","",IF(I1560&gt;=MAXIFS($I$2:$I$5001,$B$2:$B$5001,B1560,$A$2:$A$5001,"&lt;="&amp;A1560),"PR",""))</f>
        <v/>
      </c>
    </row>
    <row r="1561">
      <c r="A1561" s="7" t="n"/>
      <c r="H1561" s="11">
        <f>IF(OR(D1561="",E1561=""),"",D1561*E1561)</f>
        <v/>
      </c>
      <c r="I1561" s="8">
        <f>IF(OR(D1561="",E1561=""),"",E1561*(1+D1561/30))</f>
        <v/>
      </c>
      <c r="J1561">
        <f>IF(I1561="","",IF(I1561&gt;=MAXIFS($I$2:$I$5001,$B$2:$B$5001,B1561,$A$2:$A$5001,"&lt;="&amp;A1561),"PR",""))</f>
        <v/>
      </c>
    </row>
    <row r="1562">
      <c r="A1562" s="7" t="n"/>
      <c r="H1562" s="11">
        <f>IF(OR(D1562="",E1562=""),"",D1562*E1562)</f>
        <v/>
      </c>
      <c r="I1562" s="8">
        <f>IF(OR(D1562="",E1562=""),"",E1562*(1+D1562/30))</f>
        <v/>
      </c>
      <c r="J1562">
        <f>IF(I1562="","",IF(I1562&gt;=MAXIFS($I$2:$I$5001,$B$2:$B$5001,B1562,$A$2:$A$5001,"&lt;="&amp;A1562),"PR",""))</f>
        <v/>
      </c>
    </row>
    <row r="1563">
      <c r="A1563" s="7" t="n"/>
      <c r="H1563" s="11">
        <f>IF(OR(D1563="",E1563=""),"",D1563*E1563)</f>
        <v/>
      </c>
      <c r="I1563" s="8">
        <f>IF(OR(D1563="",E1563=""),"",E1563*(1+D1563/30))</f>
        <v/>
      </c>
      <c r="J1563">
        <f>IF(I1563="","",IF(I1563&gt;=MAXIFS($I$2:$I$5001,$B$2:$B$5001,B1563,$A$2:$A$5001,"&lt;="&amp;A1563),"PR",""))</f>
        <v/>
      </c>
    </row>
    <row r="1564">
      <c r="A1564" s="7" t="n"/>
      <c r="H1564" s="11">
        <f>IF(OR(D1564="",E1564=""),"",D1564*E1564)</f>
        <v/>
      </c>
      <c r="I1564" s="8">
        <f>IF(OR(D1564="",E1564=""),"",E1564*(1+D1564/30))</f>
        <v/>
      </c>
      <c r="J1564">
        <f>IF(I1564="","",IF(I1564&gt;=MAXIFS($I$2:$I$5001,$B$2:$B$5001,B1564,$A$2:$A$5001,"&lt;="&amp;A1564),"PR",""))</f>
        <v/>
      </c>
    </row>
    <row r="1565">
      <c r="A1565" s="7" t="n"/>
      <c r="H1565" s="11">
        <f>IF(OR(D1565="",E1565=""),"",D1565*E1565)</f>
        <v/>
      </c>
      <c r="I1565" s="8">
        <f>IF(OR(D1565="",E1565=""),"",E1565*(1+D1565/30))</f>
        <v/>
      </c>
      <c r="J1565">
        <f>IF(I1565="","",IF(I1565&gt;=MAXIFS($I$2:$I$5001,$B$2:$B$5001,B1565,$A$2:$A$5001,"&lt;="&amp;A1565),"PR",""))</f>
        <v/>
      </c>
    </row>
    <row r="1566">
      <c r="A1566" s="7" t="n"/>
      <c r="H1566" s="11">
        <f>IF(OR(D1566="",E1566=""),"",D1566*E1566)</f>
        <v/>
      </c>
      <c r="I1566" s="8">
        <f>IF(OR(D1566="",E1566=""),"",E1566*(1+D1566/30))</f>
        <v/>
      </c>
      <c r="J1566">
        <f>IF(I1566="","",IF(I1566&gt;=MAXIFS($I$2:$I$5001,$B$2:$B$5001,B1566,$A$2:$A$5001,"&lt;="&amp;A1566),"PR",""))</f>
        <v/>
      </c>
    </row>
    <row r="1567">
      <c r="A1567" s="7" t="n"/>
      <c r="H1567" s="11">
        <f>IF(OR(D1567="",E1567=""),"",D1567*E1567)</f>
        <v/>
      </c>
      <c r="I1567" s="8">
        <f>IF(OR(D1567="",E1567=""),"",E1567*(1+D1567/30))</f>
        <v/>
      </c>
      <c r="J1567">
        <f>IF(I1567="","",IF(I1567&gt;=MAXIFS($I$2:$I$5001,$B$2:$B$5001,B1567,$A$2:$A$5001,"&lt;="&amp;A1567),"PR",""))</f>
        <v/>
      </c>
    </row>
    <row r="1568">
      <c r="A1568" s="7" t="n"/>
      <c r="H1568" s="11">
        <f>IF(OR(D1568="",E1568=""),"",D1568*E1568)</f>
        <v/>
      </c>
      <c r="I1568" s="8">
        <f>IF(OR(D1568="",E1568=""),"",E1568*(1+D1568/30))</f>
        <v/>
      </c>
      <c r="J1568">
        <f>IF(I1568="","",IF(I1568&gt;=MAXIFS($I$2:$I$5001,$B$2:$B$5001,B1568,$A$2:$A$5001,"&lt;="&amp;A1568),"PR",""))</f>
        <v/>
      </c>
    </row>
    <row r="1569">
      <c r="A1569" s="7" t="n"/>
      <c r="H1569" s="11">
        <f>IF(OR(D1569="",E1569=""),"",D1569*E1569)</f>
        <v/>
      </c>
      <c r="I1569" s="8">
        <f>IF(OR(D1569="",E1569=""),"",E1569*(1+D1569/30))</f>
        <v/>
      </c>
      <c r="J1569">
        <f>IF(I1569="","",IF(I1569&gt;=MAXIFS($I$2:$I$5001,$B$2:$B$5001,B1569,$A$2:$A$5001,"&lt;="&amp;A1569),"PR",""))</f>
        <v/>
      </c>
    </row>
    <row r="1570">
      <c r="A1570" s="7" t="n"/>
      <c r="H1570" s="11">
        <f>IF(OR(D1570="",E1570=""),"",D1570*E1570)</f>
        <v/>
      </c>
      <c r="I1570" s="8">
        <f>IF(OR(D1570="",E1570=""),"",E1570*(1+D1570/30))</f>
        <v/>
      </c>
      <c r="J1570">
        <f>IF(I1570="","",IF(I1570&gt;=MAXIFS($I$2:$I$5001,$B$2:$B$5001,B1570,$A$2:$A$5001,"&lt;="&amp;A1570),"PR",""))</f>
        <v/>
      </c>
    </row>
    <row r="1571">
      <c r="A1571" s="7" t="n"/>
      <c r="H1571" s="11">
        <f>IF(OR(D1571="",E1571=""),"",D1571*E1571)</f>
        <v/>
      </c>
      <c r="I1571" s="8">
        <f>IF(OR(D1571="",E1571=""),"",E1571*(1+D1571/30))</f>
        <v/>
      </c>
      <c r="J1571">
        <f>IF(I1571="","",IF(I1571&gt;=MAXIFS($I$2:$I$5001,$B$2:$B$5001,B1571,$A$2:$A$5001,"&lt;="&amp;A1571),"PR",""))</f>
        <v/>
      </c>
    </row>
    <row r="1572">
      <c r="A1572" s="7" t="n"/>
      <c r="H1572" s="11">
        <f>IF(OR(D1572="",E1572=""),"",D1572*E1572)</f>
        <v/>
      </c>
      <c r="I1572" s="8">
        <f>IF(OR(D1572="",E1572=""),"",E1572*(1+D1572/30))</f>
        <v/>
      </c>
      <c r="J1572">
        <f>IF(I1572="","",IF(I1572&gt;=MAXIFS($I$2:$I$5001,$B$2:$B$5001,B1572,$A$2:$A$5001,"&lt;="&amp;A1572),"PR",""))</f>
        <v/>
      </c>
    </row>
    <row r="1573">
      <c r="A1573" s="7" t="n"/>
      <c r="H1573" s="11">
        <f>IF(OR(D1573="",E1573=""),"",D1573*E1573)</f>
        <v/>
      </c>
      <c r="I1573" s="8">
        <f>IF(OR(D1573="",E1573=""),"",E1573*(1+D1573/30))</f>
        <v/>
      </c>
      <c r="J1573">
        <f>IF(I1573="","",IF(I1573&gt;=MAXIFS($I$2:$I$5001,$B$2:$B$5001,B1573,$A$2:$A$5001,"&lt;="&amp;A1573),"PR",""))</f>
        <v/>
      </c>
    </row>
    <row r="1574">
      <c r="A1574" s="7" t="n"/>
      <c r="H1574" s="11">
        <f>IF(OR(D1574="",E1574=""),"",D1574*E1574)</f>
        <v/>
      </c>
      <c r="I1574" s="8">
        <f>IF(OR(D1574="",E1574=""),"",E1574*(1+D1574/30))</f>
        <v/>
      </c>
      <c r="J1574">
        <f>IF(I1574="","",IF(I1574&gt;=MAXIFS($I$2:$I$5001,$B$2:$B$5001,B1574,$A$2:$A$5001,"&lt;="&amp;A1574),"PR",""))</f>
        <v/>
      </c>
    </row>
    <row r="1575">
      <c r="A1575" s="7" t="n"/>
      <c r="H1575" s="11">
        <f>IF(OR(D1575="",E1575=""),"",D1575*E1575)</f>
        <v/>
      </c>
      <c r="I1575" s="8">
        <f>IF(OR(D1575="",E1575=""),"",E1575*(1+D1575/30))</f>
        <v/>
      </c>
      <c r="J1575">
        <f>IF(I1575="","",IF(I1575&gt;=MAXIFS($I$2:$I$5001,$B$2:$B$5001,B1575,$A$2:$A$5001,"&lt;="&amp;A1575),"PR",""))</f>
        <v/>
      </c>
    </row>
    <row r="1576">
      <c r="A1576" s="7" t="n"/>
      <c r="H1576" s="11">
        <f>IF(OR(D1576="",E1576=""),"",D1576*E1576)</f>
        <v/>
      </c>
      <c r="I1576" s="8">
        <f>IF(OR(D1576="",E1576=""),"",E1576*(1+D1576/30))</f>
        <v/>
      </c>
      <c r="J1576">
        <f>IF(I1576="","",IF(I1576&gt;=MAXIFS($I$2:$I$5001,$B$2:$B$5001,B1576,$A$2:$A$5001,"&lt;="&amp;A1576),"PR",""))</f>
        <v/>
      </c>
    </row>
    <row r="1577">
      <c r="A1577" s="7" t="n"/>
      <c r="H1577" s="11">
        <f>IF(OR(D1577="",E1577=""),"",D1577*E1577)</f>
        <v/>
      </c>
      <c r="I1577" s="8">
        <f>IF(OR(D1577="",E1577=""),"",E1577*(1+D1577/30))</f>
        <v/>
      </c>
      <c r="J1577">
        <f>IF(I1577="","",IF(I1577&gt;=MAXIFS($I$2:$I$5001,$B$2:$B$5001,B1577,$A$2:$A$5001,"&lt;="&amp;A1577),"PR",""))</f>
        <v/>
      </c>
    </row>
    <row r="1578">
      <c r="A1578" s="7" t="n"/>
      <c r="H1578" s="11">
        <f>IF(OR(D1578="",E1578=""),"",D1578*E1578)</f>
        <v/>
      </c>
      <c r="I1578" s="8">
        <f>IF(OR(D1578="",E1578=""),"",E1578*(1+D1578/30))</f>
        <v/>
      </c>
      <c r="J1578">
        <f>IF(I1578="","",IF(I1578&gt;=MAXIFS($I$2:$I$5001,$B$2:$B$5001,B1578,$A$2:$A$5001,"&lt;="&amp;A1578),"PR",""))</f>
        <v/>
      </c>
    </row>
    <row r="1579">
      <c r="A1579" s="7" t="n"/>
      <c r="H1579" s="11">
        <f>IF(OR(D1579="",E1579=""),"",D1579*E1579)</f>
        <v/>
      </c>
      <c r="I1579" s="8">
        <f>IF(OR(D1579="",E1579=""),"",E1579*(1+D1579/30))</f>
        <v/>
      </c>
      <c r="J1579">
        <f>IF(I1579="","",IF(I1579&gt;=MAXIFS($I$2:$I$5001,$B$2:$B$5001,B1579,$A$2:$A$5001,"&lt;="&amp;A1579),"PR",""))</f>
        <v/>
      </c>
    </row>
    <row r="1580">
      <c r="A1580" s="7" t="n"/>
      <c r="H1580" s="11">
        <f>IF(OR(D1580="",E1580=""),"",D1580*E1580)</f>
        <v/>
      </c>
      <c r="I1580" s="8">
        <f>IF(OR(D1580="",E1580=""),"",E1580*(1+D1580/30))</f>
        <v/>
      </c>
      <c r="J1580">
        <f>IF(I1580="","",IF(I1580&gt;=MAXIFS($I$2:$I$5001,$B$2:$B$5001,B1580,$A$2:$A$5001,"&lt;="&amp;A1580),"PR",""))</f>
        <v/>
      </c>
    </row>
    <row r="1581">
      <c r="A1581" s="7" t="n"/>
      <c r="H1581" s="11">
        <f>IF(OR(D1581="",E1581=""),"",D1581*E1581)</f>
        <v/>
      </c>
      <c r="I1581" s="8">
        <f>IF(OR(D1581="",E1581=""),"",E1581*(1+D1581/30))</f>
        <v/>
      </c>
      <c r="J1581">
        <f>IF(I1581="","",IF(I1581&gt;=MAXIFS($I$2:$I$5001,$B$2:$B$5001,B1581,$A$2:$A$5001,"&lt;="&amp;A1581),"PR",""))</f>
        <v/>
      </c>
    </row>
    <row r="1582">
      <c r="A1582" s="7" t="n"/>
      <c r="H1582" s="11">
        <f>IF(OR(D1582="",E1582=""),"",D1582*E1582)</f>
        <v/>
      </c>
      <c r="I1582" s="8">
        <f>IF(OR(D1582="",E1582=""),"",E1582*(1+D1582/30))</f>
        <v/>
      </c>
      <c r="J1582">
        <f>IF(I1582="","",IF(I1582&gt;=MAXIFS($I$2:$I$5001,$B$2:$B$5001,B1582,$A$2:$A$5001,"&lt;="&amp;A1582),"PR",""))</f>
        <v/>
      </c>
    </row>
    <row r="1583">
      <c r="A1583" s="7" t="n"/>
      <c r="H1583" s="11">
        <f>IF(OR(D1583="",E1583=""),"",D1583*E1583)</f>
        <v/>
      </c>
      <c r="I1583" s="8">
        <f>IF(OR(D1583="",E1583=""),"",E1583*(1+D1583/30))</f>
        <v/>
      </c>
      <c r="J1583">
        <f>IF(I1583="","",IF(I1583&gt;=MAXIFS($I$2:$I$5001,$B$2:$B$5001,B1583,$A$2:$A$5001,"&lt;="&amp;A1583),"PR",""))</f>
        <v/>
      </c>
    </row>
    <row r="1584">
      <c r="A1584" s="7" t="n"/>
      <c r="H1584" s="11">
        <f>IF(OR(D1584="",E1584=""),"",D1584*E1584)</f>
        <v/>
      </c>
      <c r="I1584" s="8">
        <f>IF(OR(D1584="",E1584=""),"",E1584*(1+D1584/30))</f>
        <v/>
      </c>
      <c r="J1584">
        <f>IF(I1584="","",IF(I1584&gt;=MAXIFS($I$2:$I$5001,$B$2:$B$5001,B1584,$A$2:$A$5001,"&lt;="&amp;A1584),"PR",""))</f>
        <v/>
      </c>
    </row>
    <row r="1585">
      <c r="A1585" s="7" t="n"/>
      <c r="H1585" s="11">
        <f>IF(OR(D1585="",E1585=""),"",D1585*E1585)</f>
        <v/>
      </c>
      <c r="I1585" s="8">
        <f>IF(OR(D1585="",E1585=""),"",E1585*(1+D1585/30))</f>
        <v/>
      </c>
      <c r="J1585">
        <f>IF(I1585="","",IF(I1585&gt;=MAXIFS($I$2:$I$5001,$B$2:$B$5001,B1585,$A$2:$A$5001,"&lt;="&amp;A1585),"PR",""))</f>
        <v/>
      </c>
    </row>
    <row r="1586">
      <c r="A1586" s="7" t="n"/>
      <c r="H1586" s="11">
        <f>IF(OR(D1586="",E1586=""),"",D1586*E1586)</f>
        <v/>
      </c>
      <c r="I1586" s="8">
        <f>IF(OR(D1586="",E1586=""),"",E1586*(1+D1586/30))</f>
        <v/>
      </c>
      <c r="J1586">
        <f>IF(I1586="","",IF(I1586&gt;=MAXIFS($I$2:$I$5001,$B$2:$B$5001,B1586,$A$2:$A$5001,"&lt;="&amp;A1586),"PR",""))</f>
        <v/>
      </c>
    </row>
    <row r="1587">
      <c r="A1587" s="7" t="n"/>
      <c r="H1587" s="11">
        <f>IF(OR(D1587="",E1587=""),"",D1587*E1587)</f>
        <v/>
      </c>
      <c r="I1587" s="8">
        <f>IF(OR(D1587="",E1587=""),"",E1587*(1+D1587/30))</f>
        <v/>
      </c>
      <c r="J1587">
        <f>IF(I1587="","",IF(I1587&gt;=MAXIFS($I$2:$I$5001,$B$2:$B$5001,B1587,$A$2:$A$5001,"&lt;="&amp;A1587),"PR",""))</f>
        <v/>
      </c>
    </row>
    <row r="1588">
      <c r="A1588" s="7" t="n"/>
      <c r="H1588" s="11">
        <f>IF(OR(D1588="",E1588=""),"",D1588*E1588)</f>
        <v/>
      </c>
      <c r="I1588" s="8">
        <f>IF(OR(D1588="",E1588=""),"",E1588*(1+D1588/30))</f>
        <v/>
      </c>
      <c r="J1588">
        <f>IF(I1588="","",IF(I1588&gt;=MAXIFS($I$2:$I$5001,$B$2:$B$5001,B1588,$A$2:$A$5001,"&lt;="&amp;A1588),"PR",""))</f>
        <v/>
      </c>
    </row>
    <row r="1589">
      <c r="A1589" s="7" t="n"/>
      <c r="H1589" s="11">
        <f>IF(OR(D1589="",E1589=""),"",D1589*E1589)</f>
        <v/>
      </c>
      <c r="I1589" s="8">
        <f>IF(OR(D1589="",E1589=""),"",E1589*(1+D1589/30))</f>
        <v/>
      </c>
      <c r="J1589">
        <f>IF(I1589="","",IF(I1589&gt;=MAXIFS($I$2:$I$5001,$B$2:$B$5001,B1589,$A$2:$A$5001,"&lt;="&amp;A1589),"PR",""))</f>
        <v/>
      </c>
    </row>
    <row r="1590">
      <c r="A1590" s="7" t="n"/>
      <c r="H1590" s="11">
        <f>IF(OR(D1590="",E1590=""),"",D1590*E1590)</f>
        <v/>
      </c>
      <c r="I1590" s="8">
        <f>IF(OR(D1590="",E1590=""),"",E1590*(1+D1590/30))</f>
        <v/>
      </c>
      <c r="J1590">
        <f>IF(I1590="","",IF(I1590&gt;=MAXIFS($I$2:$I$5001,$B$2:$B$5001,B1590,$A$2:$A$5001,"&lt;="&amp;A1590),"PR",""))</f>
        <v/>
      </c>
    </row>
    <row r="1591">
      <c r="A1591" s="7" t="n"/>
      <c r="H1591" s="11">
        <f>IF(OR(D1591="",E1591=""),"",D1591*E1591)</f>
        <v/>
      </c>
      <c r="I1591" s="8">
        <f>IF(OR(D1591="",E1591=""),"",E1591*(1+D1591/30))</f>
        <v/>
      </c>
      <c r="J1591">
        <f>IF(I1591="","",IF(I1591&gt;=MAXIFS($I$2:$I$5001,$B$2:$B$5001,B1591,$A$2:$A$5001,"&lt;="&amp;A1591),"PR",""))</f>
        <v/>
      </c>
    </row>
    <row r="1592">
      <c r="A1592" s="7" t="n"/>
      <c r="H1592" s="11">
        <f>IF(OR(D1592="",E1592=""),"",D1592*E1592)</f>
        <v/>
      </c>
      <c r="I1592" s="8">
        <f>IF(OR(D1592="",E1592=""),"",E1592*(1+D1592/30))</f>
        <v/>
      </c>
      <c r="J1592">
        <f>IF(I1592="","",IF(I1592&gt;=MAXIFS($I$2:$I$5001,$B$2:$B$5001,B1592,$A$2:$A$5001,"&lt;="&amp;A1592),"PR",""))</f>
        <v/>
      </c>
    </row>
    <row r="1593">
      <c r="A1593" s="7" t="n"/>
      <c r="H1593" s="11">
        <f>IF(OR(D1593="",E1593=""),"",D1593*E1593)</f>
        <v/>
      </c>
      <c r="I1593" s="8">
        <f>IF(OR(D1593="",E1593=""),"",E1593*(1+D1593/30))</f>
        <v/>
      </c>
      <c r="J1593">
        <f>IF(I1593="","",IF(I1593&gt;=MAXIFS($I$2:$I$5001,$B$2:$B$5001,B1593,$A$2:$A$5001,"&lt;="&amp;A1593),"PR",""))</f>
        <v/>
      </c>
    </row>
    <row r="1594">
      <c r="A1594" s="7" t="n"/>
      <c r="H1594" s="11">
        <f>IF(OR(D1594="",E1594=""),"",D1594*E1594)</f>
        <v/>
      </c>
      <c r="I1594" s="8">
        <f>IF(OR(D1594="",E1594=""),"",E1594*(1+D1594/30))</f>
        <v/>
      </c>
      <c r="J1594">
        <f>IF(I1594="","",IF(I1594&gt;=MAXIFS($I$2:$I$5001,$B$2:$B$5001,B1594,$A$2:$A$5001,"&lt;="&amp;A1594),"PR",""))</f>
        <v/>
      </c>
    </row>
    <row r="1595">
      <c r="A1595" s="7" t="n"/>
      <c r="H1595" s="11">
        <f>IF(OR(D1595="",E1595=""),"",D1595*E1595)</f>
        <v/>
      </c>
      <c r="I1595" s="8">
        <f>IF(OR(D1595="",E1595=""),"",E1595*(1+D1595/30))</f>
        <v/>
      </c>
      <c r="J1595">
        <f>IF(I1595="","",IF(I1595&gt;=MAXIFS($I$2:$I$5001,$B$2:$B$5001,B1595,$A$2:$A$5001,"&lt;="&amp;A1595),"PR",""))</f>
        <v/>
      </c>
    </row>
    <row r="1596">
      <c r="A1596" s="7" t="n"/>
      <c r="H1596" s="11">
        <f>IF(OR(D1596="",E1596=""),"",D1596*E1596)</f>
        <v/>
      </c>
      <c r="I1596" s="8">
        <f>IF(OR(D1596="",E1596=""),"",E1596*(1+D1596/30))</f>
        <v/>
      </c>
      <c r="J1596">
        <f>IF(I1596="","",IF(I1596&gt;=MAXIFS($I$2:$I$5001,$B$2:$B$5001,B1596,$A$2:$A$5001,"&lt;="&amp;A1596),"PR",""))</f>
        <v/>
      </c>
    </row>
    <row r="1597">
      <c r="A1597" s="7" t="n"/>
      <c r="H1597" s="11">
        <f>IF(OR(D1597="",E1597=""),"",D1597*E1597)</f>
        <v/>
      </c>
      <c r="I1597" s="8">
        <f>IF(OR(D1597="",E1597=""),"",E1597*(1+D1597/30))</f>
        <v/>
      </c>
      <c r="J1597">
        <f>IF(I1597="","",IF(I1597&gt;=MAXIFS($I$2:$I$5001,$B$2:$B$5001,B1597,$A$2:$A$5001,"&lt;="&amp;A1597),"PR",""))</f>
        <v/>
      </c>
    </row>
    <row r="1598">
      <c r="A1598" s="7" t="n"/>
      <c r="H1598" s="11">
        <f>IF(OR(D1598="",E1598=""),"",D1598*E1598)</f>
        <v/>
      </c>
      <c r="I1598" s="8">
        <f>IF(OR(D1598="",E1598=""),"",E1598*(1+D1598/30))</f>
        <v/>
      </c>
      <c r="J1598">
        <f>IF(I1598="","",IF(I1598&gt;=MAXIFS($I$2:$I$5001,$B$2:$B$5001,B1598,$A$2:$A$5001,"&lt;="&amp;A1598),"PR",""))</f>
        <v/>
      </c>
    </row>
    <row r="1599">
      <c r="A1599" s="7" t="n"/>
      <c r="H1599" s="11">
        <f>IF(OR(D1599="",E1599=""),"",D1599*E1599)</f>
        <v/>
      </c>
      <c r="I1599" s="8">
        <f>IF(OR(D1599="",E1599=""),"",E1599*(1+D1599/30))</f>
        <v/>
      </c>
      <c r="J1599">
        <f>IF(I1599="","",IF(I1599&gt;=MAXIFS($I$2:$I$5001,$B$2:$B$5001,B1599,$A$2:$A$5001,"&lt;="&amp;A1599),"PR",""))</f>
        <v/>
      </c>
    </row>
    <row r="1600">
      <c r="A1600" s="7" t="n"/>
      <c r="H1600" s="11">
        <f>IF(OR(D1600="",E1600=""),"",D1600*E1600)</f>
        <v/>
      </c>
      <c r="I1600" s="8">
        <f>IF(OR(D1600="",E1600=""),"",E1600*(1+D1600/30))</f>
        <v/>
      </c>
      <c r="J1600">
        <f>IF(I1600="","",IF(I1600&gt;=MAXIFS($I$2:$I$5001,$B$2:$B$5001,B1600,$A$2:$A$5001,"&lt;="&amp;A1600),"PR",""))</f>
        <v/>
      </c>
    </row>
    <row r="1601">
      <c r="A1601" s="7" t="n"/>
      <c r="H1601" s="11">
        <f>IF(OR(D1601="",E1601=""),"",D1601*E1601)</f>
        <v/>
      </c>
      <c r="I1601" s="8">
        <f>IF(OR(D1601="",E1601=""),"",E1601*(1+D1601/30))</f>
        <v/>
      </c>
      <c r="J1601">
        <f>IF(I1601="","",IF(I1601&gt;=MAXIFS($I$2:$I$5001,$B$2:$B$5001,B1601,$A$2:$A$5001,"&lt;="&amp;A1601),"PR",""))</f>
        <v/>
      </c>
    </row>
    <row r="1602">
      <c r="A1602" s="7" t="n"/>
      <c r="H1602" s="11">
        <f>IF(OR(D1602="",E1602=""),"",D1602*E1602)</f>
        <v/>
      </c>
      <c r="I1602" s="8">
        <f>IF(OR(D1602="",E1602=""),"",E1602*(1+D1602/30))</f>
        <v/>
      </c>
      <c r="J1602">
        <f>IF(I1602="","",IF(I1602&gt;=MAXIFS($I$2:$I$5001,$B$2:$B$5001,B1602,$A$2:$A$5001,"&lt;="&amp;A1602),"PR",""))</f>
        <v/>
      </c>
    </row>
    <row r="1603">
      <c r="A1603" s="7" t="n"/>
      <c r="H1603" s="11">
        <f>IF(OR(D1603="",E1603=""),"",D1603*E1603)</f>
        <v/>
      </c>
      <c r="I1603" s="8">
        <f>IF(OR(D1603="",E1603=""),"",E1603*(1+D1603/30))</f>
        <v/>
      </c>
      <c r="J1603">
        <f>IF(I1603="","",IF(I1603&gt;=MAXIFS($I$2:$I$5001,$B$2:$B$5001,B1603,$A$2:$A$5001,"&lt;="&amp;A1603),"PR",""))</f>
        <v/>
      </c>
    </row>
    <row r="1604">
      <c r="A1604" s="7" t="n"/>
      <c r="H1604" s="11">
        <f>IF(OR(D1604="",E1604=""),"",D1604*E1604)</f>
        <v/>
      </c>
      <c r="I1604" s="8">
        <f>IF(OR(D1604="",E1604=""),"",E1604*(1+D1604/30))</f>
        <v/>
      </c>
      <c r="J1604">
        <f>IF(I1604="","",IF(I1604&gt;=MAXIFS($I$2:$I$5001,$B$2:$B$5001,B1604,$A$2:$A$5001,"&lt;="&amp;A1604),"PR",""))</f>
        <v/>
      </c>
    </row>
    <row r="1605">
      <c r="A1605" s="7" t="n"/>
      <c r="H1605" s="11">
        <f>IF(OR(D1605="",E1605=""),"",D1605*E1605)</f>
        <v/>
      </c>
      <c r="I1605" s="8">
        <f>IF(OR(D1605="",E1605=""),"",E1605*(1+D1605/30))</f>
        <v/>
      </c>
      <c r="J1605">
        <f>IF(I1605="","",IF(I1605&gt;=MAXIFS($I$2:$I$5001,$B$2:$B$5001,B1605,$A$2:$A$5001,"&lt;="&amp;A1605),"PR",""))</f>
        <v/>
      </c>
    </row>
    <row r="1606">
      <c r="A1606" s="7" t="n"/>
      <c r="H1606" s="11">
        <f>IF(OR(D1606="",E1606=""),"",D1606*E1606)</f>
        <v/>
      </c>
      <c r="I1606" s="8">
        <f>IF(OR(D1606="",E1606=""),"",E1606*(1+D1606/30))</f>
        <v/>
      </c>
      <c r="J1606">
        <f>IF(I1606="","",IF(I1606&gt;=MAXIFS($I$2:$I$5001,$B$2:$B$5001,B1606,$A$2:$A$5001,"&lt;="&amp;A1606),"PR",""))</f>
        <v/>
      </c>
    </row>
    <row r="1607">
      <c r="A1607" s="7" t="n"/>
      <c r="H1607" s="11">
        <f>IF(OR(D1607="",E1607=""),"",D1607*E1607)</f>
        <v/>
      </c>
      <c r="I1607" s="8">
        <f>IF(OR(D1607="",E1607=""),"",E1607*(1+D1607/30))</f>
        <v/>
      </c>
      <c r="J1607">
        <f>IF(I1607="","",IF(I1607&gt;=MAXIFS($I$2:$I$5001,$B$2:$B$5001,B1607,$A$2:$A$5001,"&lt;="&amp;A1607),"PR",""))</f>
        <v/>
      </c>
    </row>
    <row r="1608">
      <c r="A1608" s="7" t="n"/>
      <c r="H1608" s="11">
        <f>IF(OR(D1608="",E1608=""),"",D1608*E1608)</f>
        <v/>
      </c>
      <c r="I1608" s="8">
        <f>IF(OR(D1608="",E1608=""),"",E1608*(1+D1608/30))</f>
        <v/>
      </c>
      <c r="J1608">
        <f>IF(I1608="","",IF(I1608&gt;=MAXIFS($I$2:$I$5001,$B$2:$B$5001,B1608,$A$2:$A$5001,"&lt;="&amp;A1608),"PR",""))</f>
        <v/>
      </c>
    </row>
    <row r="1609">
      <c r="A1609" s="7" t="n"/>
      <c r="H1609" s="11">
        <f>IF(OR(D1609="",E1609=""),"",D1609*E1609)</f>
        <v/>
      </c>
      <c r="I1609" s="8">
        <f>IF(OR(D1609="",E1609=""),"",E1609*(1+D1609/30))</f>
        <v/>
      </c>
      <c r="J1609">
        <f>IF(I1609="","",IF(I1609&gt;=MAXIFS($I$2:$I$5001,$B$2:$B$5001,B1609,$A$2:$A$5001,"&lt;="&amp;A1609),"PR",""))</f>
        <v/>
      </c>
    </row>
    <row r="1610">
      <c r="A1610" s="7" t="n"/>
      <c r="H1610" s="11">
        <f>IF(OR(D1610="",E1610=""),"",D1610*E1610)</f>
        <v/>
      </c>
      <c r="I1610" s="8">
        <f>IF(OR(D1610="",E1610=""),"",E1610*(1+D1610/30))</f>
        <v/>
      </c>
      <c r="J1610">
        <f>IF(I1610="","",IF(I1610&gt;=MAXIFS($I$2:$I$5001,$B$2:$B$5001,B1610,$A$2:$A$5001,"&lt;="&amp;A1610),"PR",""))</f>
        <v/>
      </c>
    </row>
    <row r="1611">
      <c r="A1611" s="7" t="n"/>
      <c r="H1611" s="11">
        <f>IF(OR(D1611="",E1611=""),"",D1611*E1611)</f>
        <v/>
      </c>
      <c r="I1611" s="8">
        <f>IF(OR(D1611="",E1611=""),"",E1611*(1+D1611/30))</f>
        <v/>
      </c>
      <c r="J1611">
        <f>IF(I1611="","",IF(I1611&gt;=MAXIFS($I$2:$I$5001,$B$2:$B$5001,B1611,$A$2:$A$5001,"&lt;="&amp;A1611),"PR",""))</f>
        <v/>
      </c>
    </row>
    <row r="1612">
      <c r="A1612" s="7" t="n"/>
      <c r="H1612" s="11">
        <f>IF(OR(D1612="",E1612=""),"",D1612*E1612)</f>
        <v/>
      </c>
      <c r="I1612" s="8">
        <f>IF(OR(D1612="",E1612=""),"",E1612*(1+D1612/30))</f>
        <v/>
      </c>
      <c r="J1612">
        <f>IF(I1612="","",IF(I1612&gt;=MAXIFS($I$2:$I$5001,$B$2:$B$5001,B1612,$A$2:$A$5001,"&lt;="&amp;A1612),"PR",""))</f>
        <v/>
      </c>
    </row>
    <row r="1613">
      <c r="A1613" s="7" t="n"/>
      <c r="H1613" s="11">
        <f>IF(OR(D1613="",E1613=""),"",D1613*E1613)</f>
        <v/>
      </c>
      <c r="I1613" s="8">
        <f>IF(OR(D1613="",E1613=""),"",E1613*(1+D1613/30))</f>
        <v/>
      </c>
      <c r="J1613">
        <f>IF(I1613="","",IF(I1613&gt;=MAXIFS($I$2:$I$5001,$B$2:$B$5001,B1613,$A$2:$A$5001,"&lt;="&amp;A1613),"PR",""))</f>
        <v/>
      </c>
    </row>
    <row r="1614">
      <c r="A1614" s="7" t="n"/>
      <c r="H1614" s="11">
        <f>IF(OR(D1614="",E1614=""),"",D1614*E1614)</f>
        <v/>
      </c>
      <c r="I1614" s="8">
        <f>IF(OR(D1614="",E1614=""),"",E1614*(1+D1614/30))</f>
        <v/>
      </c>
      <c r="J1614">
        <f>IF(I1614="","",IF(I1614&gt;=MAXIFS($I$2:$I$5001,$B$2:$B$5001,B1614,$A$2:$A$5001,"&lt;="&amp;A1614),"PR",""))</f>
        <v/>
      </c>
    </row>
    <row r="1615">
      <c r="A1615" s="7" t="n"/>
      <c r="H1615" s="11">
        <f>IF(OR(D1615="",E1615=""),"",D1615*E1615)</f>
        <v/>
      </c>
      <c r="I1615" s="8">
        <f>IF(OR(D1615="",E1615=""),"",E1615*(1+D1615/30))</f>
        <v/>
      </c>
      <c r="J1615">
        <f>IF(I1615="","",IF(I1615&gt;=MAXIFS($I$2:$I$5001,$B$2:$B$5001,B1615,$A$2:$A$5001,"&lt;="&amp;A1615),"PR",""))</f>
        <v/>
      </c>
    </row>
    <row r="1616">
      <c r="A1616" s="7" t="n"/>
      <c r="H1616" s="11">
        <f>IF(OR(D1616="",E1616=""),"",D1616*E1616)</f>
        <v/>
      </c>
      <c r="I1616" s="8">
        <f>IF(OR(D1616="",E1616=""),"",E1616*(1+D1616/30))</f>
        <v/>
      </c>
      <c r="J1616">
        <f>IF(I1616="","",IF(I1616&gt;=MAXIFS($I$2:$I$5001,$B$2:$B$5001,B1616,$A$2:$A$5001,"&lt;="&amp;A1616),"PR",""))</f>
        <v/>
      </c>
    </row>
    <row r="1617">
      <c r="A1617" s="7" t="n"/>
      <c r="H1617" s="11">
        <f>IF(OR(D1617="",E1617=""),"",D1617*E1617)</f>
        <v/>
      </c>
      <c r="I1617" s="8">
        <f>IF(OR(D1617="",E1617=""),"",E1617*(1+D1617/30))</f>
        <v/>
      </c>
      <c r="J1617">
        <f>IF(I1617="","",IF(I1617&gt;=MAXIFS($I$2:$I$5001,$B$2:$B$5001,B1617,$A$2:$A$5001,"&lt;="&amp;A1617),"PR",""))</f>
        <v/>
      </c>
    </row>
    <row r="1618">
      <c r="A1618" s="7" t="n"/>
      <c r="H1618" s="11">
        <f>IF(OR(D1618="",E1618=""),"",D1618*E1618)</f>
        <v/>
      </c>
      <c r="I1618" s="8">
        <f>IF(OR(D1618="",E1618=""),"",E1618*(1+D1618/30))</f>
        <v/>
      </c>
      <c r="J1618">
        <f>IF(I1618="","",IF(I1618&gt;=MAXIFS($I$2:$I$5001,$B$2:$B$5001,B1618,$A$2:$A$5001,"&lt;="&amp;A1618),"PR",""))</f>
        <v/>
      </c>
    </row>
    <row r="1619">
      <c r="A1619" s="7" t="n"/>
      <c r="H1619" s="11">
        <f>IF(OR(D1619="",E1619=""),"",D1619*E1619)</f>
        <v/>
      </c>
      <c r="I1619" s="8">
        <f>IF(OR(D1619="",E1619=""),"",E1619*(1+D1619/30))</f>
        <v/>
      </c>
      <c r="J1619">
        <f>IF(I1619="","",IF(I1619&gt;=MAXIFS($I$2:$I$5001,$B$2:$B$5001,B1619,$A$2:$A$5001,"&lt;="&amp;A1619),"PR",""))</f>
        <v/>
      </c>
    </row>
    <row r="1620">
      <c r="A1620" s="7" t="n"/>
      <c r="H1620" s="11">
        <f>IF(OR(D1620="",E1620=""),"",D1620*E1620)</f>
        <v/>
      </c>
      <c r="I1620" s="8">
        <f>IF(OR(D1620="",E1620=""),"",E1620*(1+D1620/30))</f>
        <v/>
      </c>
      <c r="J1620">
        <f>IF(I1620="","",IF(I1620&gt;=MAXIFS($I$2:$I$5001,$B$2:$B$5001,B1620,$A$2:$A$5001,"&lt;="&amp;A1620),"PR",""))</f>
        <v/>
      </c>
    </row>
    <row r="1621">
      <c r="A1621" s="7" t="n"/>
      <c r="H1621" s="11">
        <f>IF(OR(D1621="",E1621=""),"",D1621*E1621)</f>
        <v/>
      </c>
      <c r="I1621" s="8">
        <f>IF(OR(D1621="",E1621=""),"",E1621*(1+D1621/30))</f>
        <v/>
      </c>
      <c r="J1621">
        <f>IF(I1621="","",IF(I1621&gt;=MAXIFS($I$2:$I$5001,$B$2:$B$5001,B1621,$A$2:$A$5001,"&lt;="&amp;A1621),"PR",""))</f>
        <v/>
      </c>
    </row>
    <row r="1622">
      <c r="A1622" s="7" t="n"/>
      <c r="H1622" s="11">
        <f>IF(OR(D1622="",E1622=""),"",D1622*E1622)</f>
        <v/>
      </c>
      <c r="I1622" s="8">
        <f>IF(OR(D1622="",E1622=""),"",E1622*(1+D1622/30))</f>
        <v/>
      </c>
      <c r="J1622">
        <f>IF(I1622="","",IF(I1622&gt;=MAXIFS($I$2:$I$5001,$B$2:$B$5001,B1622,$A$2:$A$5001,"&lt;="&amp;A1622),"PR",""))</f>
        <v/>
      </c>
    </row>
    <row r="1623">
      <c r="A1623" s="7" t="n"/>
      <c r="H1623" s="11">
        <f>IF(OR(D1623="",E1623=""),"",D1623*E1623)</f>
        <v/>
      </c>
      <c r="I1623" s="8">
        <f>IF(OR(D1623="",E1623=""),"",E1623*(1+D1623/30))</f>
        <v/>
      </c>
      <c r="J1623">
        <f>IF(I1623="","",IF(I1623&gt;=MAXIFS($I$2:$I$5001,$B$2:$B$5001,B1623,$A$2:$A$5001,"&lt;="&amp;A1623),"PR",""))</f>
        <v/>
      </c>
    </row>
    <row r="1624">
      <c r="A1624" s="7" t="n"/>
      <c r="H1624" s="11">
        <f>IF(OR(D1624="",E1624=""),"",D1624*E1624)</f>
        <v/>
      </c>
      <c r="I1624" s="8">
        <f>IF(OR(D1624="",E1624=""),"",E1624*(1+D1624/30))</f>
        <v/>
      </c>
      <c r="J1624">
        <f>IF(I1624="","",IF(I1624&gt;=MAXIFS($I$2:$I$5001,$B$2:$B$5001,B1624,$A$2:$A$5001,"&lt;="&amp;A1624),"PR",""))</f>
        <v/>
      </c>
    </row>
    <row r="1625">
      <c r="A1625" s="7" t="n"/>
      <c r="H1625" s="11">
        <f>IF(OR(D1625="",E1625=""),"",D1625*E1625)</f>
        <v/>
      </c>
      <c r="I1625" s="8">
        <f>IF(OR(D1625="",E1625=""),"",E1625*(1+D1625/30))</f>
        <v/>
      </c>
      <c r="J1625">
        <f>IF(I1625="","",IF(I1625&gt;=MAXIFS($I$2:$I$5001,$B$2:$B$5001,B1625,$A$2:$A$5001,"&lt;="&amp;A1625),"PR",""))</f>
        <v/>
      </c>
    </row>
    <row r="1626">
      <c r="A1626" s="7" t="n"/>
      <c r="H1626" s="11">
        <f>IF(OR(D1626="",E1626=""),"",D1626*E1626)</f>
        <v/>
      </c>
      <c r="I1626" s="8">
        <f>IF(OR(D1626="",E1626=""),"",E1626*(1+D1626/30))</f>
        <v/>
      </c>
      <c r="J1626">
        <f>IF(I1626="","",IF(I1626&gt;=MAXIFS($I$2:$I$5001,$B$2:$B$5001,B1626,$A$2:$A$5001,"&lt;="&amp;A1626),"PR",""))</f>
        <v/>
      </c>
    </row>
    <row r="1627">
      <c r="A1627" s="7" t="n"/>
      <c r="H1627" s="11">
        <f>IF(OR(D1627="",E1627=""),"",D1627*E1627)</f>
        <v/>
      </c>
      <c r="I1627" s="8">
        <f>IF(OR(D1627="",E1627=""),"",E1627*(1+D1627/30))</f>
        <v/>
      </c>
      <c r="J1627">
        <f>IF(I1627="","",IF(I1627&gt;=MAXIFS($I$2:$I$5001,$B$2:$B$5001,B1627,$A$2:$A$5001,"&lt;="&amp;A1627),"PR",""))</f>
        <v/>
      </c>
    </row>
    <row r="1628">
      <c r="A1628" s="7" t="n"/>
      <c r="H1628" s="11">
        <f>IF(OR(D1628="",E1628=""),"",D1628*E1628)</f>
        <v/>
      </c>
      <c r="I1628" s="8">
        <f>IF(OR(D1628="",E1628=""),"",E1628*(1+D1628/30))</f>
        <v/>
      </c>
      <c r="J1628">
        <f>IF(I1628="","",IF(I1628&gt;=MAXIFS($I$2:$I$5001,$B$2:$B$5001,B1628,$A$2:$A$5001,"&lt;="&amp;A1628),"PR",""))</f>
        <v/>
      </c>
    </row>
    <row r="1629">
      <c r="A1629" s="7" t="n"/>
      <c r="H1629" s="11">
        <f>IF(OR(D1629="",E1629=""),"",D1629*E1629)</f>
        <v/>
      </c>
      <c r="I1629" s="8">
        <f>IF(OR(D1629="",E1629=""),"",E1629*(1+D1629/30))</f>
        <v/>
      </c>
      <c r="J1629">
        <f>IF(I1629="","",IF(I1629&gt;=MAXIFS($I$2:$I$5001,$B$2:$B$5001,B1629,$A$2:$A$5001,"&lt;="&amp;A1629),"PR",""))</f>
        <v/>
      </c>
    </row>
    <row r="1630">
      <c r="A1630" s="7" t="n"/>
      <c r="H1630" s="11">
        <f>IF(OR(D1630="",E1630=""),"",D1630*E1630)</f>
        <v/>
      </c>
      <c r="I1630" s="8">
        <f>IF(OR(D1630="",E1630=""),"",E1630*(1+D1630/30))</f>
        <v/>
      </c>
      <c r="J1630">
        <f>IF(I1630="","",IF(I1630&gt;=MAXIFS($I$2:$I$5001,$B$2:$B$5001,B1630,$A$2:$A$5001,"&lt;="&amp;A1630),"PR",""))</f>
        <v/>
      </c>
    </row>
    <row r="1631">
      <c r="A1631" s="7" t="n"/>
      <c r="H1631" s="11">
        <f>IF(OR(D1631="",E1631=""),"",D1631*E1631)</f>
        <v/>
      </c>
      <c r="I1631" s="8">
        <f>IF(OR(D1631="",E1631=""),"",E1631*(1+D1631/30))</f>
        <v/>
      </c>
      <c r="J1631">
        <f>IF(I1631="","",IF(I1631&gt;=MAXIFS($I$2:$I$5001,$B$2:$B$5001,B1631,$A$2:$A$5001,"&lt;="&amp;A1631),"PR",""))</f>
        <v/>
      </c>
    </row>
    <row r="1632">
      <c r="A1632" s="7" t="n"/>
      <c r="H1632" s="11">
        <f>IF(OR(D1632="",E1632=""),"",D1632*E1632)</f>
        <v/>
      </c>
      <c r="I1632" s="8">
        <f>IF(OR(D1632="",E1632=""),"",E1632*(1+D1632/30))</f>
        <v/>
      </c>
      <c r="J1632">
        <f>IF(I1632="","",IF(I1632&gt;=MAXIFS($I$2:$I$5001,$B$2:$B$5001,B1632,$A$2:$A$5001,"&lt;="&amp;A1632),"PR",""))</f>
        <v/>
      </c>
    </row>
    <row r="1633">
      <c r="A1633" s="7" t="n"/>
      <c r="H1633" s="11">
        <f>IF(OR(D1633="",E1633=""),"",D1633*E1633)</f>
        <v/>
      </c>
      <c r="I1633" s="8">
        <f>IF(OR(D1633="",E1633=""),"",E1633*(1+D1633/30))</f>
        <v/>
      </c>
      <c r="J1633">
        <f>IF(I1633="","",IF(I1633&gt;=MAXIFS($I$2:$I$5001,$B$2:$B$5001,B1633,$A$2:$A$5001,"&lt;="&amp;A1633),"PR",""))</f>
        <v/>
      </c>
    </row>
    <row r="1634">
      <c r="A1634" s="7" t="n"/>
      <c r="H1634" s="11">
        <f>IF(OR(D1634="",E1634=""),"",D1634*E1634)</f>
        <v/>
      </c>
      <c r="I1634" s="8">
        <f>IF(OR(D1634="",E1634=""),"",E1634*(1+D1634/30))</f>
        <v/>
      </c>
      <c r="J1634">
        <f>IF(I1634="","",IF(I1634&gt;=MAXIFS($I$2:$I$5001,$B$2:$B$5001,B1634,$A$2:$A$5001,"&lt;="&amp;A1634),"PR",""))</f>
        <v/>
      </c>
    </row>
    <row r="1635">
      <c r="A1635" s="7" t="n"/>
      <c r="H1635" s="11">
        <f>IF(OR(D1635="",E1635=""),"",D1635*E1635)</f>
        <v/>
      </c>
      <c r="I1635" s="8">
        <f>IF(OR(D1635="",E1635=""),"",E1635*(1+D1635/30))</f>
        <v/>
      </c>
      <c r="J1635">
        <f>IF(I1635="","",IF(I1635&gt;=MAXIFS($I$2:$I$5001,$B$2:$B$5001,B1635,$A$2:$A$5001,"&lt;="&amp;A1635),"PR",""))</f>
        <v/>
      </c>
    </row>
    <row r="1636">
      <c r="A1636" s="7" t="n"/>
      <c r="H1636" s="11">
        <f>IF(OR(D1636="",E1636=""),"",D1636*E1636)</f>
        <v/>
      </c>
      <c r="I1636" s="8">
        <f>IF(OR(D1636="",E1636=""),"",E1636*(1+D1636/30))</f>
        <v/>
      </c>
      <c r="J1636">
        <f>IF(I1636="","",IF(I1636&gt;=MAXIFS($I$2:$I$5001,$B$2:$B$5001,B1636,$A$2:$A$5001,"&lt;="&amp;A1636),"PR",""))</f>
        <v/>
      </c>
    </row>
    <row r="1637">
      <c r="A1637" s="7" t="n"/>
      <c r="H1637" s="11">
        <f>IF(OR(D1637="",E1637=""),"",D1637*E1637)</f>
        <v/>
      </c>
      <c r="I1637" s="8">
        <f>IF(OR(D1637="",E1637=""),"",E1637*(1+D1637/30))</f>
        <v/>
      </c>
      <c r="J1637">
        <f>IF(I1637="","",IF(I1637&gt;=MAXIFS($I$2:$I$5001,$B$2:$B$5001,B1637,$A$2:$A$5001,"&lt;="&amp;A1637),"PR",""))</f>
        <v/>
      </c>
    </row>
    <row r="1638">
      <c r="A1638" s="7" t="n"/>
      <c r="H1638" s="11">
        <f>IF(OR(D1638="",E1638=""),"",D1638*E1638)</f>
        <v/>
      </c>
      <c r="I1638" s="8">
        <f>IF(OR(D1638="",E1638=""),"",E1638*(1+D1638/30))</f>
        <v/>
      </c>
      <c r="J1638">
        <f>IF(I1638="","",IF(I1638&gt;=MAXIFS($I$2:$I$5001,$B$2:$B$5001,B1638,$A$2:$A$5001,"&lt;="&amp;A1638),"PR",""))</f>
        <v/>
      </c>
    </row>
    <row r="1639">
      <c r="A1639" s="7" t="n"/>
      <c r="H1639" s="11">
        <f>IF(OR(D1639="",E1639=""),"",D1639*E1639)</f>
        <v/>
      </c>
      <c r="I1639" s="8">
        <f>IF(OR(D1639="",E1639=""),"",E1639*(1+D1639/30))</f>
        <v/>
      </c>
      <c r="J1639">
        <f>IF(I1639="","",IF(I1639&gt;=MAXIFS($I$2:$I$5001,$B$2:$B$5001,B1639,$A$2:$A$5001,"&lt;="&amp;A1639),"PR",""))</f>
        <v/>
      </c>
    </row>
    <row r="1640">
      <c r="A1640" s="7" t="n"/>
      <c r="H1640" s="11">
        <f>IF(OR(D1640="",E1640=""),"",D1640*E1640)</f>
        <v/>
      </c>
      <c r="I1640" s="8">
        <f>IF(OR(D1640="",E1640=""),"",E1640*(1+D1640/30))</f>
        <v/>
      </c>
      <c r="J1640">
        <f>IF(I1640="","",IF(I1640&gt;=MAXIFS($I$2:$I$5001,$B$2:$B$5001,B1640,$A$2:$A$5001,"&lt;="&amp;A1640),"PR",""))</f>
        <v/>
      </c>
    </row>
    <row r="1641">
      <c r="A1641" s="7" t="n"/>
      <c r="H1641" s="11">
        <f>IF(OR(D1641="",E1641=""),"",D1641*E1641)</f>
        <v/>
      </c>
      <c r="I1641" s="8">
        <f>IF(OR(D1641="",E1641=""),"",E1641*(1+D1641/30))</f>
        <v/>
      </c>
      <c r="J1641">
        <f>IF(I1641="","",IF(I1641&gt;=MAXIFS($I$2:$I$5001,$B$2:$B$5001,B1641,$A$2:$A$5001,"&lt;="&amp;A1641),"PR",""))</f>
        <v/>
      </c>
    </row>
    <row r="1642">
      <c r="A1642" s="7" t="n"/>
      <c r="H1642" s="11">
        <f>IF(OR(D1642="",E1642=""),"",D1642*E1642)</f>
        <v/>
      </c>
      <c r="I1642" s="8">
        <f>IF(OR(D1642="",E1642=""),"",E1642*(1+D1642/30))</f>
        <v/>
      </c>
      <c r="J1642">
        <f>IF(I1642="","",IF(I1642&gt;=MAXIFS($I$2:$I$5001,$B$2:$B$5001,B1642,$A$2:$A$5001,"&lt;="&amp;A1642),"PR",""))</f>
        <v/>
      </c>
    </row>
    <row r="1643">
      <c r="A1643" s="7" t="n"/>
      <c r="H1643" s="11">
        <f>IF(OR(D1643="",E1643=""),"",D1643*E1643)</f>
        <v/>
      </c>
      <c r="I1643" s="8">
        <f>IF(OR(D1643="",E1643=""),"",E1643*(1+D1643/30))</f>
        <v/>
      </c>
      <c r="J1643">
        <f>IF(I1643="","",IF(I1643&gt;=MAXIFS($I$2:$I$5001,$B$2:$B$5001,B1643,$A$2:$A$5001,"&lt;="&amp;A1643),"PR",""))</f>
        <v/>
      </c>
    </row>
    <row r="1644">
      <c r="A1644" s="7" t="n"/>
      <c r="H1644" s="11">
        <f>IF(OR(D1644="",E1644=""),"",D1644*E1644)</f>
        <v/>
      </c>
      <c r="I1644" s="8">
        <f>IF(OR(D1644="",E1644=""),"",E1644*(1+D1644/30))</f>
        <v/>
      </c>
      <c r="J1644">
        <f>IF(I1644="","",IF(I1644&gt;=MAXIFS($I$2:$I$5001,$B$2:$B$5001,B1644,$A$2:$A$5001,"&lt;="&amp;A1644),"PR",""))</f>
        <v/>
      </c>
    </row>
    <row r="1645">
      <c r="A1645" s="7" t="n"/>
      <c r="H1645" s="11">
        <f>IF(OR(D1645="",E1645=""),"",D1645*E1645)</f>
        <v/>
      </c>
      <c r="I1645" s="8">
        <f>IF(OR(D1645="",E1645=""),"",E1645*(1+D1645/30))</f>
        <v/>
      </c>
      <c r="J1645">
        <f>IF(I1645="","",IF(I1645&gt;=MAXIFS($I$2:$I$5001,$B$2:$B$5001,B1645,$A$2:$A$5001,"&lt;="&amp;A1645),"PR",""))</f>
        <v/>
      </c>
    </row>
    <row r="1646">
      <c r="A1646" s="7" t="n"/>
      <c r="H1646" s="11">
        <f>IF(OR(D1646="",E1646=""),"",D1646*E1646)</f>
        <v/>
      </c>
      <c r="I1646" s="8">
        <f>IF(OR(D1646="",E1646=""),"",E1646*(1+D1646/30))</f>
        <v/>
      </c>
      <c r="J1646">
        <f>IF(I1646="","",IF(I1646&gt;=MAXIFS($I$2:$I$5001,$B$2:$B$5001,B1646,$A$2:$A$5001,"&lt;="&amp;A1646),"PR",""))</f>
        <v/>
      </c>
    </row>
    <row r="1647">
      <c r="A1647" s="7" t="n"/>
      <c r="H1647" s="11">
        <f>IF(OR(D1647="",E1647=""),"",D1647*E1647)</f>
        <v/>
      </c>
      <c r="I1647" s="8">
        <f>IF(OR(D1647="",E1647=""),"",E1647*(1+D1647/30))</f>
        <v/>
      </c>
      <c r="J1647">
        <f>IF(I1647="","",IF(I1647&gt;=MAXIFS($I$2:$I$5001,$B$2:$B$5001,B1647,$A$2:$A$5001,"&lt;="&amp;A1647),"PR",""))</f>
        <v/>
      </c>
    </row>
    <row r="1648">
      <c r="A1648" s="7" t="n"/>
      <c r="H1648" s="11">
        <f>IF(OR(D1648="",E1648=""),"",D1648*E1648)</f>
        <v/>
      </c>
      <c r="I1648" s="8">
        <f>IF(OR(D1648="",E1648=""),"",E1648*(1+D1648/30))</f>
        <v/>
      </c>
      <c r="J1648">
        <f>IF(I1648="","",IF(I1648&gt;=MAXIFS($I$2:$I$5001,$B$2:$B$5001,B1648,$A$2:$A$5001,"&lt;="&amp;A1648),"PR",""))</f>
        <v/>
      </c>
    </row>
    <row r="1649">
      <c r="A1649" s="7" t="n"/>
      <c r="H1649" s="11">
        <f>IF(OR(D1649="",E1649=""),"",D1649*E1649)</f>
        <v/>
      </c>
      <c r="I1649" s="8">
        <f>IF(OR(D1649="",E1649=""),"",E1649*(1+D1649/30))</f>
        <v/>
      </c>
      <c r="J1649">
        <f>IF(I1649="","",IF(I1649&gt;=MAXIFS($I$2:$I$5001,$B$2:$B$5001,B1649,$A$2:$A$5001,"&lt;="&amp;A1649),"PR",""))</f>
        <v/>
      </c>
    </row>
    <row r="1650">
      <c r="A1650" s="7" t="n"/>
      <c r="H1650" s="11">
        <f>IF(OR(D1650="",E1650=""),"",D1650*E1650)</f>
        <v/>
      </c>
      <c r="I1650" s="8">
        <f>IF(OR(D1650="",E1650=""),"",E1650*(1+D1650/30))</f>
        <v/>
      </c>
      <c r="J1650">
        <f>IF(I1650="","",IF(I1650&gt;=MAXIFS($I$2:$I$5001,$B$2:$B$5001,B1650,$A$2:$A$5001,"&lt;="&amp;A1650),"PR",""))</f>
        <v/>
      </c>
    </row>
    <row r="1651">
      <c r="A1651" s="7" t="n"/>
      <c r="H1651" s="11">
        <f>IF(OR(D1651="",E1651=""),"",D1651*E1651)</f>
        <v/>
      </c>
      <c r="I1651" s="8">
        <f>IF(OR(D1651="",E1651=""),"",E1651*(1+D1651/30))</f>
        <v/>
      </c>
      <c r="J1651">
        <f>IF(I1651="","",IF(I1651&gt;=MAXIFS($I$2:$I$5001,$B$2:$B$5001,B1651,$A$2:$A$5001,"&lt;="&amp;A1651),"PR",""))</f>
        <v/>
      </c>
    </row>
    <row r="1652">
      <c r="A1652" s="7" t="n"/>
      <c r="H1652" s="11">
        <f>IF(OR(D1652="",E1652=""),"",D1652*E1652)</f>
        <v/>
      </c>
      <c r="I1652" s="8">
        <f>IF(OR(D1652="",E1652=""),"",E1652*(1+D1652/30))</f>
        <v/>
      </c>
      <c r="J1652">
        <f>IF(I1652="","",IF(I1652&gt;=MAXIFS($I$2:$I$5001,$B$2:$B$5001,B1652,$A$2:$A$5001,"&lt;="&amp;A1652),"PR",""))</f>
        <v/>
      </c>
    </row>
    <row r="1653">
      <c r="A1653" s="7" t="n"/>
      <c r="H1653" s="11">
        <f>IF(OR(D1653="",E1653=""),"",D1653*E1653)</f>
        <v/>
      </c>
      <c r="I1653" s="8">
        <f>IF(OR(D1653="",E1653=""),"",E1653*(1+D1653/30))</f>
        <v/>
      </c>
      <c r="J1653">
        <f>IF(I1653="","",IF(I1653&gt;=MAXIFS($I$2:$I$5001,$B$2:$B$5001,B1653,$A$2:$A$5001,"&lt;="&amp;A1653),"PR",""))</f>
        <v/>
      </c>
    </row>
    <row r="1654">
      <c r="A1654" s="7" t="n"/>
      <c r="H1654" s="11">
        <f>IF(OR(D1654="",E1654=""),"",D1654*E1654)</f>
        <v/>
      </c>
      <c r="I1654" s="8">
        <f>IF(OR(D1654="",E1654=""),"",E1654*(1+D1654/30))</f>
        <v/>
      </c>
      <c r="J1654">
        <f>IF(I1654="","",IF(I1654&gt;=MAXIFS($I$2:$I$5001,$B$2:$B$5001,B1654,$A$2:$A$5001,"&lt;="&amp;A1654),"PR",""))</f>
        <v/>
      </c>
    </row>
    <row r="1655">
      <c r="A1655" s="7" t="n"/>
      <c r="H1655" s="11">
        <f>IF(OR(D1655="",E1655=""),"",D1655*E1655)</f>
        <v/>
      </c>
      <c r="I1655" s="8">
        <f>IF(OR(D1655="",E1655=""),"",E1655*(1+D1655/30))</f>
        <v/>
      </c>
      <c r="J1655">
        <f>IF(I1655="","",IF(I1655&gt;=MAXIFS($I$2:$I$5001,$B$2:$B$5001,B1655,$A$2:$A$5001,"&lt;="&amp;A1655),"PR",""))</f>
        <v/>
      </c>
    </row>
    <row r="1656">
      <c r="A1656" s="7" t="n"/>
      <c r="H1656" s="11">
        <f>IF(OR(D1656="",E1656=""),"",D1656*E1656)</f>
        <v/>
      </c>
      <c r="I1656" s="8">
        <f>IF(OR(D1656="",E1656=""),"",E1656*(1+D1656/30))</f>
        <v/>
      </c>
      <c r="J1656">
        <f>IF(I1656="","",IF(I1656&gt;=MAXIFS($I$2:$I$5001,$B$2:$B$5001,B1656,$A$2:$A$5001,"&lt;="&amp;A1656),"PR",""))</f>
        <v/>
      </c>
    </row>
    <row r="1657">
      <c r="A1657" s="7" t="n"/>
      <c r="H1657" s="11">
        <f>IF(OR(D1657="",E1657=""),"",D1657*E1657)</f>
        <v/>
      </c>
      <c r="I1657" s="8">
        <f>IF(OR(D1657="",E1657=""),"",E1657*(1+D1657/30))</f>
        <v/>
      </c>
      <c r="J1657">
        <f>IF(I1657="","",IF(I1657&gt;=MAXIFS($I$2:$I$5001,$B$2:$B$5001,B1657,$A$2:$A$5001,"&lt;="&amp;A1657),"PR",""))</f>
        <v/>
      </c>
    </row>
    <row r="1658">
      <c r="A1658" s="7" t="n"/>
      <c r="H1658" s="11">
        <f>IF(OR(D1658="",E1658=""),"",D1658*E1658)</f>
        <v/>
      </c>
      <c r="I1658" s="8">
        <f>IF(OR(D1658="",E1658=""),"",E1658*(1+D1658/30))</f>
        <v/>
      </c>
      <c r="J1658">
        <f>IF(I1658="","",IF(I1658&gt;=MAXIFS($I$2:$I$5001,$B$2:$B$5001,B1658,$A$2:$A$5001,"&lt;="&amp;A1658),"PR",""))</f>
        <v/>
      </c>
    </row>
    <row r="1659">
      <c r="A1659" s="7" t="n"/>
      <c r="H1659" s="11">
        <f>IF(OR(D1659="",E1659=""),"",D1659*E1659)</f>
        <v/>
      </c>
      <c r="I1659" s="8">
        <f>IF(OR(D1659="",E1659=""),"",E1659*(1+D1659/30))</f>
        <v/>
      </c>
      <c r="J1659">
        <f>IF(I1659="","",IF(I1659&gt;=MAXIFS($I$2:$I$5001,$B$2:$B$5001,B1659,$A$2:$A$5001,"&lt;="&amp;A1659),"PR",""))</f>
        <v/>
      </c>
    </row>
    <row r="1660">
      <c r="A1660" s="7" t="n"/>
      <c r="H1660" s="11">
        <f>IF(OR(D1660="",E1660=""),"",D1660*E1660)</f>
        <v/>
      </c>
      <c r="I1660" s="8">
        <f>IF(OR(D1660="",E1660=""),"",E1660*(1+D1660/30))</f>
        <v/>
      </c>
      <c r="J1660">
        <f>IF(I1660="","",IF(I1660&gt;=MAXIFS($I$2:$I$5001,$B$2:$B$5001,B1660,$A$2:$A$5001,"&lt;="&amp;A1660),"PR",""))</f>
        <v/>
      </c>
    </row>
    <row r="1661">
      <c r="A1661" s="7" t="n"/>
      <c r="H1661" s="11">
        <f>IF(OR(D1661="",E1661=""),"",D1661*E1661)</f>
        <v/>
      </c>
      <c r="I1661" s="8">
        <f>IF(OR(D1661="",E1661=""),"",E1661*(1+D1661/30))</f>
        <v/>
      </c>
      <c r="J1661">
        <f>IF(I1661="","",IF(I1661&gt;=MAXIFS($I$2:$I$5001,$B$2:$B$5001,B1661,$A$2:$A$5001,"&lt;="&amp;A1661),"PR",""))</f>
        <v/>
      </c>
    </row>
    <row r="1662">
      <c r="A1662" s="7" t="n"/>
      <c r="H1662" s="11">
        <f>IF(OR(D1662="",E1662=""),"",D1662*E1662)</f>
        <v/>
      </c>
      <c r="I1662" s="8">
        <f>IF(OR(D1662="",E1662=""),"",E1662*(1+D1662/30))</f>
        <v/>
      </c>
      <c r="J1662">
        <f>IF(I1662="","",IF(I1662&gt;=MAXIFS($I$2:$I$5001,$B$2:$B$5001,B1662,$A$2:$A$5001,"&lt;="&amp;A1662),"PR",""))</f>
        <v/>
      </c>
    </row>
    <row r="1663">
      <c r="A1663" s="7" t="n"/>
      <c r="H1663" s="11">
        <f>IF(OR(D1663="",E1663=""),"",D1663*E1663)</f>
        <v/>
      </c>
      <c r="I1663" s="8">
        <f>IF(OR(D1663="",E1663=""),"",E1663*(1+D1663/30))</f>
        <v/>
      </c>
      <c r="J1663">
        <f>IF(I1663="","",IF(I1663&gt;=MAXIFS($I$2:$I$5001,$B$2:$B$5001,B1663,$A$2:$A$5001,"&lt;="&amp;A1663),"PR",""))</f>
        <v/>
      </c>
    </row>
    <row r="1664">
      <c r="A1664" s="7" t="n"/>
      <c r="H1664" s="11">
        <f>IF(OR(D1664="",E1664=""),"",D1664*E1664)</f>
        <v/>
      </c>
      <c r="I1664" s="8">
        <f>IF(OR(D1664="",E1664=""),"",E1664*(1+D1664/30))</f>
        <v/>
      </c>
      <c r="J1664">
        <f>IF(I1664="","",IF(I1664&gt;=MAXIFS($I$2:$I$5001,$B$2:$B$5001,B1664,$A$2:$A$5001,"&lt;="&amp;A1664),"PR",""))</f>
        <v/>
      </c>
    </row>
    <row r="1665">
      <c r="A1665" s="7" t="n"/>
      <c r="H1665" s="11">
        <f>IF(OR(D1665="",E1665=""),"",D1665*E1665)</f>
        <v/>
      </c>
      <c r="I1665" s="8">
        <f>IF(OR(D1665="",E1665=""),"",E1665*(1+D1665/30))</f>
        <v/>
      </c>
      <c r="J1665">
        <f>IF(I1665="","",IF(I1665&gt;=MAXIFS($I$2:$I$5001,$B$2:$B$5001,B1665,$A$2:$A$5001,"&lt;="&amp;A1665),"PR",""))</f>
        <v/>
      </c>
    </row>
    <row r="1666">
      <c r="A1666" s="7" t="n"/>
      <c r="H1666" s="11">
        <f>IF(OR(D1666="",E1666=""),"",D1666*E1666)</f>
        <v/>
      </c>
      <c r="I1666" s="8">
        <f>IF(OR(D1666="",E1666=""),"",E1666*(1+D1666/30))</f>
        <v/>
      </c>
      <c r="J1666">
        <f>IF(I1666="","",IF(I1666&gt;=MAXIFS($I$2:$I$5001,$B$2:$B$5001,B1666,$A$2:$A$5001,"&lt;="&amp;A1666),"PR",""))</f>
        <v/>
      </c>
    </row>
    <row r="1667">
      <c r="A1667" s="7" t="n"/>
      <c r="H1667" s="11">
        <f>IF(OR(D1667="",E1667=""),"",D1667*E1667)</f>
        <v/>
      </c>
      <c r="I1667" s="8">
        <f>IF(OR(D1667="",E1667=""),"",E1667*(1+D1667/30))</f>
        <v/>
      </c>
      <c r="J1667">
        <f>IF(I1667="","",IF(I1667&gt;=MAXIFS($I$2:$I$5001,$B$2:$B$5001,B1667,$A$2:$A$5001,"&lt;="&amp;A1667),"PR",""))</f>
        <v/>
      </c>
    </row>
    <row r="1668">
      <c r="A1668" s="7" t="n"/>
      <c r="H1668" s="11">
        <f>IF(OR(D1668="",E1668=""),"",D1668*E1668)</f>
        <v/>
      </c>
      <c r="I1668" s="8">
        <f>IF(OR(D1668="",E1668=""),"",E1668*(1+D1668/30))</f>
        <v/>
      </c>
      <c r="J1668">
        <f>IF(I1668="","",IF(I1668&gt;=MAXIFS($I$2:$I$5001,$B$2:$B$5001,B1668,$A$2:$A$5001,"&lt;="&amp;A1668),"PR",""))</f>
        <v/>
      </c>
    </row>
    <row r="1669">
      <c r="A1669" s="7" t="n"/>
      <c r="H1669" s="11">
        <f>IF(OR(D1669="",E1669=""),"",D1669*E1669)</f>
        <v/>
      </c>
      <c r="I1669" s="8">
        <f>IF(OR(D1669="",E1669=""),"",E1669*(1+D1669/30))</f>
        <v/>
      </c>
      <c r="J1669">
        <f>IF(I1669="","",IF(I1669&gt;=MAXIFS($I$2:$I$5001,$B$2:$B$5001,B1669,$A$2:$A$5001,"&lt;="&amp;A1669),"PR",""))</f>
        <v/>
      </c>
    </row>
    <row r="1670">
      <c r="A1670" s="7" t="n"/>
      <c r="H1670" s="11">
        <f>IF(OR(D1670="",E1670=""),"",D1670*E1670)</f>
        <v/>
      </c>
      <c r="I1670" s="8">
        <f>IF(OR(D1670="",E1670=""),"",E1670*(1+D1670/30))</f>
        <v/>
      </c>
      <c r="J1670">
        <f>IF(I1670="","",IF(I1670&gt;=MAXIFS($I$2:$I$5001,$B$2:$B$5001,B1670,$A$2:$A$5001,"&lt;="&amp;A1670),"PR",""))</f>
        <v/>
      </c>
    </row>
    <row r="1671">
      <c r="A1671" s="7" t="n"/>
      <c r="H1671" s="11">
        <f>IF(OR(D1671="",E1671=""),"",D1671*E1671)</f>
        <v/>
      </c>
      <c r="I1671" s="8">
        <f>IF(OR(D1671="",E1671=""),"",E1671*(1+D1671/30))</f>
        <v/>
      </c>
      <c r="J1671">
        <f>IF(I1671="","",IF(I1671&gt;=MAXIFS($I$2:$I$5001,$B$2:$B$5001,B1671,$A$2:$A$5001,"&lt;="&amp;A1671),"PR",""))</f>
        <v/>
      </c>
    </row>
    <row r="1672">
      <c r="A1672" s="7" t="n"/>
      <c r="H1672" s="11">
        <f>IF(OR(D1672="",E1672=""),"",D1672*E1672)</f>
        <v/>
      </c>
      <c r="I1672" s="8">
        <f>IF(OR(D1672="",E1672=""),"",E1672*(1+D1672/30))</f>
        <v/>
      </c>
      <c r="J1672">
        <f>IF(I1672="","",IF(I1672&gt;=MAXIFS($I$2:$I$5001,$B$2:$B$5001,B1672,$A$2:$A$5001,"&lt;="&amp;A1672),"PR",""))</f>
        <v/>
      </c>
    </row>
    <row r="1673">
      <c r="A1673" s="7" t="n"/>
      <c r="H1673" s="11">
        <f>IF(OR(D1673="",E1673=""),"",D1673*E1673)</f>
        <v/>
      </c>
      <c r="I1673" s="8">
        <f>IF(OR(D1673="",E1673=""),"",E1673*(1+D1673/30))</f>
        <v/>
      </c>
      <c r="J1673">
        <f>IF(I1673="","",IF(I1673&gt;=MAXIFS($I$2:$I$5001,$B$2:$B$5001,B1673,$A$2:$A$5001,"&lt;="&amp;A1673),"PR",""))</f>
        <v/>
      </c>
    </row>
    <row r="1674">
      <c r="A1674" s="7" t="n"/>
      <c r="H1674" s="11">
        <f>IF(OR(D1674="",E1674=""),"",D1674*E1674)</f>
        <v/>
      </c>
      <c r="I1674" s="8">
        <f>IF(OR(D1674="",E1674=""),"",E1674*(1+D1674/30))</f>
        <v/>
      </c>
      <c r="J1674">
        <f>IF(I1674="","",IF(I1674&gt;=MAXIFS($I$2:$I$5001,$B$2:$B$5001,B1674,$A$2:$A$5001,"&lt;="&amp;A1674),"PR",""))</f>
        <v/>
      </c>
    </row>
    <row r="1675">
      <c r="A1675" s="7" t="n"/>
      <c r="H1675" s="11">
        <f>IF(OR(D1675="",E1675=""),"",D1675*E1675)</f>
        <v/>
      </c>
      <c r="I1675" s="8">
        <f>IF(OR(D1675="",E1675=""),"",E1675*(1+D1675/30))</f>
        <v/>
      </c>
      <c r="J1675">
        <f>IF(I1675="","",IF(I1675&gt;=MAXIFS($I$2:$I$5001,$B$2:$B$5001,B1675,$A$2:$A$5001,"&lt;="&amp;A1675),"PR",""))</f>
        <v/>
      </c>
    </row>
    <row r="1676">
      <c r="A1676" s="7" t="n"/>
      <c r="H1676" s="11">
        <f>IF(OR(D1676="",E1676=""),"",D1676*E1676)</f>
        <v/>
      </c>
      <c r="I1676" s="8">
        <f>IF(OR(D1676="",E1676=""),"",E1676*(1+D1676/30))</f>
        <v/>
      </c>
      <c r="J1676">
        <f>IF(I1676="","",IF(I1676&gt;=MAXIFS($I$2:$I$5001,$B$2:$B$5001,B1676,$A$2:$A$5001,"&lt;="&amp;A1676),"PR",""))</f>
        <v/>
      </c>
    </row>
    <row r="1677">
      <c r="A1677" s="7" t="n"/>
      <c r="H1677" s="11">
        <f>IF(OR(D1677="",E1677=""),"",D1677*E1677)</f>
        <v/>
      </c>
      <c r="I1677" s="8">
        <f>IF(OR(D1677="",E1677=""),"",E1677*(1+D1677/30))</f>
        <v/>
      </c>
      <c r="J1677">
        <f>IF(I1677="","",IF(I1677&gt;=MAXIFS($I$2:$I$5001,$B$2:$B$5001,B1677,$A$2:$A$5001,"&lt;="&amp;A1677),"PR",""))</f>
        <v/>
      </c>
    </row>
    <row r="1678">
      <c r="A1678" s="7" t="n"/>
      <c r="H1678" s="11">
        <f>IF(OR(D1678="",E1678=""),"",D1678*E1678)</f>
        <v/>
      </c>
      <c r="I1678" s="8">
        <f>IF(OR(D1678="",E1678=""),"",E1678*(1+D1678/30))</f>
        <v/>
      </c>
      <c r="J1678">
        <f>IF(I1678="","",IF(I1678&gt;=MAXIFS($I$2:$I$5001,$B$2:$B$5001,B1678,$A$2:$A$5001,"&lt;="&amp;A1678),"PR",""))</f>
        <v/>
      </c>
    </row>
    <row r="1679">
      <c r="A1679" s="7" t="n"/>
      <c r="H1679" s="11">
        <f>IF(OR(D1679="",E1679=""),"",D1679*E1679)</f>
        <v/>
      </c>
      <c r="I1679" s="8">
        <f>IF(OR(D1679="",E1679=""),"",E1679*(1+D1679/30))</f>
        <v/>
      </c>
      <c r="J1679">
        <f>IF(I1679="","",IF(I1679&gt;=MAXIFS($I$2:$I$5001,$B$2:$B$5001,B1679,$A$2:$A$5001,"&lt;="&amp;A1679),"PR",""))</f>
        <v/>
      </c>
    </row>
    <row r="1680">
      <c r="A1680" s="7" t="n"/>
      <c r="H1680" s="11">
        <f>IF(OR(D1680="",E1680=""),"",D1680*E1680)</f>
        <v/>
      </c>
      <c r="I1680" s="8">
        <f>IF(OR(D1680="",E1680=""),"",E1680*(1+D1680/30))</f>
        <v/>
      </c>
      <c r="J1680">
        <f>IF(I1680="","",IF(I1680&gt;=MAXIFS($I$2:$I$5001,$B$2:$B$5001,B1680,$A$2:$A$5001,"&lt;="&amp;A1680),"PR",""))</f>
        <v/>
      </c>
    </row>
    <row r="1681">
      <c r="A1681" s="7" t="n"/>
      <c r="H1681" s="11">
        <f>IF(OR(D1681="",E1681=""),"",D1681*E1681)</f>
        <v/>
      </c>
      <c r="I1681" s="8">
        <f>IF(OR(D1681="",E1681=""),"",E1681*(1+D1681/30))</f>
        <v/>
      </c>
      <c r="J1681">
        <f>IF(I1681="","",IF(I1681&gt;=MAXIFS($I$2:$I$5001,$B$2:$B$5001,B1681,$A$2:$A$5001,"&lt;="&amp;A1681),"PR",""))</f>
        <v/>
      </c>
    </row>
    <row r="1682">
      <c r="A1682" s="7" t="n"/>
      <c r="H1682" s="11">
        <f>IF(OR(D1682="",E1682=""),"",D1682*E1682)</f>
        <v/>
      </c>
      <c r="I1682" s="8">
        <f>IF(OR(D1682="",E1682=""),"",E1682*(1+D1682/30))</f>
        <v/>
      </c>
      <c r="J1682">
        <f>IF(I1682="","",IF(I1682&gt;=MAXIFS($I$2:$I$5001,$B$2:$B$5001,B1682,$A$2:$A$5001,"&lt;="&amp;A1682),"PR",""))</f>
        <v/>
      </c>
    </row>
    <row r="1683">
      <c r="A1683" s="7" t="n"/>
      <c r="H1683" s="11">
        <f>IF(OR(D1683="",E1683=""),"",D1683*E1683)</f>
        <v/>
      </c>
      <c r="I1683" s="8">
        <f>IF(OR(D1683="",E1683=""),"",E1683*(1+D1683/30))</f>
        <v/>
      </c>
      <c r="J1683">
        <f>IF(I1683="","",IF(I1683&gt;=MAXIFS($I$2:$I$5001,$B$2:$B$5001,B1683,$A$2:$A$5001,"&lt;="&amp;A1683),"PR",""))</f>
        <v/>
      </c>
    </row>
    <row r="1684">
      <c r="A1684" s="7" t="n"/>
      <c r="H1684" s="11">
        <f>IF(OR(D1684="",E1684=""),"",D1684*E1684)</f>
        <v/>
      </c>
      <c r="I1684" s="8">
        <f>IF(OR(D1684="",E1684=""),"",E1684*(1+D1684/30))</f>
        <v/>
      </c>
      <c r="J1684">
        <f>IF(I1684="","",IF(I1684&gt;=MAXIFS($I$2:$I$5001,$B$2:$B$5001,B1684,$A$2:$A$5001,"&lt;="&amp;A1684),"PR",""))</f>
        <v/>
      </c>
    </row>
    <row r="1685">
      <c r="A1685" s="7" t="n"/>
      <c r="H1685" s="11">
        <f>IF(OR(D1685="",E1685=""),"",D1685*E1685)</f>
        <v/>
      </c>
      <c r="I1685" s="8">
        <f>IF(OR(D1685="",E1685=""),"",E1685*(1+D1685/30))</f>
        <v/>
      </c>
      <c r="J1685">
        <f>IF(I1685="","",IF(I1685&gt;=MAXIFS($I$2:$I$5001,$B$2:$B$5001,B1685,$A$2:$A$5001,"&lt;="&amp;A1685),"PR",""))</f>
        <v/>
      </c>
    </row>
    <row r="1686">
      <c r="A1686" s="7" t="n"/>
      <c r="H1686" s="11">
        <f>IF(OR(D1686="",E1686=""),"",D1686*E1686)</f>
        <v/>
      </c>
      <c r="I1686" s="8">
        <f>IF(OR(D1686="",E1686=""),"",E1686*(1+D1686/30))</f>
        <v/>
      </c>
      <c r="J1686">
        <f>IF(I1686="","",IF(I1686&gt;=MAXIFS($I$2:$I$5001,$B$2:$B$5001,B1686,$A$2:$A$5001,"&lt;="&amp;A1686),"PR",""))</f>
        <v/>
      </c>
    </row>
    <row r="1687">
      <c r="A1687" s="7" t="n"/>
      <c r="H1687" s="11">
        <f>IF(OR(D1687="",E1687=""),"",D1687*E1687)</f>
        <v/>
      </c>
      <c r="I1687" s="8">
        <f>IF(OR(D1687="",E1687=""),"",E1687*(1+D1687/30))</f>
        <v/>
      </c>
      <c r="J1687">
        <f>IF(I1687="","",IF(I1687&gt;=MAXIFS($I$2:$I$5001,$B$2:$B$5001,B1687,$A$2:$A$5001,"&lt;="&amp;A1687),"PR",""))</f>
        <v/>
      </c>
    </row>
    <row r="1688">
      <c r="A1688" s="7" t="n"/>
      <c r="H1688" s="11">
        <f>IF(OR(D1688="",E1688=""),"",D1688*E1688)</f>
        <v/>
      </c>
      <c r="I1688" s="8">
        <f>IF(OR(D1688="",E1688=""),"",E1688*(1+D1688/30))</f>
        <v/>
      </c>
      <c r="J1688">
        <f>IF(I1688="","",IF(I1688&gt;=MAXIFS($I$2:$I$5001,$B$2:$B$5001,B1688,$A$2:$A$5001,"&lt;="&amp;A1688),"PR",""))</f>
        <v/>
      </c>
    </row>
    <row r="1689">
      <c r="A1689" s="7" t="n"/>
      <c r="H1689" s="11">
        <f>IF(OR(D1689="",E1689=""),"",D1689*E1689)</f>
        <v/>
      </c>
      <c r="I1689" s="8">
        <f>IF(OR(D1689="",E1689=""),"",E1689*(1+D1689/30))</f>
        <v/>
      </c>
      <c r="J1689">
        <f>IF(I1689="","",IF(I1689&gt;=MAXIFS($I$2:$I$5001,$B$2:$B$5001,B1689,$A$2:$A$5001,"&lt;="&amp;A1689),"PR",""))</f>
        <v/>
      </c>
    </row>
    <row r="1690">
      <c r="A1690" s="7" t="n"/>
      <c r="H1690" s="11">
        <f>IF(OR(D1690="",E1690=""),"",D1690*E1690)</f>
        <v/>
      </c>
      <c r="I1690" s="8">
        <f>IF(OR(D1690="",E1690=""),"",E1690*(1+D1690/30))</f>
        <v/>
      </c>
      <c r="J1690">
        <f>IF(I1690="","",IF(I1690&gt;=MAXIFS($I$2:$I$5001,$B$2:$B$5001,B1690,$A$2:$A$5001,"&lt;="&amp;A1690),"PR",""))</f>
        <v/>
      </c>
    </row>
    <row r="1691">
      <c r="A1691" s="7" t="n"/>
      <c r="H1691" s="11">
        <f>IF(OR(D1691="",E1691=""),"",D1691*E1691)</f>
        <v/>
      </c>
      <c r="I1691" s="8">
        <f>IF(OR(D1691="",E1691=""),"",E1691*(1+D1691/30))</f>
        <v/>
      </c>
      <c r="J1691">
        <f>IF(I1691="","",IF(I1691&gt;=MAXIFS($I$2:$I$5001,$B$2:$B$5001,B1691,$A$2:$A$5001,"&lt;="&amp;A1691),"PR",""))</f>
        <v/>
      </c>
    </row>
    <row r="1692">
      <c r="A1692" s="7" t="n"/>
      <c r="H1692" s="11">
        <f>IF(OR(D1692="",E1692=""),"",D1692*E1692)</f>
        <v/>
      </c>
      <c r="I1692" s="8">
        <f>IF(OR(D1692="",E1692=""),"",E1692*(1+D1692/30))</f>
        <v/>
      </c>
      <c r="J1692">
        <f>IF(I1692="","",IF(I1692&gt;=MAXIFS($I$2:$I$5001,$B$2:$B$5001,B1692,$A$2:$A$5001,"&lt;="&amp;A1692),"PR",""))</f>
        <v/>
      </c>
    </row>
    <row r="1693">
      <c r="A1693" s="7" t="n"/>
      <c r="H1693" s="11">
        <f>IF(OR(D1693="",E1693=""),"",D1693*E1693)</f>
        <v/>
      </c>
      <c r="I1693" s="8">
        <f>IF(OR(D1693="",E1693=""),"",E1693*(1+D1693/30))</f>
        <v/>
      </c>
      <c r="J1693">
        <f>IF(I1693="","",IF(I1693&gt;=MAXIFS($I$2:$I$5001,$B$2:$B$5001,B1693,$A$2:$A$5001,"&lt;="&amp;A1693),"PR",""))</f>
        <v/>
      </c>
    </row>
    <row r="1694">
      <c r="A1694" s="7" t="n"/>
      <c r="H1694" s="11">
        <f>IF(OR(D1694="",E1694=""),"",D1694*E1694)</f>
        <v/>
      </c>
      <c r="I1694" s="8">
        <f>IF(OR(D1694="",E1694=""),"",E1694*(1+D1694/30))</f>
        <v/>
      </c>
      <c r="J1694">
        <f>IF(I1694="","",IF(I1694&gt;=MAXIFS($I$2:$I$5001,$B$2:$B$5001,B1694,$A$2:$A$5001,"&lt;="&amp;A1694),"PR",""))</f>
        <v/>
      </c>
    </row>
    <row r="1695">
      <c r="A1695" s="7" t="n"/>
      <c r="H1695" s="11">
        <f>IF(OR(D1695="",E1695=""),"",D1695*E1695)</f>
        <v/>
      </c>
      <c r="I1695" s="8">
        <f>IF(OR(D1695="",E1695=""),"",E1695*(1+D1695/30))</f>
        <v/>
      </c>
      <c r="J1695">
        <f>IF(I1695="","",IF(I1695&gt;=MAXIFS($I$2:$I$5001,$B$2:$B$5001,B1695,$A$2:$A$5001,"&lt;="&amp;A1695),"PR",""))</f>
        <v/>
      </c>
    </row>
    <row r="1696">
      <c r="A1696" s="7" t="n"/>
      <c r="H1696" s="11">
        <f>IF(OR(D1696="",E1696=""),"",D1696*E1696)</f>
        <v/>
      </c>
      <c r="I1696" s="8">
        <f>IF(OR(D1696="",E1696=""),"",E1696*(1+D1696/30))</f>
        <v/>
      </c>
      <c r="J1696">
        <f>IF(I1696="","",IF(I1696&gt;=MAXIFS($I$2:$I$5001,$B$2:$B$5001,B1696,$A$2:$A$5001,"&lt;="&amp;A1696),"PR",""))</f>
        <v/>
      </c>
    </row>
    <row r="1697">
      <c r="A1697" s="7" t="n"/>
      <c r="H1697" s="11">
        <f>IF(OR(D1697="",E1697=""),"",D1697*E1697)</f>
        <v/>
      </c>
      <c r="I1697" s="8">
        <f>IF(OR(D1697="",E1697=""),"",E1697*(1+D1697/30))</f>
        <v/>
      </c>
      <c r="J1697">
        <f>IF(I1697="","",IF(I1697&gt;=MAXIFS($I$2:$I$5001,$B$2:$B$5001,B1697,$A$2:$A$5001,"&lt;="&amp;A1697),"PR",""))</f>
        <v/>
      </c>
    </row>
    <row r="1698">
      <c r="A1698" s="7" t="n"/>
      <c r="H1698" s="11">
        <f>IF(OR(D1698="",E1698=""),"",D1698*E1698)</f>
        <v/>
      </c>
      <c r="I1698" s="8">
        <f>IF(OR(D1698="",E1698=""),"",E1698*(1+D1698/30))</f>
        <v/>
      </c>
      <c r="J1698">
        <f>IF(I1698="","",IF(I1698&gt;=MAXIFS($I$2:$I$5001,$B$2:$B$5001,B1698,$A$2:$A$5001,"&lt;="&amp;A1698),"PR",""))</f>
        <v/>
      </c>
    </row>
    <row r="1699">
      <c r="A1699" s="7" t="n"/>
      <c r="H1699" s="11">
        <f>IF(OR(D1699="",E1699=""),"",D1699*E1699)</f>
        <v/>
      </c>
      <c r="I1699" s="8">
        <f>IF(OR(D1699="",E1699=""),"",E1699*(1+D1699/30))</f>
        <v/>
      </c>
      <c r="J1699">
        <f>IF(I1699="","",IF(I1699&gt;=MAXIFS($I$2:$I$5001,$B$2:$B$5001,B1699,$A$2:$A$5001,"&lt;="&amp;A1699),"PR",""))</f>
        <v/>
      </c>
    </row>
    <row r="1700">
      <c r="A1700" s="7" t="n"/>
      <c r="H1700" s="11">
        <f>IF(OR(D1700="",E1700=""),"",D1700*E1700)</f>
        <v/>
      </c>
      <c r="I1700" s="8">
        <f>IF(OR(D1700="",E1700=""),"",E1700*(1+D1700/30))</f>
        <v/>
      </c>
      <c r="J1700">
        <f>IF(I1700="","",IF(I1700&gt;=MAXIFS($I$2:$I$5001,$B$2:$B$5001,B1700,$A$2:$A$5001,"&lt;="&amp;A1700),"PR",""))</f>
        <v/>
      </c>
    </row>
    <row r="1701">
      <c r="A1701" s="7" t="n"/>
      <c r="H1701" s="11">
        <f>IF(OR(D1701="",E1701=""),"",D1701*E1701)</f>
        <v/>
      </c>
      <c r="I1701" s="8">
        <f>IF(OR(D1701="",E1701=""),"",E1701*(1+D1701/30))</f>
        <v/>
      </c>
      <c r="J1701">
        <f>IF(I1701="","",IF(I1701&gt;=MAXIFS($I$2:$I$5001,$B$2:$B$5001,B1701,$A$2:$A$5001,"&lt;="&amp;A1701),"PR",""))</f>
        <v/>
      </c>
    </row>
    <row r="1702">
      <c r="A1702" s="7" t="n"/>
      <c r="H1702" s="11">
        <f>IF(OR(D1702="",E1702=""),"",D1702*E1702)</f>
        <v/>
      </c>
      <c r="I1702" s="8">
        <f>IF(OR(D1702="",E1702=""),"",E1702*(1+D1702/30))</f>
        <v/>
      </c>
      <c r="J1702">
        <f>IF(I1702="","",IF(I1702&gt;=MAXIFS($I$2:$I$5001,$B$2:$B$5001,B1702,$A$2:$A$5001,"&lt;="&amp;A1702),"PR",""))</f>
        <v/>
      </c>
    </row>
    <row r="1703">
      <c r="A1703" s="7" t="n"/>
      <c r="H1703" s="11">
        <f>IF(OR(D1703="",E1703=""),"",D1703*E1703)</f>
        <v/>
      </c>
      <c r="I1703" s="8">
        <f>IF(OR(D1703="",E1703=""),"",E1703*(1+D1703/30))</f>
        <v/>
      </c>
      <c r="J1703">
        <f>IF(I1703="","",IF(I1703&gt;=MAXIFS($I$2:$I$5001,$B$2:$B$5001,B1703,$A$2:$A$5001,"&lt;="&amp;A1703),"PR",""))</f>
        <v/>
      </c>
    </row>
    <row r="1704">
      <c r="A1704" s="7" t="n"/>
      <c r="H1704" s="11">
        <f>IF(OR(D1704="",E1704=""),"",D1704*E1704)</f>
        <v/>
      </c>
      <c r="I1704" s="8">
        <f>IF(OR(D1704="",E1704=""),"",E1704*(1+D1704/30))</f>
        <v/>
      </c>
      <c r="J1704">
        <f>IF(I1704="","",IF(I1704&gt;=MAXIFS($I$2:$I$5001,$B$2:$B$5001,B1704,$A$2:$A$5001,"&lt;="&amp;A1704),"PR",""))</f>
        <v/>
      </c>
    </row>
    <row r="1705">
      <c r="A1705" s="7" t="n"/>
      <c r="H1705" s="11">
        <f>IF(OR(D1705="",E1705=""),"",D1705*E1705)</f>
        <v/>
      </c>
      <c r="I1705" s="8">
        <f>IF(OR(D1705="",E1705=""),"",E1705*(1+D1705/30))</f>
        <v/>
      </c>
      <c r="J1705">
        <f>IF(I1705="","",IF(I1705&gt;=MAXIFS($I$2:$I$5001,$B$2:$B$5001,B1705,$A$2:$A$5001,"&lt;="&amp;A1705),"PR",""))</f>
        <v/>
      </c>
    </row>
    <row r="1706">
      <c r="A1706" s="7" t="n"/>
      <c r="H1706" s="11">
        <f>IF(OR(D1706="",E1706=""),"",D1706*E1706)</f>
        <v/>
      </c>
      <c r="I1706" s="8">
        <f>IF(OR(D1706="",E1706=""),"",E1706*(1+D1706/30))</f>
        <v/>
      </c>
      <c r="J1706">
        <f>IF(I1706="","",IF(I1706&gt;=MAXIFS($I$2:$I$5001,$B$2:$B$5001,B1706,$A$2:$A$5001,"&lt;="&amp;A1706),"PR",""))</f>
        <v/>
      </c>
    </row>
    <row r="1707">
      <c r="A1707" s="7" t="n"/>
      <c r="H1707" s="11">
        <f>IF(OR(D1707="",E1707=""),"",D1707*E1707)</f>
        <v/>
      </c>
      <c r="I1707" s="8">
        <f>IF(OR(D1707="",E1707=""),"",E1707*(1+D1707/30))</f>
        <v/>
      </c>
      <c r="J1707">
        <f>IF(I1707="","",IF(I1707&gt;=MAXIFS($I$2:$I$5001,$B$2:$B$5001,B1707,$A$2:$A$5001,"&lt;="&amp;A1707),"PR",""))</f>
        <v/>
      </c>
    </row>
    <row r="1708">
      <c r="A1708" s="7" t="n"/>
      <c r="H1708" s="11">
        <f>IF(OR(D1708="",E1708=""),"",D1708*E1708)</f>
        <v/>
      </c>
      <c r="I1708" s="8">
        <f>IF(OR(D1708="",E1708=""),"",E1708*(1+D1708/30))</f>
        <v/>
      </c>
      <c r="J1708">
        <f>IF(I1708="","",IF(I1708&gt;=MAXIFS($I$2:$I$5001,$B$2:$B$5001,B1708,$A$2:$A$5001,"&lt;="&amp;A1708),"PR",""))</f>
        <v/>
      </c>
    </row>
    <row r="1709">
      <c r="A1709" s="7" t="n"/>
      <c r="H1709" s="11">
        <f>IF(OR(D1709="",E1709=""),"",D1709*E1709)</f>
        <v/>
      </c>
      <c r="I1709" s="8">
        <f>IF(OR(D1709="",E1709=""),"",E1709*(1+D1709/30))</f>
        <v/>
      </c>
      <c r="J1709">
        <f>IF(I1709="","",IF(I1709&gt;=MAXIFS($I$2:$I$5001,$B$2:$B$5001,B1709,$A$2:$A$5001,"&lt;="&amp;A1709),"PR",""))</f>
        <v/>
      </c>
    </row>
    <row r="1710">
      <c r="A1710" s="7" t="n"/>
      <c r="H1710" s="11">
        <f>IF(OR(D1710="",E1710=""),"",D1710*E1710)</f>
        <v/>
      </c>
      <c r="I1710" s="8">
        <f>IF(OR(D1710="",E1710=""),"",E1710*(1+D1710/30))</f>
        <v/>
      </c>
      <c r="J1710">
        <f>IF(I1710="","",IF(I1710&gt;=MAXIFS($I$2:$I$5001,$B$2:$B$5001,B1710,$A$2:$A$5001,"&lt;="&amp;A1710),"PR",""))</f>
        <v/>
      </c>
    </row>
    <row r="1711">
      <c r="A1711" s="7" t="n"/>
      <c r="H1711" s="11">
        <f>IF(OR(D1711="",E1711=""),"",D1711*E1711)</f>
        <v/>
      </c>
      <c r="I1711" s="8">
        <f>IF(OR(D1711="",E1711=""),"",E1711*(1+D1711/30))</f>
        <v/>
      </c>
      <c r="J1711">
        <f>IF(I1711="","",IF(I1711&gt;=MAXIFS($I$2:$I$5001,$B$2:$B$5001,B1711,$A$2:$A$5001,"&lt;="&amp;A1711),"PR",""))</f>
        <v/>
      </c>
    </row>
    <row r="1712">
      <c r="A1712" s="7" t="n"/>
      <c r="H1712" s="11">
        <f>IF(OR(D1712="",E1712=""),"",D1712*E1712)</f>
        <v/>
      </c>
      <c r="I1712" s="8">
        <f>IF(OR(D1712="",E1712=""),"",E1712*(1+D1712/30))</f>
        <v/>
      </c>
      <c r="J1712">
        <f>IF(I1712="","",IF(I1712&gt;=MAXIFS($I$2:$I$5001,$B$2:$B$5001,B1712,$A$2:$A$5001,"&lt;="&amp;A1712),"PR",""))</f>
        <v/>
      </c>
    </row>
    <row r="1713">
      <c r="A1713" s="7" t="n"/>
      <c r="H1713" s="11">
        <f>IF(OR(D1713="",E1713=""),"",D1713*E1713)</f>
        <v/>
      </c>
      <c r="I1713" s="8">
        <f>IF(OR(D1713="",E1713=""),"",E1713*(1+D1713/30))</f>
        <v/>
      </c>
      <c r="J1713">
        <f>IF(I1713="","",IF(I1713&gt;=MAXIFS($I$2:$I$5001,$B$2:$B$5001,B1713,$A$2:$A$5001,"&lt;="&amp;A1713),"PR",""))</f>
        <v/>
      </c>
    </row>
    <row r="1714">
      <c r="A1714" s="7" t="n"/>
      <c r="H1714" s="11">
        <f>IF(OR(D1714="",E1714=""),"",D1714*E1714)</f>
        <v/>
      </c>
      <c r="I1714" s="8">
        <f>IF(OR(D1714="",E1714=""),"",E1714*(1+D1714/30))</f>
        <v/>
      </c>
      <c r="J1714">
        <f>IF(I1714="","",IF(I1714&gt;=MAXIFS($I$2:$I$5001,$B$2:$B$5001,B1714,$A$2:$A$5001,"&lt;="&amp;A1714),"PR",""))</f>
        <v/>
      </c>
    </row>
    <row r="1715">
      <c r="A1715" s="7" t="n"/>
      <c r="H1715" s="11">
        <f>IF(OR(D1715="",E1715=""),"",D1715*E1715)</f>
        <v/>
      </c>
      <c r="I1715" s="8">
        <f>IF(OR(D1715="",E1715=""),"",E1715*(1+D1715/30))</f>
        <v/>
      </c>
      <c r="J1715">
        <f>IF(I1715="","",IF(I1715&gt;=MAXIFS($I$2:$I$5001,$B$2:$B$5001,B1715,$A$2:$A$5001,"&lt;="&amp;A1715),"PR",""))</f>
        <v/>
      </c>
    </row>
    <row r="1716">
      <c r="A1716" s="7" t="n"/>
      <c r="H1716" s="11">
        <f>IF(OR(D1716="",E1716=""),"",D1716*E1716)</f>
        <v/>
      </c>
      <c r="I1716" s="8">
        <f>IF(OR(D1716="",E1716=""),"",E1716*(1+D1716/30))</f>
        <v/>
      </c>
      <c r="J1716">
        <f>IF(I1716="","",IF(I1716&gt;=MAXIFS($I$2:$I$5001,$B$2:$B$5001,B1716,$A$2:$A$5001,"&lt;="&amp;A1716),"PR",""))</f>
        <v/>
      </c>
    </row>
    <row r="1717">
      <c r="A1717" s="7" t="n"/>
      <c r="H1717" s="11">
        <f>IF(OR(D1717="",E1717=""),"",D1717*E1717)</f>
        <v/>
      </c>
      <c r="I1717" s="8">
        <f>IF(OR(D1717="",E1717=""),"",E1717*(1+D1717/30))</f>
        <v/>
      </c>
      <c r="J1717">
        <f>IF(I1717="","",IF(I1717&gt;=MAXIFS($I$2:$I$5001,$B$2:$B$5001,B1717,$A$2:$A$5001,"&lt;="&amp;A1717),"PR",""))</f>
        <v/>
      </c>
    </row>
    <row r="1718">
      <c r="A1718" s="7" t="n"/>
      <c r="H1718" s="11">
        <f>IF(OR(D1718="",E1718=""),"",D1718*E1718)</f>
        <v/>
      </c>
      <c r="I1718" s="8">
        <f>IF(OR(D1718="",E1718=""),"",E1718*(1+D1718/30))</f>
        <v/>
      </c>
      <c r="J1718">
        <f>IF(I1718="","",IF(I1718&gt;=MAXIFS($I$2:$I$5001,$B$2:$B$5001,B1718,$A$2:$A$5001,"&lt;="&amp;A1718),"PR",""))</f>
        <v/>
      </c>
    </row>
    <row r="1719">
      <c r="A1719" s="7" t="n"/>
      <c r="H1719" s="11">
        <f>IF(OR(D1719="",E1719=""),"",D1719*E1719)</f>
        <v/>
      </c>
      <c r="I1719" s="8">
        <f>IF(OR(D1719="",E1719=""),"",E1719*(1+D1719/30))</f>
        <v/>
      </c>
      <c r="J1719">
        <f>IF(I1719="","",IF(I1719&gt;=MAXIFS($I$2:$I$5001,$B$2:$B$5001,B1719,$A$2:$A$5001,"&lt;="&amp;A1719),"PR",""))</f>
        <v/>
      </c>
    </row>
    <row r="1720">
      <c r="A1720" s="7" t="n"/>
      <c r="H1720" s="11">
        <f>IF(OR(D1720="",E1720=""),"",D1720*E1720)</f>
        <v/>
      </c>
      <c r="I1720" s="8">
        <f>IF(OR(D1720="",E1720=""),"",E1720*(1+D1720/30))</f>
        <v/>
      </c>
      <c r="J1720">
        <f>IF(I1720="","",IF(I1720&gt;=MAXIFS($I$2:$I$5001,$B$2:$B$5001,B1720,$A$2:$A$5001,"&lt;="&amp;A1720),"PR",""))</f>
        <v/>
      </c>
    </row>
    <row r="1721">
      <c r="A1721" s="7" t="n"/>
      <c r="H1721" s="11">
        <f>IF(OR(D1721="",E1721=""),"",D1721*E1721)</f>
        <v/>
      </c>
      <c r="I1721" s="8">
        <f>IF(OR(D1721="",E1721=""),"",E1721*(1+D1721/30))</f>
        <v/>
      </c>
      <c r="J1721">
        <f>IF(I1721="","",IF(I1721&gt;=MAXIFS($I$2:$I$5001,$B$2:$B$5001,B1721,$A$2:$A$5001,"&lt;="&amp;A1721),"PR",""))</f>
        <v/>
      </c>
    </row>
    <row r="1722">
      <c r="A1722" s="7" t="n"/>
      <c r="H1722" s="11">
        <f>IF(OR(D1722="",E1722=""),"",D1722*E1722)</f>
        <v/>
      </c>
      <c r="I1722" s="8">
        <f>IF(OR(D1722="",E1722=""),"",E1722*(1+D1722/30))</f>
        <v/>
      </c>
      <c r="J1722">
        <f>IF(I1722="","",IF(I1722&gt;=MAXIFS($I$2:$I$5001,$B$2:$B$5001,B1722,$A$2:$A$5001,"&lt;="&amp;A1722),"PR",""))</f>
        <v/>
      </c>
    </row>
    <row r="1723">
      <c r="A1723" s="7" t="n"/>
      <c r="H1723" s="11">
        <f>IF(OR(D1723="",E1723=""),"",D1723*E1723)</f>
        <v/>
      </c>
      <c r="I1723" s="8">
        <f>IF(OR(D1723="",E1723=""),"",E1723*(1+D1723/30))</f>
        <v/>
      </c>
      <c r="J1723">
        <f>IF(I1723="","",IF(I1723&gt;=MAXIFS($I$2:$I$5001,$B$2:$B$5001,B1723,$A$2:$A$5001,"&lt;="&amp;A1723),"PR",""))</f>
        <v/>
      </c>
    </row>
    <row r="1724">
      <c r="A1724" s="7" t="n"/>
      <c r="H1724" s="11">
        <f>IF(OR(D1724="",E1724=""),"",D1724*E1724)</f>
        <v/>
      </c>
      <c r="I1724" s="8">
        <f>IF(OR(D1724="",E1724=""),"",E1724*(1+D1724/30))</f>
        <v/>
      </c>
      <c r="J1724">
        <f>IF(I1724="","",IF(I1724&gt;=MAXIFS($I$2:$I$5001,$B$2:$B$5001,B1724,$A$2:$A$5001,"&lt;="&amp;A1724),"PR",""))</f>
        <v/>
      </c>
    </row>
    <row r="1725">
      <c r="A1725" s="7" t="n"/>
      <c r="H1725" s="11">
        <f>IF(OR(D1725="",E1725=""),"",D1725*E1725)</f>
        <v/>
      </c>
      <c r="I1725" s="8">
        <f>IF(OR(D1725="",E1725=""),"",E1725*(1+D1725/30))</f>
        <v/>
      </c>
      <c r="J1725">
        <f>IF(I1725="","",IF(I1725&gt;=MAXIFS($I$2:$I$5001,$B$2:$B$5001,B1725,$A$2:$A$5001,"&lt;="&amp;A1725),"PR",""))</f>
        <v/>
      </c>
    </row>
    <row r="1726">
      <c r="A1726" s="7" t="n"/>
      <c r="H1726" s="11">
        <f>IF(OR(D1726="",E1726=""),"",D1726*E1726)</f>
        <v/>
      </c>
      <c r="I1726" s="8">
        <f>IF(OR(D1726="",E1726=""),"",E1726*(1+D1726/30))</f>
        <v/>
      </c>
      <c r="J1726">
        <f>IF(I1726="","",IF(I1726&gt;=MAXIFS($I$2:$I$5001,$B$2:$B$5001,B1726,$A$2:$A$5001,"&lt;="&amp;A1726),"PR",""))</f>
        <v/>
      </c>
    </row>
    <row r="1727">
      <c r="A1727" s="7" t="n"/>
      <c r="H1727" s="11">
        <f>IF(OR(D1727="",E1727=""),"",D1727*E1727)</f>
        <v/>
      </c>
      <c r="I1727" s="8">
        <f>IF(OR(D1727="",E1727=""),"",E1727*(1+D1727/30))</f>
        <v/>
      </c>
      <c r="J1727">
        <f>IF(I1727="","",IF(I1727&gt;=MAXIFS($I$2:$I$5001,$B$2:$B$5001,B1727,$A$2:$A$5001,"&lt;="&amp;A1727),"PR",""))</f>
        <v/>
      </c>
    </row>
    <row r="1728">
      <c r="A1728" s="7" t="n"/>
      <c r="H1728" s="11">
        <f>IF(OR(D1728="",E1728=""),"",D1728*E1728)</f>
        <v/>
      </c>
      <c r="I1728" s="8">
        <f>IF(OR(D1728="",E1728=""),"",E1728*(1+D1728/30))</f>
        <v/>
      </c>
      <c r="J1728">
        <f>IF(I1728="","",IF(I1728&gt;=MAXIFS($I$2:$I$5001,$B$2:$B$5001,B1728,$A$2:$A$5001,"&lt;="&amp;A1728),"PR",""))</f>
        <v/>
      </c>
    </row>
    <row r="1729">
      <c r="A1729" s="7" t="n"/>
      <c r="H1729" s="11">
        <f>IF(OR(D1729="",E1729=""),"",D1729*E1729)</f>
        <v/>
      </c>
      <c r="I1729" s="8">
        <f>IF(OR(D1729="",E1729=""),"",E1729*(1+D1729/30))</f>
        <v/>
      </c>
      <c r="J1729">
        <f>IF(I1729="","",IF(I1729&gt;=MAXIFS($I$2:$I$5001,$B$2:$B$5001,B1729,$A$2:$A$5001,"&lt;="&amp;A1729),"PR",""))</f>
        <v/>
      </c>
    </row>
    <row r="1730">
      <c r="A1730" s="7" t="n"/>
      <c r="H1730" s="11">
        <f>IF(OR(D1730="",E1730=""),"",D1730*E1730)</f>
        <v/>
      </c>
      <c r="I1730" s="8">
        <f>IF(OR(D1730="",E1730=""),"",E1730*(1+D1730/30))</f>
        <v/>
      </c>
      <c r="J1730">
        <f>IF(I1730="","",IF(I1730&gt;=MAXIFS($I$2:$I$5001,$B$2:$B$5001,B1730,$A$2:$A$5001,"&lt;="&amp;A1730),"PR",""))</f>
        <v/>
      </c>
    </row>
    <row r="1731">
      <c r="A1731" s="7" t="n"/>
      <c r="H1731" s="11">
        <f>IF(OR(D1731="",E1731=""),"",D1731*E1731)</f>
        <v/>
      </c>
      <c r="I1731" s="8">
        <f>IF(OR(D1731="",E1731=""),"",E1731*(1+D1731/30))</f>
        <v/>
      </c>
      <c r="J1731">
        <f>IF(I1731="","",IF(I1731&gt;=MAXIFS($I$2:$I$5001,$B$2:$B$5001,B1731,$A$2:$A$5001,"&lt;="&amp;A1731),"PR",""))</f>
        <v/>
      </c>
    </row>
    <row r="1732">
      <c r="A1732" s="7" t="n"/>
      <c r="H1732" s="11">
        <f>IF(OR(D1732="",E1732=""),"",D1732*E1732)</f>
        <v/>
      </c>
      <c r="I1732" s="8">
        <f>IF(OR(D1732="",E1732=""),"",E1732*(1+D1732/30))</f>
        <v/>
      </c>
      <c r="J1732">
        <f>IF(I1732="","",IF(I1732&gt;=MAXIFS($I$2:$I$5001,$B$2:$B$5001,B1732,$A$2:$A$5001,"&lt;="&amp;A1732),"PR",""))</f>
        <v/>
      </c>
    </row>
    <row r="1733">
      <c r="A1733" s="7" t="n"/>
      <c r="H1733" s="11">
        <f>IF(OR(D1733="",E1733=""),"",D1733*E1733)</f>
        <v/>
      </c>
      <c r="I1733" s="8">
        <f>IF(OR(D1733="",E1733=""),"",E1733*(1+D1733/30))</f>
        <v/>
      </c>
      <c r="J1733">
        <f>IF(I1733="","",IF(I1733&gt;=MAXIFS($I$2:$I$5001,$B$2:$B$5001,B1733,$A$2:$A$5001,"&lt;="&amp;A1733),"PR",""))</f>
        <v/>
      </c>
    </row>
    <row r="1734">
      <c r="A1734" s="7" t="n"/>
      <c r="H1734" s="11">
        <f>IF(OR(D1734="",E1734=""),"",D1734*E1734)</f>
        <v/>
      </c>
      <c r="I1734" s="8">
        <f>IF(OR(D1734="",E1734=""),"",E1734*(1+D1734/30))</f>
        <v/>
      </c>
      <c r="J1734">
        <f>IF(I1734="","",IF(I1734&gt;=MAXIFS($I$2:$I$5001,$B$2:$B$5001,B1734,$A$2:$A$5001,"&lt;="&amp;A1734),"PR",""))</f>
        <v/>
      </c>
    </row>
    <row r="1735">
      <c r="A1735" s="7" t="n"/>
      <c r="H1735" s="11">
        <f>IF(OR(D1735="",E1735=""),"",D1735*E1735)</f>
        <v/>
      </c>
      <c r="I1735" s="8">
        <f>IF(OR(D1735="",E1735=""),"",E1735*(1+D1735/30))</f>
        <v/>
      </c>
      <c r="J1735">
        <f>IF(I1735="","",IF(I1735&gt;=MAXIFS($I$2:$I$5001,$B$2:$B$5001,B1735,$A$2:$A$5001,"&lt;="&amp;A1735),"PR",""))</f>
        <v/>
      </c>
    </row>
    <row r="1736">
      <c r="A1736" s="7" t="n"/>
      <c r="H1736" s="11">
        <f>IF(OR(D1736="",E1736=""),"",D1736*E1736)</f>
        <v/>
      </c>
      <c r="I1736" s="8">
        <f>IF(OR(D1736="",E1736=""),"",E1736*(1+D1736/30))</f>
        <v/>
      </c>
      <c r="J1736">
        <f>IF(I1736="","",IF(I1736&gt;=MAXIFS($I$2:$I$5001,$B$2:$B$5001,B1736,$A$2:$A$5001,"&lt;="&amp;A1736),"PR",""))</f>
        <v/>
      </c>
    </row>
    <row r="1737">
      <c r="A1737" s="7" t="n"/>
      <c r="H1737" s="11">
        <f>IF(OR(D1737="",E1737=""),"",D1737*E1737)</f>
        <v/>
      </c>
      <c r="I1737" s="8">
        <f>IF(OR(D1737="",E1737=""),"",E1737*(1+D1737/30))</f>
        <v/>
      </c>
      <c r="J1737">
        <f>IF(I1737="","",IF(I1737&gt;=MAXIFS($I$2:$I$5001,$B$2:$B$5001,B1737,$A$2:$A$5001,"&lt;="&amp;A1737),"PR",""))</f>
        <v/>
      </c>
    </row>
    <row r="1738">
      <c r="A1738" s="7" t="n"/>
      <c r="H1738" s="11">
        <f>IF(OR(D1738="",E1738=""),"",D1738*E1738)</f>
        <v/>
      </c>
      <c r="I1738" s="8">
        <f>IF(OR(D1738="",E1738=""),"",E1738*(1+D1738/30))</f>
        <v/>
      </c>
      <c r="J1738">
        <f>IF(I1738="","",IF(I1738&gt;=MAXIFS($I$2:$I$5001,$B$2:$B$5001,B1738,$A$2:$A$5001,"&lt;="&amp;A1738),"PR",""))</f>
        <v/>
      </c>
    </row>
    <row r="1739">
      <c r="A1739" s="7" t="n"/>
      <c r="H1739" s="11">
        <f>IF(OR(D1739="",E1739=""),"",D1739*E1739)</f>
        <v/>
      </c>
      <c r="I1739" s="8">
        <f>IF(OR(D1739="",E1739=""),"",E1739*(1+D1739/30))</f>
        <v/>
      </c>
      <c r="J1739">
        <f>IF(I1739="","",IF(I1739&gt;=MAXIFS($I$2:$I$5001,$B$2:$B$5001,B1739,$A$2:$A$5001,"&lt;="&amp;A1739),"PR",""))</f>
        <v/>
      </c>
    </row>
    <row r="1740">
      <c r="A1740" s="7" t="n"/>
      <c r="H1740" s="11">
        <f>IF(OR(D1740="",E1740=""),"",D1740*E1740)</f>
        <v/>
      </c>
      <c r="I1740" s="8">
        <f>IF(OR(D1740="",E1740=""),"",E1740*(1+D1740/30))</f>
        <v/>
      </c>
      <c r="J1740">
        <f>IF(I1740="","",IF(I1740&gt;=MAXIFS($I$2:$I$5001,$B$2:$B$5001,B1740,$A$2:$A$5001,"&lt;="&amp;A1740),"PR",""))</f>
        <v/>
      </c>
    </row>
    <row r="1741">
      <c r="A1741" s="7" t="n"/>
      <c r="H1741" s="11">
        <f>IF(OR(D1741="",E1741=""),"",D1741*E1741)</f>
        <v/>
      </c>
      <c r="I1741" s="8">
        <f>IF(OR(D1741="",E1741=""),"",E1741*(1+D1741/30))</f>
        <v/>
      </c>
      <c r="J1741">
        <f>IF(I1741="","",IF(I1741&gt;=MAXIFS($I$2:$I$5001,$B$2:$B$5001,B1741,$A$2:$A$5001,"&lt;="&amp;A1741),"PR",""))</f>
        <v/>
      </c>
    </row>
    <row r="1742">
      <c r="A1742" s="7" t="n"/>
      <c r="H1742" s="11">
        <f>IF(OR(D1742="",E1742=""),"",D1742*E1742)</f>
        <v/>
      </c>
      <c r="I1742" s="8">
        <f>IF(OR(D1742="",E1742=""),"",E1742*(1+D1742/30))</f>
        <v/>
      </c>
      <c r="J1742">
        <f>IF(I1742="","",IF(I1742&gt;=MAXIFS($I$2:$I$5001,$B$2:$B$5001,B1742,$A$2:$A$5001,"&lt;="&amp;A1742),"PR",""))</f>
        <v/>
      </c>
    </row>
    <row r="1743">
      <c r="A1743" s="7" t="n"/>
      <c r="H1743" s="11">
        <f>IF(OR(D1743="",E1743=""),"",D1743*E1743)</f>
        <v/>
      </c>
      <c r="I1743" s="8">
        <f>IF(OR(D1743="",E1743=""),"",E1743*(1+D1743/30))</f>
        <v/>
      </c>
      <c r="J1743">
        <f>IF(I1743="","",IF(I1743&gt;=MAXIFS($I$2:$I$5001,$B$2:$B$5001,B1743,$A$2:$A$5001,"&lt;="&amp;A1743),"PR",""))</f>
        <v/>
      </c>
    </row>
    <row r="1744">
      <c r="A1744" s="7" t="n"/>
      <c r="H1744" s="11">
        <f>IF(OR(D1744="",E1744=""),"",D1744*E1744)</f>
        <v/>
      </c>
      <c r="I1744" s="8">
        <f>IF(OR(D1744="",E1744=""),"",E1744*(1+D1744/30))</f>
        <v/>
      </c>
      <c r="J1744">
        <f>IF(I1744="","",IF(I1744&gt;=MAXIFS($I$2:$I$5001,$B$2:$B$5001,B1744,$A$2:$A$5001,"&lt;="&amp;A1744),"PR",""))</f>
        <v/>
      </c>
    </row>
    <row r="1745">
      <c r="A1745" s="7" t="n"/>
      <c r="H1745" s="11">
        <f>IF(OR(D1745="",E1745=""),"",D1745*E1745)</f>
        <v/>
      </c>
      <c r="I1745" s="8">
        <f>IF(OR(D1745="",E1745=""),"",E1745*(1+D1745/30))</f>
        <v/>
      </c>
      <c r="J1745">
        <f>IF(I1745="","",IF(I1745&gt;=MAXIFS($I$2:$I$5001,$B$2:$B$5001,B1745,$A$2:$A$5001,"&lt;="&amp;A1745),"PR",""))</f>
        <v/>
      </c>
    </row>
    <row r="1746">
      <c r="A1746" s="7" t="n"/>
      <c r="H1746" s="11">
        <f>IF(OR(D1746="",E1746=""),"",D1746*E1746)</f>
        <v/>
      </c>
      <c r="I1746" s="8">
        <f>IF(OR(D1746="",E1746=""),"",E1746*(1+D1746/30))</f>
        <v/>
      </c>
      <c r="J1746">
        <f>IF(I1746="","",IF(I1746&gt;=MAXIFS($I$2:$I$5001,$B$2:$B$5001,B1746,$A$2:$A$5001,"&lt;="&amp;A1746),"PR",""))</f>
        <v/>
      </c>
    </row>
    <row r="1747">
      <c r="A1747" s="7" t="n"/>
      <c r="H1747" s="11">
        <f>IF(OR(D1747="",E1747=""),"",D1747*E1747)</f>
        <v/>
      </c>
      <c r="I1747" s="8">
        <f>IF(OR(D1747="",E1747=""),"",E1747*(1+D1747/30))</f>
        <v/>
      </c>
      <c r="J1747">
        <f>IF(I1747="","",IF(I1747&gt;=MAXIFS($I$2:$I$5001,$B$2:$B$5001,B1747,$A$2:$A$5001,"&lt;="&amp;A1747),"PR",""))</f>
        <v/>
      </c>
    </row>
    <row r="1748">
      <c r="A1748" s="7" t="n"/>
      <c r="H1748" s="11">
        <f>IF(OR(D1748="",E1748=""),"",D1748*E1748)</f>
        <v/>
      </c>
      <c r="I1748" s="8">
        <f>IF(OR(D1748="",E1748=""),"",E1748*(1+D1748/30))</f>
        <v/>
      </c>
      <c r="J1748">
        <f>IF(I1748="","",IF(I1748&gt;=MAXIFS($I$2:$I$5001,$B$2:$B$5001,B1748,$A$2:$A$5001,"&lt;="&amp;A1748),"PR",""))</f>
        <v/>
      </c>
    </row>
    <row r="1749">
      <c r="A1749" s="7" t="n"/>
      <c r="H1749" s="11">
        <f>IF(OR(D1749="",E1749=""),"",D1749*E1749)</f>
        <v/>
      </c>
      <c r="I1749" s="8">
        <f>IF(OR(D1749="",E1749=""),"",E1749*(1+D1749/30))</f>
        <v/>
      </c>
      <c r="J1749">
        <f>IF(I1749="","",IF(I1749&gt;=MAXIFS($I$2:$I$5001,$B$2:$B$5001,B1749,$A$2:$A$5001,"&lt;="&amp;A1749),"PR",""))</f>
        <v/>
      </c>
    </row>
    <row r="1750">
      <c r="A1750" s="7" t="n"/>
      <c r="H1750" s="11">
        <f>IF(OR(D1750="",E1750=""),"",D1750*E1750)</f>
        <v/>
      </c>
      <c r="I1750" s="8">
        <f>IF(OR(D1750="",E1750=""),"",E1750*(1+D1750/30))</f>
        <v/>
      </c>
      <c r="J1750">
        <f>IF(I1750="","",IF(I1750&gt;=MAXIFS($I$2:$I$5001,$B$2:$B$5001,B1750,$A$2:$A$5001,"&lt;="&amp;A1750),"PR",""))</f>
        <v/>
      </c>
    </row>
    <row r="1751">
      <c r="A1751" s="7" t="n"/>
      <c r="H1751" s="11">
        <f>IF(OR(D1751="",E1751=""),"",D1751*E1751)</f>
        <v/>
      </c>
      <c r="I1751" s="8">
        <f>IF(OR(D1751="",E1751=""),"",E1751*(1+D1751/30))</f>
        <v/>
      </c>
      <c r="J1751">
        <f>IF(I1751="","",IF(I1751&gt;=MAXIFS($I$2:$I$5001,$B$2:$B$5001,B1751,$A$2:$A$5001,"&lt;="&amp;A1751),"PR",""))</f>
        <v/>
      </c>
    </row>
    <row r="1752">
      <c r="A1752" s="7" t="n"/>
      <c r="H1752" s="11">
        <f>IF(OR(D1752="",E1752=""),"",D1752*E1752)</f>
        <v/>
      </c>
      <c r="I1752" s="8">
        <f>IF(OR(D1752="",E1752=""),"",E1752*(1+D1752/30))</f>
        <v/>
      </c>
      <c r="J1752">
        <f>IF(I1752="","",IF(I1752&gt;=MAXIFS($I$2:$I$5001,$B$2:$B$5001,B1752,$A$2:$A$5001,"&lt;="&amp;A1752),"PR",""))</f>
        <v/>
      </c>
    </row>
    <row r="1753">
      <c r="A1753" s="7" t="n"/>
      <c r="H1753" s="11">
        <f>IF(OR(D1753="",E1753=""),"",D1753*E1753)</f>
        <v/>
      </c>
      <c r="I1753" s="8">
        <f>IF(OR(D1753="",E1753=""),"",E1753*(1+D1753/30))</f>
        <v/>
      </c>
      <c r="J1753">
        <f>IF(I1753="","",IF(I1753&gt;=MAXIFS($I$2:$I$5001,$B$2:$B$5001,B1753,$A$2:$A$5001,"&lt;="&amp;A1753),"PR",""))</f>
        <v/>
      </c>
    </row>
    <row r="1754">
      <c r="A1754" s="7" t="n"/>
      <c r="H1754" s="11">
        <f>IF(OR(D1754="",E1754=""),"",D1754*E1754)</f>
        <v/>
      </c>
      <c r="I1754" s="8">
        <f>IF(OR(D1754="",E1754=""),"",E1754*(1+D1754/30))</f>
        <v/>
      </c>
      <c r="J1754">
        <f>IF(I1754="","",IF(I1754&gt;=MAXIFS($I$2:$I$5001,$B$2:$B$5001,B1754,$A$2:$A$5001,"&lt;="&amp;A1754),"PR",""))</f>
        <v/>
      </c>
    </row>
    <row r="1755">
      <c r="A1755" s="7" t="n"/>
      <c r="H1755" s="11">
        <f>IF(OR(D1755="",E1755=""),"",D1755*E1755)</f>
        <v/>
      </c>
      <c r="I1755" s="8">
        <f>IF(OR(D1755="",E1755=""),"",E1755*(1+D1755/30))</f>
        <v/>
      </c>
      <c r="J1755">
        <f>IF(I1755="","",IF(I1755&gt;=MAXIFS($I$2:$I$5001,$B$2:$B$5001,B1755,$A$2:$A$5001,"&lt;="&amp;A1755),"PR",""))</f>
        <v/>
      </c>
    </row>
    <row r="1756">
      <c r="A1756" s="7" t="n"/>
      <c r="H1756" s="11">
        <f>IF(OR(D1756="",E1756=""),"",D1756*E1756)</f>
        <v/>
      </c>
      <c r="I1756" s="8">
        <f>IF(OR(D1756="",E1756=""),"",E1756*(1+D1756/30))</f>
        <v/>
      </c>
      <c r="J1756">
        <f>IF(I1756="","",IF(I1756&gt;=MAXIFS($I$2:$I$5001,$B$2:$B$5001,B1756,$A$2:$A$5001,"&lt;="&amp;A1756),"PR",""))</f>
        <v/>
      </c>
    </row>
    <row r="1757">
      <c r="A1757" s="7" t="n"/>
      <c r="H1757" s="11">
        <f>IF(OR(D1757="",E1757=""),"",D1757*E1757)</f>
        <v/>
      </c>
      <c r="I1757" s="8">
        <f>IF(OR(D1757="",E1757=""),"",E1757*(1+D1757/30))</f>
        <v/>
      </c>
      <c r="J1757">
        <f>IF(I1757="","",IF(I1757&gt;=MAXIFS($I$2:$I$5001,$B$2:$B$5001,B1757,$A$2:$A$5001,"&lt;="&amp;A1757),"PR",""))</f>
        <v/>
      </c>
    </row>
    <row r="1758">
      <c r="A1758" s="7" t="n"/>
      <c r="H1758" s="11">
        <f>IF(OR(D1758="",E1758=""),"",D1758*E1758)</f>
        <v/>
      </c>
      <c r="I1758" s="8">
        <f>IF(OR(D1758="",E1758=""),"",E1758*(1+D1758/30))</f>
        <v/>
      </c>
      <c r="J1758">
        <f>IF(I1758="","",IF(I1758&gt;=MAXIFS($I$2:$I$5001,$B$2:$B$5001,B1758,$A$2:$A$5001,"&lt;="&amp;A1758),"PR",""))</f>
        <v/>
      </c>
    </row>
    <row r="1759">
      <c r="A1759" s="7" t="n"/>
      <c r="H1759" s="11">
        <f>IF(OR(D1759="",E1759=""),"",D1759*E1759)</f>
        <v/>
      </c>
      <c r="I1759" s="8">
        <f>IF(OR(D1759="",E1759=""),"",E1759*(1+D1759/30))</f>
        <v/>
      </c>
      <c r="J1759">
        <f>IF(I1759="","",IF(I1759&gt;=MAXIFS($I$2:$I$5001,$B$2:$B$5001,B1759,$A$2:$A$5001,"&lt;="&amp;A1759),"PR",""))</f>
        <v/>
      </c>
    </row>
    <row r="1760">
      <c r="A1760" s="7" t="n"/>
      <c r="H1760" s="11">
        <f>IF(OR(D1760="",E1760=""),"",D1760*E1760)</f>
        <v/>
      </c>
      <c r="I1760" s="8">
        <f>IF(OR(D1760="",E1760=""),"",E1760*(1+D1760/30))</f>
        <v/>
      </c>
      <c r="J1760">
        <f>IF(I1760="","",IF(I1760&gt;=MAXIFS($I$2:$I$5001,$B$2:$B$5001,B1760,$A$2:$A$5001,"&lt;="&amp;A1760),"PR",""))</f>
        <v/>
      </c>
    </row>
    <row r="1761">
      <c r="A1761" s="7" t="n"/>
      <c r="H1761" s="11">
        <f>IF(OR(D1761="",E1761=""),"",D1761*E1761)</f>
        <v/>
      </c>
      <c r="I1761" s="8">
        <f>IF(OR(D1761="",E1761=""),"",E1761*(1+D1761/30))</f>
        <v/>
      </c>
      <c r="J1761">
        <f>IF(I1761="","",IF(I1761&gt;=MAXIFS($I$2:$I$5001,$B$2:$B$5001,B1761,$A$2:$A$5001,"&lt;="&amp;A1761),"PR",""))</f>
        <v/>
      </c>
    </row>
    <row r="1762">
      <c r="A1762" s="7" t="n"/>
      <c r="H1762" s="11">
        <f>IF(OR(D1762="",E1762=""),"",D1762*E1762)</f>
        <v/>
      </c>
      <c r="I1762" s="8">
        <f>IF(OR(D1762="",E1762=""),"",E1762*(1+D1762/30))</f>
        <v/>
      </c>
      <c r="J1762">
        <f>IF(I1762="","",IF(I1762&gt;=MAXIFS($I$2:$I$5001,$B$2:$B$5001,B1762,$A$2:$A$5001,"&lt;="&amp;A1762),"PR",""))</f>
        <v/>
      </c>
    </row>
    <row r="1763">
      <c r="A1763" s="7" t="n"/>
      <c r="H1763" s="11">
        <f>IF(OR(D1763="",E1763=""),"",D1763*E1763)</f>
        <v/>
      </c>
      <c r="I1763" s="8">
        <f>IF(OR(D1763="",E1763=""),"",E1763*(1+D1763/30))</f>
        <v/>
      </c>
      <c r="J1763">
        <f>IF(I1763="","",IF(I1763&gt;=MAXIFS($I$2:$I$5001,$B$2:$B$5001,B1763,$A$2:$A$5001,"&lt;="&amp;A1763),"PR",""))</f>
        <v/>
      </c>
    </row>
    <row r="1764">
      <c r="A1764" s="7" t="n"/>
      <c r="H1764" s="11">
        <f>IF(OR(D1764="",E1764=""),"",D1764*E1764)</f>
        <v/>
      </c>
      <c r="I1764" s="8">
        <f>IF(OR(D1764="",E1764=""),"",E1764*(1+D1764/30))</f>
        <v/>
      </c>
      <c r="J1764">
        <f>IF(I1764="","",IF(I1764&gt;=MAXIFS($I$2:$I$5001,$B$2:$B$5001,B1764,$A$2:$A$5001,"&lt;="&amp;A1764),"PR",""))</f>
        <v/>
      </c>
    </row>
    <row r="1765">
      <c r="A1765" s="7" t="n"/>
      <c r="H1765" s="11">
        <f>IF(OR(D1765="",E1765=""),"",D1765*E1765)</f>
        <v/>
      </c>
      <c r="I1765" s="8">
        <f>IF(OR(D1765="",E1765=""),"",E1765*(1+D1765/30))</f>
        <v/>
      </c>
      <c r="J1765">
        <f>IF(I1765="","",IF(I1765&gt;=MAXIFS($I$2:$I$5001,$B$2:$B$5001,B1765,$A$2:$A$5001,"&lt;="&amp;A1765),"PR",""))</f>
        <v/>
      </c>
    </row>
    <row r="1766">
      <c r="A1766" s="7" t="n"/>
      <c r="H1766" s="11">
        <f>IF(OR(D1766="",E1766=""),"",D1766*E1766)</f>
        <v/>
      </c>
      <c r="I1766" s="8">
        <f>IF(OR(D1766="",E1766=""),"",E1766*(1+D1766/30))</f>
        <v/>
      </c>
      <c r="J1766">
        <f>IF(I1766="","",IF(I1766&gt;=MAXIFS($I$2:$I$5001,$B$2:$B$5001,B1766,$A$2:$A$5001,"&lt;="&amp;A1766),"PR",""))</f>
        <v/>
      </c>
    </row>
    <row r="1767">
      <c r="A1767" s="7" t="n"/>
      <c r="H1767" s="11">
        <f>IF(OR(D1767="",E1767=""),"",D1767*E1767)</f>
        <v/>
      </c>
      <c r="I1767" s="8">
        <f>IF(OR(D1767="",E1767=""),"",E1767*(1+D1767/30))</f>
        <v/>
      </c>
      <c r="J1767">
        <f>IF(I1767="","",IF(I1767&gt;=MAXIFS($I$2:$I$5001,$B$2:$B$5001,B1767,$A$2:$A$5001,"&lt;="&amp;A1767),"PR",""))</f>
        <v/>
      </c>
    </row>
    <row r="1768">
      <c r="A1768" s="7" t="n"/>
      <c r="H1768" s="11">
        <f>IF(OR(D1768="",E1768=""),"",D1768*E1768)</f>
        <v/>
      </c>
      <c r="I1768" s="8">
        <f>IF(OR(D1768="",E1768=""),"",E1768*(1+D1768/30))</f>
        <v/>
      </c>
      <c r="J1768">
        <f>IF(I1768="","",IF(I1768&gt;=MAXIFS($I$2:$I$5001,$B$2:$B$5001,B1768,$A$2:$A$5001,"&lt;="&amp;A1768),"PR",""))</f>
        <v/>
      </c>
    </row>
    <row r="1769">
      <c r="A1769" s="7" t="n"/>
      <c r="H1769" s="11">
        <f>IF(OR(D1769="",E1769=""),"",D1769*E1769)</f>
        <v/>
      </c>
      <c r="I1769" s="8">
        <f>IF(OR(D1769="",E1769=""),"",E1769*(1+D1769/30))</f>
        <v/>
      </c>
      <c r="J1769">
        <f>IF(I1769="","",IF(I1769&gt;=MAXIFS($I$2:$I$5001,$B$2:$B$5001,B1769,$A$2:$A$5001,"&lt;="&amp;A1769),"PR",""))</f>
        <v/>
      </c>
    </row>
    <row r="1770">
      <c r="A1770" s="7" t="n"/>
      <c r="H1770" s="11">
        <f>IF(OR(D1770="",E1770=""),"",D1770*E1770)</f>
        <v/>
      </c>
      <c r="I1770" s="8">
        <f>IF(OR(D1770="",E1770=""),"",E1770*(1+D1770/30))</f>
        <v/>
      </c>
      <c r="J1770">
        <f>IF(I1770="","",IF(I1770&gt;=MAXIFS($I$2:$I$5001,$B$2:$B$5001,B1770,$A$2:$A$5001,"&lt;="&amp;A1770),"PR",""))</f>
        <v/>
      </c>
    </row>
    <row r="1771">
      <c r="A1771" s="7" t="n"/>
      <c r="H1771" s="11">
        <f>IF(OR(D1771="",E1771=""),"",D1771*E1771)</f>
        <v/>
      </c>
      <c r="I1771" s="8">
        <f>IF(OR(D1771="",E1771=""),"",E1771*(1+D1771/30))</f>
        <v/>
      </c>
      <c r="J1771">
        <f>IF(I1771="","",IF(I1771&gt;=MAXIFS($I$2:$I$5001,$B$2:$B$5001,B1771,$A$2:$A$5001,"&lt;="&amp;A1771),"PR",""))</f>
        <v/>
      </c>
    </row>
    <row r="1772">
      <c r="A1772" s="7" t="n"/>
      <c r="H1772" s="11">
        <f>IF(OR(D1772="",E1772=""),"",D1772*E1772)</f>
        <v/>
      </c>
      <c r="I1772" s="8">
        <f>IF(OR(D1772="",E1772=""),"",E1772*(1+D1772/30))</f>
        <v/>
      </c>
      <c r="J1772">
        <f>IF(I1772="","",IF(I1772&gt;=MAXIFS($I$2:$I$5001,$B$2:$B$5001,B1772,$A$2:$A$5001,"&lt;="&amp;A1772),"PR",""))</f>
        <v/>
      </c>
    </row>
    <row r="1773">
      <c r="A1773" s="7" t="n"/>
      <c r="H1773" s="11">
        <f>IF(OR(D1773="",E1773=""),"",D1773*E1773)</f>
        <v/>
      </c>
      <c r="I1773" s="8">
        <f>IF(OR(D1773="",E1773=""),"",E1773*(1+D1773/30))</f>
        <v/>
      </c>
      <c r="J1773">
        <f>IF(I1773="","",IF(I1773&gt;=MAXIFS($I$2:$I$5001,$B$2:$B$5001,B1773,$A$2:$A$5001,"&lt;="&amp;A1773),"PR",""))</f>
        <v/>
      </c>
    </row>
    <row r="1774">
      <c r="A1774" s="7" t="n"/>
      <c r="H1774" s="11">
        <f>IF(OR(D1774="",E1774=""),"",D1774*E1774)</f>
        <v/>
      </c>
      <c r="I1774" s="8">
        <f>IF(OR(D1774="",E1774=""),"",E1774*(1+D1774/30))</f>
        <v/>
      </c>
      <c r="J1774">
        <f>IF(I1774="","",IF(I1774&gt;=MAXIFS($I$2:$I$5001,$B$2:$B$5001,B1774,$A$2:$A$5001,"&lt;="&amp;A1774),"PR",""))</f>
        <v/>
      </c>
    </row>
    <row r="1775">
      <c r="A1775" s="7" t="n"/>
      <c r="H1775" s="11">
        <f>IF(OR(D1775="",E1775=""),"",D1775*E1775)</f>
        <v/>
      </c>
      <c r="I1775" s="8">
        <f>IF(OR(D1775="",E1775=""),"",E1775*(1+D1775/30))</f>
        <v/>
      </c>
      <c r="J1775">
        <f>IF(I1775="","",IF(I1775&gt;=MAXIFS($I$2:$I$5001,$B$2:$B$5001,B1775,$A$2:$A$5001,"&lt;="&amp;A1775),"PR",""))</f>
        <v/>
      </c>
    </row>
    <row r="1776">
      <c r="A1776" s="7" t="n"/>
      <c r="H1776" s="11">
        <f>IF(OR(D1776="",E1776=""),"",D1776*E1776)</f>
        <v/>
      </c>
      <c r="I1776" s="8">
        <f>IF(OR(D1776="",E1776=""),"",E1776*(1+D1776/30))</f>
        <v/>
      </c>
      <c r="J1776">
        <f>IF(I1776="","",IF(I1776&gt;=MAXIFS($I$2:$I$5001,$B$2:$B$5001,B1776,$A$2:$A$5001,"&lt;="&amp;A1776),"PR",""))</f>
        <v/>
      </c>
    </row>
    <row r="1777">
      <c r="A1777" s="7" t="n"/>
      <c r="H1777" s="11">
        <f>IF(OR(D1777="",E1777=""),"",D1777*E1777)</f>
        <v/>
      </c>
      <c r="I1777" s="8">
        <f>IF(OR(D1777="",E1777=""),"",E1777*(1+D1777/30))</f>
        <v/>
      </c>
      <c r="J1777">
        <f>IF(I1777="","",IF(I1777&gt;=MAXIFS($I$2:$I$5001,$B$2:$B$5001,B1777,$A$2:$A$5001,"&lt;="&amp;A1777),"PR",""))</f>
        <v/>
      </c>
    </row>
    <row r="1778">
      <c r="A1778" s="7" t="n"/>
      <c r="H1778" s="11">
        <f>IF(OR(D1778="",E1778=""),"",D1778*E1778)</f>
        <v/>
      </c>
      <c r="I1778" s="8">
        <f>IF(OR(D1778="",E1778=""),"",E1778*(1+D1778/30))</f>
        <v/>
      </c>
      <c r="J1778">
        <f>IF(I1778="","",IF(I1778&gt;=MAXIFS($I$2:$I$5001,$B$2:$B$5001,B1778,$A$2:$A$5001,"&lt;="&amp;A1778),"PR",""))</f>
        <v/>
      </c>
    </row>
    <row r="1779">
      <c r="A1779" s="7" t="n"/>
      <c r="H1779" s="11">
        <f>IF(OR(D1779="",E1779=""),"",D1779*E1779)</f>
        <v/>
      </c>
      <c r="I1779" s="8">
        <f>IF(OR(D1779="",E1779=""),"",E1779*(1+D1779/30))</f>
        <v/>
      </c>
      <c r="J1779">
        <f>IF(I1779="","",IF(I1779&gt;=MAXIFS($I$2:$I$5001,$B$2:$B$5001,B1779,$A$2:$A$5001,"&lt;="&amp;A1779),"PR",""))</f>
        <v/>
      </c>
    </row>
    <row r="1780">
      <c r="A1780" s="7" t="n"/>
      <c r="H1780" s="11">
        <f>IF(OR(D1780="",E1780=""),"",D1780*E1780)</f>
        <v/>
      </c>
      <c r="I1780" s="8">
        <f>IF(OR(D1780="",E1780=""),"",E1780*(1+D1780/30))</f>
        <v/>
      </c>
      <c r="J1780">
        <f>IF(I1780="","",IF(I1780&gt;=MAXIFS($I$2:$I$5001,$B$2:$B$5001,B1780,$A$2:$A$5001,"&lt;="&amp;A1780),"PR",""))</f>
        <v/>
      </c>
    </row>
    <row r="1781">
      <c r="A1781" s="7" t="n"/>
      <c r="H1781" s="11">
        <f>IF(OR(D1781="",E1781=""),"",D1781*E1781)</f>
        <v/>
      </c>
      <c r="I1781" s="8">
        <f>IF(OR(D1781="",E1781=""),"",E1781*(1+D1781/30))</f>
        <v/>
      </c>
      <c r="J1781">
        <f>IF(I1781="","",IF(I1781&gt;=MAXIFS($I$2:$I$5001,$B$2:$B$5001,B1781,$A$2:$A$5001,"&lt;="&amp;A1781),"PR",""))</f>
        <v/>
      </c>
    </row>
    <row r="1782">
      <c r="A1782" s="7" t="n"/>
      <c r="H1782" s="11">
        <f>IF(OR(D1782="",E1782=""),"",D1782*E1782)</f>
        <v/>
      </c>
      <c r="I1782" s="8">
        <f>IF(OR(D1782="",E1782=""),"",E1782*(1+D1782/30))</f>
        <v/>
      </c>
      <c r="J1782">
        <f>IF(I1782="","",IF(I1782&gt;=MAXIFS($I$2:$I$5001,$B$2:$B$5001,B1782,$A$2:$A$5001,"&lt;="&amp;A1782),"PR",""))</f>
        <v/>
      </c>
    </row>
    <row r="1783">
      <c r="A1783" s="7" t="n"/>
      <c r="H1783" s="11">
        <f>IF(OR(D1783="",E1783=""),"",D1783*E1783)</f>
        <v/>
      </c>
      <c r="I1783" s="8">
        <f>IF(OR(D1783="",E1783=""),"",E1783*(1+D1783/30))</f>
        <v/>
      </c>
      <c r="J1783">
        <f>IF(I1783="","",IF(I1783&gt;=MAXIFS($I$2:$I$5001,$B$2:$B$5001,B1783,$A$2:$A$5001,"&lt;="&amp;A1783),"PR",""))</f>
        <v/>
      </c>
    </row>
    <row r="1784">
      <c r="A1784" s="7" t="n"/>
      <c r="H1784" s="11">
        <f>IF(OR(D1784="",E1784=""),"",D1784*E1784)</f>
        <v/>
      </c>
      <c r="I1784" s="8">
        <f>IF(OR(D1784="",E1784=""),"",E1784*(1+D1784/30))</f>
        <v/>
      </c>
      <c r="J1784">
        <f>IF(I1784="","",IF(I1784&gt;=MAXIFS($I$2:$I$5001,$B$2:$B$5001,B1784,$A$2:$A$5001,"&lt;="&amp;A1784),"PR",""))</f>
        <v/>
      </c>
    </row>
    <row r="1785">
      <c r="A1785" s="7" t="n"/>
      <c r="H1785" s="11">
        <f>IF(OR(D1785="",E1785=""),"",D1785*E1785)</f>
        <v/>
      </c>
      <c r="I1785" s="8">
        <f>IF(OR(D1785="",E1785=""),"",E1785*(1+D1785/30))</f>
        <v/>
      </c>
      <c r="J1785">
        <f>IF(I1785="","",IF(I1785&gt;=MAXIFS($I$2:$I$5001,$B$2:$B$5001,B1785,$A$2:$A$5001,"&lt;="&amp;A1785),"PR",""))</f>
        <v/>
      </c>
    </row>
    <row r="1786">
      <c r="A1786" s="7" t="n"/>
      <c r="H1786" s="11">
        <f>IF(OR(D1786="",E1786=""),"",D1786*E1786)</f>
        <v/>
      </c>
      <c r="I1786" s="8">
        <f>IF(OR(D1786="",E1786=""),"",E1786*(1+D1786/30))</f>
        <v/>
      </c>
      <c r="J1786">
        <f>IF(I1786="","",IF(I1786&gt;=MAXIFS($I$2:$I$5001,$B$2:$B$5001,B1786,$A$2:$A$5001,"&lt;="&amp;A1786),"PR",""))</f>
        <v/>
      </c>
    </row>
    <row r="1787">
      <c r="A1787" s="7" t="n"/>
      <c r="H1787" s="11">
        <f>IF(OR(D1787="",E1787=""),"",D1787*E1787)</f>
        <v/>
      </c>
      <c r="I1787" s="8">
        <f>IF(OR(D1787="",E1787=""),"",E1787*(1+D1787/30))</f>
        <v/>
      </c>
      <c r="J1787">
        <f>IF(I1787="","",IF(I1787&gt;=MAXIFS($I$2:$I$5001,$B$2:$B$5001,B1787,$A$2:$A$5001,"&lt;="&amp;A1787),"PR",""))</f>
        <v/>
      </c>
    </row>
    <row r="1788">
      <c r="A1788" s="7" t="n"/>
      <c r="H1788" s="11">
        <f>IF(OR(D1788="",E1788=""),"",D1788*E1788)</f>
        <v/>
      </c>
      <c r="I1788" s="8">
        <f>IF(OR(D1788="",E1788=""),"",E1788*(1+D1788/30))</f>
        <v/>
      </c>
      <c r="J1788">
        <f>IF(I1788="","",IF(I1788&gt;=MAXIFS($I$2:$I$5001,$B$2:$B$5001,B1788,$A$2:$A$5001,"&lt;="&amp;A1788),"PR",""))</f>
        <v/>
      </c>
    </row>
    <row r="1789">
      <c r="A1789" s="7" t="n"/>
      <c r="H1789" s="11">
        <f>IF(OR(D1789="",E1789=""),"",D1789*E1789)</f>
        <v/>
      </c>
      <c r="I1789" s="8">
        <f>IF(OR(D1789="",E1789=""),"",E1789*(1+D1789/30))</f>
        <v/>
      </c>
      <c r="J1789">
        <f>IF(I1789="","",IF(I1789&gt;=MAXIFS($I$2:$I$5001,$B$2:$B$5001,B1789,$A$2:$A$5001,"&lt;="&amp;A1789),"PR",""))</f>
        <v/>
      </c>
    </row>
    <row r="1790">
      <c r="A1790" s="7" t="n"/>
      <c r="H1790" s="11">
        <f>IF(OR(D1790="",E1790=""),"",D1790*E1790)</f>
        <v/>
      </c>
      <c r="I1790" s="8">
        <f>IF(OR(D1790="",E1790=""),"",E1790*(1+D1790/30))</f>
        <v/>
      </c>
      <c r="J1790">
        <f>IF(I1790="","",IF(I1790&gt;=MAXIFS($I$2:$I$5001,$B$2:$B$5001,B1790,$A$2:$A$5001,"&lt;="&amp;A1790),"PR",""))</f>
        <v/>
      </c>
    </row>
    <row r="1791">
      <c r="A1791" s="7" t="n"/>
      <c r="H1791" s="11">
        <f>IF(OR(D1791="",E1791=""),"",D1791*E1791)</f>
        <v/>
      </c>
      <c r="I1791" s="8">
        <f>IF(OR(D1791="",E1791=""),"",E1791*(1+D1791/30))</f>
        <v/>
      </c>
      <c r="J1791">
        <f>IF(I1791="","",IF(I1791&gt;=MAXIFS($I$2:$I$5001,$B$2:$B$5001,B1791,$A$2:$A$5001,"&lt;="&amp;A1791),"PR",""))</f>
        <v/>
      </c>
    </row>
    <row r="1792">
      <c r="A1792" s="7" t="n"/>
      <c r="H1792" s="11">
        <f>IF(OR(D1792="",E1792=""),"",D1792*E1792)</f>
        <v/>
      </c>
      <c r="I1792" s="8">
        <f>IF(OR(D1792="",E1792=""),"",E1792*(1+D1792/30))</f>
        <v/>
      </c>
      <c r="J1792">
        <f>IF(I1792="","",IF(I1792&gt;=MAXIFS($I$2:$I$5001,$B$2:$B$5001,B1792,$A$2:$A$5001,"&lt;="&amp;A1792),"PR",""))</f>
        <v/>
      </c>
    </row>
    <row r="1793">
      <c r="A1793" s="7" t="n"/>
      <c r="H1793" s="11">
        <f>IF(OR(D1793="",E1793=""),"",D1793*E1793)</f>
        <v/>
      </c>
      <c r="I1793" s="8">
        <f>IF(OR(D1793="",E1793=""),"",E1793*(1+D1793/30))</f>
        <v/>
      </c>
      <c r="J1793">
        <f>IF(I1793="","",IF(I1793&gt;=MAXIFS($I$2:$I$5001,$B$2:$B$5001,B1793,$A$2:$A$5001,"&lt;="&amp;A1793),"PR",""))</f>
        <v/>
      </c>
    </row>
    <row r="1794">
      <c r="A1794" s="7" t="n"/>
      <c r="H1794" s="11">
        <f>IF(OR(D1794="",E1794=""),"",D1794*E1794)</f>
        <v/>
      </c>
      <c r="I1794" s="8">
        <f>IF(OR(D1794="",E1794=""),"",E1794*(1+D1794/30))</f>
        <v/>
      </c>
      <c r="J1794">
        <f>IF(I1794="","",IF(I1794&gt;=MAXIFS($I$2:$I$5001,$B$2:$B$5001,B1794,$A$2:$A$5001,"&lt;="&amp;A1794),"PR",""))</f>
        <v/>
      </c>
    </row>
    <row r="1795">
      <c r="A1795" s="7" t="n"/>
      <c r="H1795" s="11">
        <f>IF(OR(D1795="",E1795=""),"",D1795*E1795)</f>
        <v/>
      </c>
      <c r="I1795" s="8">
        <f>IF(OR(D1795="",E1795=""),"",E1795*(1+D1795/30))</f>
        <v/>
      </c>
      <c r="J1795">
        <f>IF(I1795="","",IF(I1795&gt;=MAXIFS($I$2:$I$5001,$B$2:$B$5001,B1795,$A$2:$A$5001,"&lt;="&amp;A1795),"PR",""))</f>
        <v/>
      </c>
    </row>
    <row r="1796">
      <c r="A1796" s="7" t="n"/>
      <c r="H1796" s="11">
        <f>IF(OR(D1796="",E1796=""),"",D1796*E1796)</f>
        <v/>
      </c>
      <c r="I1796" s="8">
        <f>IF(OR(D1796="",E1796=""),"",E1796*(1+D1796/30))</f>
        <v/>
      </c>
      <c r="J1796">
        <f>IF(I1796="","",IF(I1796&gt;=MAXIFS($I$2:$I$5001,$B$2:$B$5001,B1796,$A$2:$A$5001,"&lt;="&amp;A1796),"PR",""))</f>
        <v/>
      </c>
    </row>
    <row r="1797">
      <c r="A1797" s="7" t="n"/>
      <c r="H1797" s="11">
        <f>IF(OR(D1797="",E1797=""),"",D1797*E1797)</f>
        <v/>
      </c>
      <c r="I1797" s="8">
        <f>IF(OR(D1797="",E1797=""),"",E1797*(1+D1797/30))</f>
        <v/>
      </c>
      <c r="J1797">
        <f>IF(I1797="","",IF(I1797&gt;=MAXIFS($I$2:$I$5001,$B$2:$B$5001,B1797,$A$2:$A$5001,"&lt;="&amp;A1797),"PR",""))</f>
        <v/>
      </c>
    </row>
    <row r="1798">
      <c r="A1798" s="7" t="n"/>
      <c r="H1798" s="11">
        <f>IF(OR(D1798="",E1798=""),"",D1798*E1798)</f>
        <v/>
      </c>
      <c r="I1798" s="8">
        <f>IF(OR(D1798="",E1798=""),"",E1798*(1+D1798/30))</f>
        <v/>
      </c>
      <c r="J1798">
        <f>IF(I1798="","",IF(I1798&gt;=MAXIFS($I$2:$I$5001,$B$2:$B$5001,B1798,$A$2:$A$5001,"&lt;="&amp;A1798),"PR",""))</f>
        <v/>
      </c>
    </row>
    <row r="1799">
      <c r="A1799" s="7" t="n"/>
      <c r="H1799" s="11">
        <f>IF(OR(D1799="",E1799=""),"",D1799*E1799)</f>
        <v/>
      </c>
      <c r="I1799" s="8">
        <f>IF(OR(D1799="",E1799=""),"",E1799*(1+D1799/30))</f>
        <v/>
      </c>
      <c r="J1799">
        <f>IF(I1799="","",IF(I1799&gt;=MAXIFS($I$2:$I$5001,$B$2:$B$5001,B1799,$A$2:$A$5001,"&lt;="&amp;A1799),"PR",""))</f>
        <v/>
      </c>
    </row>
    <row r="1800">
      <c r="A1800" s="7" t="n"/>
      <c r="H1800" s="11">
        <f>IF(OR(D1800="",E1800=""),"",D1800*E1800)</f>
        <v/>
      </c>
      <c r="I1800" s="8">
        <f>IF(OR(D1800="",E1800=""),"",E1800*(1+D1800/30))</f>
        <v/>
      </c>
      <c r="J1800">
        <f>IF(I1800="","",IF(I1800&gt;=MAXIFS($I$2:$I$5001,$B$2:$B$5001,B1800,$A$2:$A$5001,"&lt;="&amp;A1800),"PR",""))</f>
        <v/>
      </c>
    </row>
    <row r="1801">
      <c r="A1801" s="7" t="n"/>
      <c r="H1801" s="11">
        <f>IF(OR(D1801="",E1801=""),"",D1801*E1801)</f>
        <v/>
      </c>
      <c r="I1801" s="8">
        <f>IF(OR(D1801="",E1801=""),"",E1801*(1+D1801/30))</f>
        <v/>
      </c>
      <c r="J1801">
        <f>IF(I1801="","",IF(I1801&gt;=MAXIFS($I$2:$I$5001,$B$2:$B$5001,B1801,$A$2:$A$5001,"&lt;="&amp;A1801),"PR",""))</f>
        <v/>
      </c>
    </row>
    <row r="1802">
      <c r="A1802" s="7" t="n"/>
      <c r="H1802" s="11">
        <f>IF(OR(D1802="",E1802=""),"",D1802*E1802)</f>
        <v/>
      </c>
      <c r="I1802" s="8">
        <f>IF(OR(D1802="",E1802=""),"",E1802*(1+D1802/30))</f>
        <v/>
      </c>
      <c r="J1802">
        <f>IF(I1802="","",IF(I1802&gt;=MAXIFS($I$2:$I$5001,$B$2:$B$5001,B1802,$A$2:$A$5001,"&lt;="&amp;A1802),"PR",""))</f>
        <v/>
      </c>
    </row>
    <row r="1803">
      <c r="A1803" s="7" t="n"/>
      <c r="H1803" s="11">
        <f>IF(OR(D1803="",E1803=""),"",D1803*E1803)</f>
        <v/>
      </c>
      <c r="I1803" s="8">
        <f>IF(OR(D1803="",E1803=""),"",E1803*(1+D1803/30))</f>
        <v/>
      </c>
      <c r="J1803">
        <f>IF(I1803="","",IF(I1803&gt;=MAXIFS($I$2:$I$5001,$B$2:$B$5001,B1803,$A$2:$A$5001,"&lt;="&amp;A1803),"PR",""))</f>
        <v/>
      </c>
    </row>
    <row r="1804">
      <c r="A1804" s="7" t="n"/>
      <c r="H1804" s="11">
        <f>IF(OR(D1804="",E1804=""),"",D1804*E1804)</f>
        <v/>
      </c>
      <c r="I1804" s="8">
        <f>IF(OR(D1804="",E1804=""),"",E1804*(1+D1804/30))</f>
        <v/>
      </c>
      <c r="J1804">
        <f>IF(I1804="","",IF(I1804&gt;=MAXIFS($I$2:$I$5001,$B$2:$B$5001,B1804,$A$2:$A$5001,"&lt;="&amp;A1804),"PR",""))</f>
        <v/>
      </c>
    </row>
    <row r="1805">
      <c r="A1805" s="7" t="n"/>
      <c r="H1805" s="11">
        <f>IF(OR(D1805="",E1805=""),"",D1805*E1805)</f>
        <v/>
      </c>
      <c r="I1805" s="8">
        <f>IF(OR(D1805="",E1805=""),"",E1805*(1+D1805/30))</f>
        <v/>
      </c>
      <c r="J1805">
        <f>IF(I1805="","",IF(I1805&gt;=MAXIFS($I$2:$I$5001,$B$2:$B$5001,B1805,$A$2:$A$5001,"&lt;="&amp;A1805),"PR",""))</f>
        <v/>
      </c>
    </row>
    <row r="1806">
      <c r="A1806" s="7" t="n"/>
      <c r="H1806" s="11">
        <f>IF(OR(D1806="",E1806=""),"",D1806*E1806)</f>
        <v/>
      </c>
      <c r="I1806" s="8">
        <f>IF(OR(D1806="",E1806=""),"",E1806*(1+D1806/30))</f>
        <v/>
      </c>
      <c r="J1806">
        <f>IF(I1806="","",IF(I1806&gt;=MAXIFS($I$2:$I$5001,$B$2:$B$5001,B1806,$A$2:$A$5001,"&lt;="&amp;A1806),"PR",""))</f>
        <v/>
      </c>
    </row>
    <row r="1807">
      <c r="A1807" s="7" t="n"/>
      <c r="H1807" s="11">
        <f>IF(OR(D1807="",E1807=""),"",D1807*E1807)</f>
        <v/>
      </c>
      <c r="I1807" s="8">
        <f>IF(OR(D1807="",E1807=""),"",E1807*(1+D1807/30))</f>
        <v/>
      </c>
      <c r="J1807">
        <f>IF(I1807="","",IF(I1807&gt;=MAXIFS($I$2:$I$5001,$B$2:$B$5001,B1807,$A$2:$A$5001,"&lt;="&amp;A1807),"PR",""))</f>
        <v/>
      </c>
    </row>
    <row r="1808">
      <c r="A1808" s="7" t="n"/>
      <c r="H1808" s="11">
        <f>IF(OR(D1808="",E1808=""),"",D1808*E1808)</f>
        <v/>
      </c>
      <c r="I1808" s="8">
        <f>IF(OR(D1808="",E1808=""),"",E1808*(1+D1808/30))</f>
        <v/>
      </c>
      <c r="J1808">
        <f>IF(I1808="","",IF(I1808&gt;=MAXIFS($I$2:$I$5001,$B$2:$B$5001,B1808,$A$2:$A$5001,"&lt;="&amp;A1808),"PR",""))</f>
        <v/>
      </c>
    </row>
    <row r="1809">
      <c r="A1809" s="7" t="n"/>
      <c r="H1809" s="11">
        <f>IF(OR(D1809="",E1809=""),"",D1809*E1809)</f>
        <v/>
      </c>
      <c r="I1809" s="8">
        <f>IF(OR(D1809="",E1809=""),"",E1809*(1+D1809/30))</f>
        <v/>
      </c>
      <c r="J1809">
        <f>IF(I1809="","",IF(I1809&gt;=MAXIFS($I$2:$I$5001,$B$2:$B$5001,B1809,$A$2:$A$5001,"&lt;="&amp;A1809),"PR",""))</f>
        <v/>
      </c>
    </row>
    <row r="1810">
      <c r="A1810" s="7" t="n"/>
      <c r="H1810" s="11">
        <f>IF(OR(D1810="",E1810=""),"",D1810*E1810)</f>
        <v/>
      </c>
      <c r="I1810" s="8">
        <f>IF(OR(D1810="",E1810=""),"",E1810*(1+D1810/30))</f>
        <v/>
      </c>
      <c r="J1810">
        <f>IF(I1810="","",IF(I1810&gt;=MAXIFS($I$2:$I$5001,$B$2:$B$5001,B1810,$A$2:$A$5001,"&lt;="&amp;A1810),"PR",""))</f>
        <v/>
      </c>
    </row>
    <row r="1811">
      <c r="A1811" s="7" t="n"/>
      <c r="H1811" s="11">
        <f>IF(OR(D1811="",E1811=""),"",D1811*E1811)</f>
        <v/>
      </c>
      <c r="I1811" s="8">
        <f>IF(OR(D1811="",E1811=""),"",E1811*(1+D1811/30))</f>
        <v/>
      </c>
      <c r="J1811">
        <f>IF(I1811="","",IF(I1811&gt;=MAXIFS($I$2:$I$5001,$B$2:$B$5001,B1811,$A$2:$A$5001,"&lt;="&amp;A1811),"PR",""))</f>
        <v/>
      </c>
    </row>
    <row r="1812">
      <c r="A1812" s="7" t="n"/>
      <c r="H1812" s="11">
        <f>IF(OR(D1812="",E1812=""),"",D1812*E1812)</f>
        <v/>
      </c>
      <c r="I1812" s="8">
        <f>IF(OR(D1812="",E1812=""),"",E1812*(1+D1812/30))</f>
        <v/>
      </c>
      <c r="J1812">
        <f>IF(I1812="","",IF(I1812&gt;=MAXIFS($I$2:$I$5001,$B$2:$B$5001,B1812,$A$2:$A$5001,"&lt;="&amp;A1812),"PR",""))</f>
        <v/>
      </c>
    </row>
    <row r="1813">
      <c r="A1813" s="7" t="n"/>
      <c r="H1813" s="11">
        <f>IF(OR(D1813="",E1813=""),"",D1813*E1813)</f>
        <v/>
      </c>
      <c r="I1813" s="8">
        <f>IF(OR(D1813="",E1813=""),"",E1813*(1+D1813/30))</f>
        <v/>
      </c>
      <c r="J1813">
        <f>IF(I1813="","",IF(I1813&gt;=MAXIFS($I$2:$I$5001,$B$2:$B$5001,B1813,$A$2:$A$5001,"&lt;="&amp;A1813),"PR",""))</f>
        <v/>
      </c>
    </row>
    <row r="1814">
      <c r="A1814" s="7" t="n"/>
      <c r="H1814" s="11">
        <f>IF(OR(D1814="",E1814=""),"",D1814*E1814)</f>
        <v/>
      </c>
      <c r="I1814" s="8">
        <f>IF(OR(D1814="",E1814=""),"",E1814*(1+D1814/30))</f>
        <v/>
      </c>
      <c r="J1814">
        <f>IF(I1814="","",IF(I1814&gt;=MAXIFS($I$2:$I$5001,$B$2:$B$5001,B1814,$A$2:$A$5001,"&lt;="&amp;A1814),"PR",""))</f>
        <v/>
      </c>
    </row>
    <row r="1815">
      <c r="A1815" s="7" t="n"/>
      <c r="H1815" s="11">
        <f>IF(OR(D1815="",E1815=""),"",D1815*E1815)</f>
        <v/>
      </c>
      <c r="I1815" s="8">
        <f>IF(OR(D1815="",E1815=""),"",E1815*(1+D1815/30))</f>
        <v/>
      </c>
      <c r="J1815">
        <f>IF(I1815="","",IF(I1815&gt;=MAXIFS($I$2:$I$5001,$B$2:$B$5001,B1815,$A$2:$A$5001,"&lt;="&amp;A1815),"PR",""))</f>
        <v/>
      </c>
    </row>
    <row r="1816">
      <c r="A1816" s="7" t="n"/>
      <c r="H1816" s="11">
        <f>IF(OR(D1816="",E1816=""),"",D1816*E1816)</f>
        <v/>
      </c>
      <c r="I1816" s="8">
        <f>IF(OR(D1816="",E1816=""),"",E1816*(1+D1816/30))</f>
        <v/>
      </c>
      <c r="J1816">
        <f>IF(I1816="","",IF(I1816&gt;=MAXIFS($I$2:$I$5001,$B$2:$B$5001,B1816,$A$2:$A$5001,"&lt;="&amp;A1816),"PR",""))</f>
        <v/>
      </c>
    </row>
    <row r="1817">
      <c r="A1817" s="7" t="n"/>
      <c r="H1817" s="11">
        <f>IF(OR(D1817="",E1817=""),"",D1817*E1817)</f>
        <v/>
      </c>
      <c r="I1817" s="8">
        <f>IF(OR(D1817="",E1817=""),"",E1817*(1+D1817/30))</f>
        <v/>
      </c>
      <c r="J1817">
        <f>IF(I1817="","",IF(I1817&gt;=MAXIFS($I$2:$I$5001,$B$2:$B$5001,B1817,$A$2:$A$5001,"&lt;="&amp;A1817),"PR",""))</f>
        <v/>
      </c>
    </row>
    <row r="1818">
      <c r="A1818" s="7" t="n"/>
      <c r="H1818" s="11">
        <f>IF(OR(D1818="",E1818=""),"",D1818*E1818)</f>
        <v/>
      </c>
      <c r="I1818" s="8">
        <f>IF(OR(D1818="",E1818=""),"",E1818*(1+D1818/30))</f>
        <v/>
      </c>
      <c r="J1818">
        <f>IF(I1818="","",IF(I1818&gt;=MAXIFS($I$2:$I$5001,$B$2:$B$5001,B1818,$A$2:$A$5001,"&lt;="&amp;A1818),"PR",""))</f>
        <v/>
      </c>
    </row>
    <row r="1819">
      <c r="A1819" s="7" t="n"/>
      <c r="H1819" s="11">
        <f>IF(OR(D1819="",E1819=""),"",D1819*E1819)</f>
        <v/>
      </c>
      <c r="I1819" s="8">
        <f>IF(OR(D1819="",E1819=""),"",E1819*(1+D1819/30))</f>
        <v/>
      </c>
      <c r="J1819">
        <f>IF(I1819="","",IF(I1819&gt;=MAXIFS($I$2:$I$5001,$B$2:$B$5001,B1819,$A$2:$A$5001,"&lt;="&amp;A1819),"PR",""))</f>
        <v/>
      </c>
    </row>
    <row r="1820">
      <c r="A1820" s="7" t="n"/>
      <c r="H1820" s="11">
        <f>IF(OR(D1820="",E1820=""),"",D1820*E1820)</f>
        <v/>
      </c>
      <c r="I1820" s="8">
        <f>IF(OR(D1820="",E1820=""),"",E1820*(1+D1820/30))</f>
        <v/>
      </c>
      <c r="J1820">
        <f>IF(I1820="","",IF(I1820&gt;=MAXIFS($I$2:$I$5001,$B$2:$B$5001,B1820,$A$2:$A$5001,"&lt;="&amp;A1820),"PR",""))</f>
        <v/>
      </c>
    </row>
    <row r="1821">
      <c r="A1821" s="7" t="n"/>
      <c r="H1821" s="11">
        <f>IF(OR(D1821="",E1821=""),"",D1821*E1821)</f>
        <v/>
      </c>
      <c r="I1821" s="8">
        <f>IF(OR(D1821="",E1821=""),"",E1821*(1+D1821/30))</f>
        <v/>
      </c>
      <c r="J1821">
        <f>IF(I1821="","",IF(I1821&gt;=MAXIFS($I$2:$I$5001,$B$2:$B$5001,B1821,$A$2:$A$5001,"&lt;="&amp;A1821),"PR",""))</f>
        <v/>
      </c>
    </row>
    <row r="1822">
      <c r="A1822" s="7" t="n"/>
      <c r="H1822" s="11">
        <f>IF(OR(D1822="",E1822=""),"",D1822*E1822)</f>
        <v/>
      </c>
      <c r="I1822" s="8">
        <f>IF(OR(D1822="",E1822=""),"",E1822*(1+D1822/30))</f>
        <v/>
      </c>
      <c r="J1822">
        <f>IF(I1822="","",IF(I1822&gt;=MAXIFS($I$2:$I$5001,$B$2:$B$5001,B1822,$A$2:$A$5001,"&lt;="&amp;A1822),"PR",""))</f>
        <v/>
      </c>
    </row>
    <row r="1823">
      <c r="A1823" s="7" t="n"/>
      <c r="H1823" s="11">
        <f>IF(OR(D1823="",E1823=""),"",D1823*E1823)</f>
        <v/>
      </c>
      <c r="I1823" s="8">
        <f>IF(OR(D1823="",E1823=""),"",E1823*(1+D1823/30))</f>
        <v/>
      </c>
      <c r="J1823">
        <f>IF(I1823="","",IF(I1823&gt;=MAXIFS($I$2:$I$5001,$B$2:$B$5001,B1823,$A$2:$A$5001,"&lt;="&amp;A1823),"PR",""))</f>
        <v/>
      </c>
    </row>
    <row r="1824">
      <c r="A1824" s="7" t="n"/>
      <c r="H1824" s="11">
        <f>IF(OR(D1824="",E1824=""),"",D1824*E1824)</f>
        <v/>
      </c>
      <c r="I1824" s="8">
        <f>IF(OR(D1824="",E1824=""),"",E1824*(1+D1824/30))</f>
        <v/>
      </c>
      <c r="J1824">
        <f>IF(I1824="","",IF(I1824&gt;=MAXIFS($I$2:$I$5001,$B$2:$B$5001,B1824,$A$2:$A$5001,"&lt;="&amp;A1824),"PR",""))</f>
        <v/>
      </c>
    </row>
    <row r="1825">
      <c r="A1825" s="7" t="n"/>
      <c r="H1825" s="11">
        <f>IF(OR(D1825="",E1825=""),"",D1825*E1825)</f>
        <v/>
      </c>
      <c r="I1825" s="8">
        <f>IF(OR(D1825="",E1825=""),"",E1825*(1+D1825/30))</f>
        <v/>
      </c>
      <c r="J1825">
        <f>IF(I1825="","",IF(I1825&gt;=MAXIFS($I$2:$I$5001,$B$2:$B$5001,B1825,$A$2:$A$5001,"&lt;="&amp;A1825),"PR",""))</f>
        <v/>
      </c>
    </row>
    <row r="1826">
      <c r="A1826" s="7" t="n"/>
      <c r="H1826" s="11">
        <f>IF(OR(D1826="",E1826=""),"",D1826*E1826)</f>
        <v/>
      </c>
      <c r="I1826" s="8">
        <f>IF(OR(D1826="",E1826=""),"",E1826*(1+D1826/30))</f>
        <v/>
      </c>
      <c r="J1826">
        <f>IF(I1826="","",IF(I1826&gt;=MAXIFS($I$2:$I$5001,$B$2:$B$5001,B1826,$A$2:$A$5001,"&lt;="&amp;A1826),"PR",""))</f>
        <v/>
      </c>
    </row>
    <row r="1827">
      <c r="A1827" s="7" t="n"/>
      <c r="H1827" s="11">
        <f>IF(OR(D1827="",E1827=""),"",D1827*E1827)</f>
        <v/>
      </c>
      <c r="I1827" s="8">
        <f>IF(OR(D1827="",E1827=""),"",E1827*(1+D1827/30))</f>
        <v/>
      </c>
      <c r="J1827">
        <f>IF(I1827="","",IF(I1827&gt;=MAXIFS($I$2:$I$5001,$B$2:$B$5001,B1827,$A$2:$A$5001,"&lt;="&amp;A1827),"PR",""))</f>
        <v/>
      </c>
    </row>
    <row r="1828">
      <c r="A1828" s="7" t="n"/>
      <c r="H1828" s="11">
        <f>IF(OR(D1828="",E1828=""),"",D1828*E1828)</f>
        <v/>
      </c>
      <c r="I1828" s="8">
        <f>IF(OR(D1828="",E1828=""),"",E1828*(1+D1828/30))</f>
        <v/>
      </c>
      <c r="J1828">
        <f>IF(I1828="","",IF(I1828&gt;=MAXIFS($I$2:$I$5001,$B$2:$B$5001,B1828,$A$2:$A$5001,"&lt;="&amp;A1828),"PR",""))</f>
        <v/>
      </c>
    </row>
    <row r="1829">
      <c r="A1829" s="7" t="n"/>
      <c r="H1829" s="11">
        <f>IF(OR(D1829="",E1829=""),"",D1829*E1829)</f>
        <v/>
      </c>
      <c r="I1829" s="8">
        <f>IF(OR(D1829="",E1829=""),"",E1829*(1+D1829/30))</f>
        <v/>
      </c>
      <c r="J1829">
        <f>IF(I1829="","",IF(I1829&gt;=MAXIFS($I$2:$I$5001,$B$2:$B$5001,B1829,$A$2:$A$5001,"&lt;="&amp;A1829),"PR",""))</f>
        <v/>
      </c>
    </row>
    <row r="1830">
      <c r="A1830" s="7" t="n"/>
      <c r="H1830" s="11">
        <f>IF(OR(D1830="",E1830=""),"",D1830*E1830)</f>
        <v/>
      </c>
      <c r="I1830" s="8">
        <f>IF(OR(D1830="",E1830=""),"",E1830*(1+D1830/30))</f>
        <v/>
      </c>
      <c r="J1830">
        <f>IF(I1830="","",IF(I1830&gt;=MAXIFS($I$2:$I$5001,$B$2:$B$5001,B1830,$A$2:$A$5001,"&lt;="&amp;A1830),"PR",""))</f>
        <v/>
      </c>
    </row>
    <row r="1831">
      <c r="A1831" s="7" t="n"/>
      <c r="H1831" s="11">
        <f>IF(OR(D1831="",E1831=""),"",D1831*E1831)</f>
        <v/>
      </c>
      <c r="I1831" s="8">
        <f>IF(OR(D1831="",E1831=""),"",E1831*(1+D1831/30))</f>
        <v/>
      </c>
      <c r="J1831">
        <f>IF(I1831="","",IF(I1831&gt;=MAXIFS($I$2:$I$5001,$B$2:$B$5001,B1831,$A$2:$A$5001,"&lt;="&amp;A1831),"PR",""))</f>
        <v/>
      </c>
    </row>
    <row r="1832">
      <c r="A1832" s="7" t="n"/>
      <c r="H1832" s="11">
        <f>IF(OR(D1832="",E1832=""),"",D1832*E1832)</f>
        <v/>
      </c>
      <c r="I1832" s="8">
        <f>IF(OR(D1832="",E1832=""),"",E1832*(1+D1832/30))</f>
        <v/>
      </c>
      <c r="J1832">
        <f>IF(I1832="","",IF(I1832&gt;=MAXIFS($I$2:$I$5001,$B$2:$B$5001,B1832,$A$2:$A$5001,"&lt;="&amp;A1832),"PR",""))</f>
        <v/>
      </c>
    </row>
    <row r="1833">
      <c r="A1833" s="7" t="n"/>
      <c r="H1833" s="11">
        <f>IF(OR(D1833="",E1833=""),"",D1833*E1833)</f>
        <v/>
      </c>
      <c r="I1833" s="8">
        <f>IF(OR(D1833="",E1833=""),"",E1833*(1+D1833/30))</f>
        <v/>
      </c>
      <c r="J1833">
        <f>IF(I1833="","",IF(I1833&gt;=MAXIFS($I$2:$I$5001,$B$2:$B$5001,B1833,$A$2:$A$5001,"&lt;="&amp;A1833),"PR",""))</f>
        <v/>
      </c>
    </row>
    <row r="1834">
      <c r="A1834" s="7" t="n"/>
      <c r="H1834" s="11">
        <f>IF(OR(D1834="",E1834=""),"",D1834*E1834)</f>
        <v/>
      </c>
      <c r="I1834" s="8">
        <f>IF(OR(D1834="",E1834=""),"",E1834*(1+D1834/30))</f>
        <v/>
      </c>
      <c r="J1834">
        <f>IF(I1834="","",IF(I1834&gt;=MAXIFS($I$2:$I$5001,$B$2:$B$5001,B1834,$A$2:$A$5001,"&lt;="&amp;A1834),"PR",""))</f>
        <v/>
      </c>
    </row>
    <row r="1835">
      <c r="A1835" s="7" t="n"/>
      <c r="H1835" s="11">
        <f>IF(OR(D1835="",E1835=""),"",D1835*E1835)</f>
        <v/>
      </c>
      <c r="I1835" s="8">
        <f>IF(OR(D1835="",E1835=""),"",E1835*(1+D1835/30))</f>
        <v/>
      </c>
      <c r="J1835">
        <f>IF(I1835="","",IF(I1835&gt;=MAXIFS($I$2:$I$5001,$B$2:$B$5001,B1835,$A$2:$A$5001,"&lt;="&amp;A1835),"PR",""))</f>
        <v/>
      </c>
    </row>
    <row r="1836">
      <c r="A1836" s="7" t="n"/>
      <c r="H1836" s="11">
        <f>IF(OR(D1836="",E1836=""),"",D1836*E1836)</f>
        <v/>
      </c>
      <c r="I1836" s="8">
        <f>IF(OR(D1836="",E1836=""),"",E1836*(1+D1836/30))</f>
        <v/>
      </c>
      <c r="J1836">
        <f>IF(I1836="","",IF(I1836&gt;=MAXIFS($I$2:$I$5001,$B$2:$B$5001,B1836,$A$2:$A$5001,"&lt;="&amp;A1836),"PR",""))</f>
        <v/>
      </c>
    </row>
    <row r="1837">
      <c r="A1837" s="7" t="n"/>
      <c r="H1837" s="11">
        <f>IF(OR(D1837="",E1837=""),"",D1837*E1837)</f>
        <v/>
      </c>
      <c r="I1837" s="8">
        <f>IF(OR(D1837="",E1837=""),"",E1837*(1+D1837/30))</f>
        <v/>
      </c>
      <c r="J1837">
        <f>IF(I1837="","",IF(I1837&gt;=MAXIFS($I$2:$I$5001,$B$2:$B$5001,B1837,$A$2:$A$5001,"&lt;="&amp;A1837),"PR",""))</f>
        <v/>
      </c>
    </row>
    <row r="1838">
      <c r="A1838" s="7" t="n"/>
      <c r="H1838" s="11">
        <f>IF(OR(D1838="",E1838=""),"",D1838*E1838)</f>
        <v/>
      </c>
      <c r="I1838" s="8">
        <f>IF(OR(D1838="",E1838=""),"",E1838*(1+D1838/30))</f>
        <v/>
      </c>
      <c r="J1838">
        <f>IF(I1838="","",IF(I1838&gt;=MAXIFS($I$2:$I$5001,$B$2:$B$5001,B1838,$A$2:$A$5001,"&lt;="&amp;A1838),"PR",""))</f>
        <v/>
      </c>
    </row>
    <row r="1839">
      <c r="A1839" s="7" t="n"/>
      <c r="H1839" s="11">
        <f>IF(OR(D1839="",E1839=""),"",D1839*E1839)</f>
        <v/>
      </c>
      <c r="I1839" s="8">
        <f>IF(OR(D1839="",E1839=""),"",E1839*(1+D1839/30))</f>
        <v/>
      </c>
      <c r="J1839">
        <f>IF(I1839="","",IF(I1839&gt;=MAXIFS($I$2:$I$5001,$B$2:$B$5001,B1839,$A$2:$A$5001,"&lt;="&amp;A1839),"PR",""))</f>
        <v/>
      </c>
    </row>
    <row r="1840">
      <c r="A1840" s="7" t="n"/>
      <c r="H1840" s="11">
        <f>IF(OR(D1840="",E1840=""),"",D1840*E1840)</f>
        <v/>
      </c>
      <c r="I1840" s="8">
        <f>IF(OR(D1840="",E1840=""),"",E1840*(1+D1840/30))</f>
        <v/>
      </c>
      <c r="J1840">
        <f>IF(I1840="","",IF(I1840&gt;=MAXIFS($I$2:$I$5001,$B$2:$B$5001,B1840,$A$2:$A$5001,"&lt;="&amp;A1840),"PR",""))</f>
        <v/>
      </c>
    </row>
    <row r="1841">
      <c r="A1841" s="7" t="n"/>
      <c r="H1841" s="11">
        <f>IF(OR(D1841="",E1841=""),"",D1841*E1841)</f>
        <v/>
      </c>
      <c r="I1841" s="8">
        <f>IF(OR(D1841="",E1841=""),"",E1841*(1+D1841/30))</f>
        <v/>
      </c>
      <c r="J1841">
        <f>IF(I1841="","",IF(I1841&gt;=MAXIFS($I$2:$I$5001,$B$2:$B$5001,B1841,$A$2:$A$5001,"&lt;="&amp;A1841),"PR",""))</f>
        <v/>
      </c>
    </row>
    <row r="1842">
      <c r="A1842" s="7" t="n"/>
      <c r="H1842" s="11">
        <f>IF(OR(D1842="",E1842=""),"",D1842*E1842)</f>
        <v/>
      </c>
      <c r="I1842" s="8">
        <f>IF(OR(D1842="",E1842=""),"",E1842*(1+D1842/30))</f>
        <v/>
      </c>
      <c r="J1842">
        <f>IF(I1842="","",IF(I1842&gt;=MAXIFS($I$2:$I$5001,$B$2:$B$5001,B1842,$A$2:$A$5001,"&lt;="&amp;A1842),"PR",""))</f>
        <v/>
      </c>
    </row>
    <row r="1843">
      <c r="A1843" s="7" t="n"/>
      <c r="H1843" s="11">
        <f>IF(OR(D1843="",E1843=""),"",D1843*E1843)</f>
        <v/>
      </c>
      <c r="I1843" s="8">
        <f>IF(OR(D1843="",E1843=""),"",E1843*(1+D1843/30))</f>
        <v/>
      </c>
      <c r="J1843">
        <f>IF(I1843="","",IF(I1843&gt;=MAXIFS($I$2:$I$5001,$B$2:$B$5001,B1843,$A$2:$A$5001,"&lt;="&amp;A1843),"PR",""))</f>
        <v/>
      </c>
    </row>
    <row r="1844">
      <c r="A1844" s="7" t="n"/>
      <c r="H1844" s="11">
        <f>IF(OR(D1844="",E1844=""),"",D1844*E1844)</f>
        <v/>
      </c>
      <c r="I1844" s="8">
        <f>IF(OR(D1844="",E1844=""),"",E1844*(1+D1844/30))</f>
        <v/>
      </c>
      <c r="J1844">
        <f>IF(I1844="","",IF(I1844&gt;=MAXIFS($I$2:$I$5001,$B$2:$B$5001,B1844,$A$2:$A$5001,"&lt;="&amp;A1844),"PR",""))</f>
        <v/>
      </c>
    </row>
    <row r="1845">
      <c r="A1845" s="7" t="n"/>
      <c r="H1845" s="11">
        <f>IF(OR(D1845="",E1845=""),"",D1845*E1845)</f>
        <v/>
      </c>
      <c r="I1845" s="8">
        <f>IF(OR(D1845="",E1845=""),"",E1845*(1+D1845/30))</f>
        <v/>
      </c>
      <c r="J1845">
        <f>IF(I1845="","",IF(I1845&gt;=MAXIFS($I$2:$I$5001,$B$2:$B$5001,B1845,$A$2:$A$5001,"&lt;="&amp;A1845),"PR",""))</f>
        <v/>
      </c>
    </row>
    <row r="1846">
      <c r="A1846" s="7" t="n"/>
      <c r="H1846" s="11">
        <f>IF(OR(D1846="",E1846=""),"",D1846*E1846)</f>
        <v/>
      </c>
      <c r="I1846" s="8">
        <f>IF(OR(D1846="",E1846=""),"",E1846*(1+D1846/30))</f>
        <v/>
      </c>
      <c r="J1846">
        <f>IF(I1846="","",IF(I1846&gt;=MAXIFS($I$2:$I$5001,$B$2:$B$5001,B1846,$A$2:$A$5001,"&lt;="&amp;A1846),"PR",""))</f>
        <v/>
      </c>
    </row>
    <row r="1847">
      <c r="A1847" s="7" t="n"/>
      <c r="H1847" s="11">
        <f>IF(OR(D1847="",E1847=""),"",D1847*E1847)</f>
        <v/>
      </c>
      <c r="I1847" s="8">
        <f>IF(OR(D1847="",E1847=""),"",E1847*(1+D1847/30))</f>
        <v/>
      </c>
      <c r="J1847">
        <f>IF(I1847="","",IF(I1847&gt;=MAXIFS($I$2:$I$5001,$B$2:$B$5001,B1847,$A$2:$A$5001,"&lt;="&amp;A1847),"PR",""))</f>
        <v/>
      </c>
    </row>
    <row r="1848">
      <c r="A1848" s="7" t="n"/>
      <c r="H1848" s="11">
        <f>IF(OR(D1848="",E1848=""),"",D1848*E1848)</f>
        <v/>
      </c>
      <c r="I1848" s="8">
        <f>IF(OR(D1848="",E1848=""),"",E1848*(1+D1848/30))</f>
        <v/>
      </c>
      <c r="J1848">
        <f>IF(I1848="","",IF(I1848&gt;=MAXIFS($I$2:$I$5001,$B$2:$B$5001,B1848,$A$2:$A$5001,"&lt;="&amp;A1848),"PR",""))</f>
        <v/>
      </c>
    </row>
    <row r="1849">
      <c r="A1849" s="7" t="n"/>
      <c r="H1849" s="11">
        <f>IF(OR(D1849="",E1849=""),"",D1849*E1849)</f>
        <v/>
      </c>
      <c r="I1849" s="8">
        <f>IF(OR(D1849="",E1849=""),"",E1849*(1+D1849/30))</f>
        <v/>
      </c>
      <c r="J1849">
        <f>IF(I1849="","",IF(I1849&gt;=MAXIFS($I$2:$I$5001,$B$2:$B$5001,B1849,$A$2:$A$5001,"&lt;="&amp;A1849),"PR",""))</f>
        <v/>
      </c>
    </row>
    <row r="1850">
      <c r="A1850" s="7" t="n"/>
      <c r="H1850" s="11">
        <f>IF(OR(D1850="",E1850=""),"",D1850*E1850)</f>
        <v/>
      </c>
      <c r="I1850" s="8">
        <f>IF(OR(D1850="",E1850=""),"",E1850*(1+D1850/30))</f>
        <v/>
      </c>
      <c r="J1850">
        <f>IF(I1850="","",IF(I1850&gt;=MAXIFS($I$2:$I$5001,$B$2:$B$5001,B1850,$A$2:$A$5001,"&lt;="&amp;A1850),"PR",""))</f>
        <v/>
      </c>
    </row>
    <row r="1851">
      <c r="A1851" s="7" t="n"/>
      <c r="H1851" s="11">
        <f>IF(OR(D1851="",E1851=""),"",D1851*E1851)</f>
        <v/>
      </c>
      <c r="I1851" s="8">
        <f>IF(OR(D1851="",E1851=""),"",E1851*(1+D1851/30))</f>
        <v/>
      </c>
      <c r="J1851">
        <f>IF(I1851="","",IF(I1851&gt;=MAXIFS($I$2:$I$5001,$B$2:$B$5001,B1851,$A$2:$A$5001,"&lt;="&amp;A1851),"PR",""))</f>
        <v/>
      </c>
    </row>
    <row r="1852">
      <c r="A1852" s="7" t="n"/>
      <c r="H1852" s="11">
        <f>IF(OR(D1852="",E1852=""),"",D1852*E1852)</f>
        <v/>
      </c>
      <c r="I1852" s="8">
        <f>IF(OR(D1852="",E1852=""),"",E1852*(1+D1852/30))</f>
        <v/>
      </c>
      <c r="J1852">
        <f>IF(I1852="","",IF(I1852&gt;=MAXIFS($I$2:$I$5001,$B$2:$B$5001,B1852,$A$2:$A$5001,"&lt;="&amp;A1852),"PR",""))</f>
        <v/>
      </c>
    </row>
    <row r="1853">
      <c r="A1853" s="7" t="n"/>
      <c r="H1853" s="11">
        <f>IF(OR(D1853="",E1853=""),"",D1853*E1853)</f>
        <v/>
      </c>
      <c r="I1853" s="8">
        <f>IF(OR(D1853="",E1853=""),"",E1853*(1+D1853/30))</f>
        <v/>
      </c>
      <c r="J1853">
        <f>IF(I1853="","",IF(I1853&gt;=MAXIFS($I$2:$I$5001,$B$2:$B$5001,B1853,$A$2:$A$5001,"&lt;="&amp;A1853),"PR",""))</f>
        <v/>
      </c>
    </row>
    <row r="1854">
      <c r="A1854" s="7" t="n"/>
      <c r="H1854" s="11">
        <f>IF(OR(D1854="",E1854=""),"",D1854*E1854)</f>
        <v/>
      </c>
      <c r="I1854" s="8">
        <f>IF(OR(D1854="",E1854=""),"",E1854*(1+D1854/30))</f>
        <v/>
      </c>
      <c r="J1854">
        <f>IF(I1854="","",IF(I1854&gt;=MAXIFS($I$2:$I$5001,$B$2:$B$5001,B1854,$A$2:$A$5001,"&lt;="&amp;A1854),"PR",""))</f>
        <v/>
      </c>
    </row>
    <row r="1855">
      <c r="A1855" s="7" t="n"/>
      <c r="H1855" s="11">
        <f>IF(OR(D1855="",E1855=""),"",D1855*E1855)</f>
        <v/>
      </c>
      <c r="I1855" s="8">
        <f>IF(OR(D1855="",E1855=""),"",E1855*(1+D1855/30))</f>
        <v/>
      </c>
      <c r="J1855">
        <f>IF(I1855="","",IF(I1855&gt;=MAXIFS($I$2:$I$5001,$B$2:$B$5001,B1855,$A$2:$A$5001,"&lt;="&amp;A1855),"PR",""))</f>
        <v/>
      </c>
    </row>
    <row r="1856">
      <c r="A1856" s="7" t="n"/>
      <c r="H1856" s="11">
        <f>IF(OR(D1856="",E1856=""),"",D1856*E1856)</f>
        <v/>
      </c>
      <c r="I1856" s="8">
        <f>IF(OR(D1856="",E1856=""),"",E1856*(1+D1856/30))</f>
        <v/>
      </c>
      <c r="J1856">
        <f>IF(I1856="","",IF(I1856&gt;=MAXIFS($I$2:$I$5001,$B$2:$B$5001,B1856,$A$2:$A$5001,"&lt;="&amp;A1856),"PR",""))</f>
        <v/>
      </c>
    </row>
    <row r="1857">
      <c r="A1857" s="7" t="n"/>
      <c r="H1857" s="11">
        <f>IF(OR(D1857="",E1857=""),"",D1857*E1857)</f>
        <v/>
      </c>
      <c r="I1857" s="8">
        <f>IF(OR(D1857="",E1857=""),"",E1857*(1+D1857/30))</f>
        <v/>
      </c>
      <c r="J1857">
        <f>IF(I1857="","",IF(I1857&gt;=MAXIFS($I$2:$I$5001,$B$2:$B$5001,B1857,$A$2:$A$5001,"&lt;="&amp;A1857),"PR",""))</f>
        <v/>
      </c>
    </row>
    <row r="1858">
      <c r="A1858" s="7" t="n"/>
      <c r="H1858" s="11">
        <f>IF(OR(D1858="",E1858=""),"",D1858*E1858)</f>
        <v/>
      </c>
      <c r="I1858" s="8">
        <f>IF(OR(D1858="",E1858=""),"",E1858*(1+D1858/30))</f>
        <v/>
      </c>
      <c r="J1858">
        <f>IF(I1858="","",IF(I1858&gt;=MAXIFS($I$2:$I$5001,$B$2:$B$5001,B1858,$A$2:$A$5001,"&lt;="&amp;A1858),"PR",""))</f>
        <v/>
      </c>
    </row>
    <row r="1859">
      <c r="A1859" s="7" t="n"/>
      <c r="H1859" s="11">
        <f>IF(OR(D1859="",E1859=""),"",D1859*E1859)</f>
        <v/>
      </c>
      <c r="I1859" s="8">
        <f>IF(OR(D1859="",E1859=""),"",E1859*(1+D1859/30))</f>
        <v/>
      </c>
      <c r="J1859">
        <f>IF(I1859="","",IF(I1859&gt;=MAXIFS($I$2:$I$5001,$B$2:$B$5001,B1859,$A$2:$A$5001,"&lt;="&amp;A1859),"PR",""))</f>
        <v/>
      </c>
    </row>
    <row r="1860">
      <c r="A1860" s="7" t="n"/>
      <c r="H1860" s="11">
        <f>IF(OR(D1860="",E1860=""),"",D1860*E1860)</f>
        <v/>
      </c>
      <c r="I1860" s="8">
        <f>IF(OR(D1860="",E1860=""),"",E1860*(1+D1860/30))</f>
        <v/>
      </c>
      <c r="J1860">
        <f>IF(I1860="","",IF(I1860&gt;=MAXIFS($I$2:$I$5001,$B$2:$B$5001,B1860,$A$2:$A$5001,"&lt;="&amp;A1860),"PR",""))</f>
        <v/>
      </c>
    </row>
    <row r="1861">
      <c r="A1861" s="7" t="n"/>
      <c r="H1861" s="11">
        <f>IF(OR(D1861="",E1861=""),"",D1861*E1861)</f>
        <v/>
      </c>
      <c r="I1861" s="8">
        <f>IF(OR(D1861="",E1861=""),"",E1861*(1+D1861/30))</f>
        <v/>
      </c>
      <c r="J1861">
        <f>IF(I1861="","",IF(I1861&gt;=MAXIFS($I$2:$I$5001,$B$2:$B$5001,B1861,$A$2:$A$5001,"&lt;="&amp;A1861),"PR",""))</f>
        <v/>
      </c>
    </row>
    <row r="1862">
      <c r="A1862" s="7" t="n"/>
      <c r="H1862" s="11">
        <f>IF(OR(D1862="",E1862=""),"",D1862*E1862)</f>
        <v/>
      </c>
      <c r="I1862" s="8">
        <f>IF(OR(D1862="",E1862=""),"",E1862*(1+D1862/30))</f>
        <v/>
      </c>
      <c r="J1862">
        <f>IF(I1862="","",IF(I1862&gt;=MAXIFS($I$2:$I$5001,$B$2:$B$5001,B1862,$A$2:$A$5001,"&lt;="&amp;A1862),"PR",""))</f>
        <v/>
      </c>
    </row>
    <row r="1863">
      <c r="A1863" s="7" t="n"/>
      <c r="H1863" s="11">
        <f>IF(OR(D1863="",E1863=""),"",D1863*E1863)</f>
        <v/>
      </c>
      <c r="I1863" s="8">
        <f>IF(OR(D1863="",E1863=""),"",E1863*(1+D1863/30))</f>
        <v/>
      </c>
      <c r="J1863">
        <f>IF(I1863="","",IF(I1863&gt;=MAXIFS($I$2:$I$5001,$B$2:$B$5001,B1863,$A$2:$A$5001,"&lt;="&amp;A1863),"PR",""))</f>
        <v/>
      </c>
    </row>
    <row r="1864">
      <c r="A1864" s="7" t="n"/>
      <c r="H1864" s="11">
        <f>IF(OR(D1864="",E1864=""),"",D1864*E1864)</f>
        <v/>
      </c>
      <c r="I1864" s="8">
        <f>IF(OR(D1864="",E1864=""),"",E1864*(1+D1864/30))</f>
        <v/>
      </c>
      <c r="J1864">
        <f>IF(I1864="","",IF(I1864&gt;=MAXIFS($I$2:$I$5001,$B$2:$B$5001,B1864,$A$2:$A$5001,"&lt;="&amp;A1864),"PR",""))</f>
        <v/>
      </c>
    </row>
    <row r="1865">
      <c r="A1865" s="7" t="n"/>
      <c r="H1865" s="11">
        <f>IF(OR(D1865="",E1865=""),"",D1865*E1865)</f>
        <v/>
      </c>
      <c r="I1865" s="8">
        <f>IF(OR(D1865="",E1865=""),"",E1865*(1+D1865/30))</f>
        <v/>
      </c>
      <c r="J1865">
        <f>IF(I1865="","",IF(I1865&gt;=MAXIFS($I$2:$I$5001,$B$2:$B$5001,B1865,$A$2:$A$5001,"&lt;="&amp;A1865),"PR",""))</f>
        <v/>
      </c>
    </row>
    <row r="1866">
      <c r="A1866" s="7" t="n"/>
      <c r="H1866" s="11">
        <f>IF(OR(D1866="",E1866=""),"",D1866*E1866)</f>
        <v/>
      </c>
      <c r="I1866" s="8">
        <f>IF(OR(D1866="",E1866=""),"",E1866*(1+D1866/30))</f>
        <v/>
      </c>
      <c r="J1866">
        <f>IF(I1866="","",IF(I1866&gt;=MAXIFS($I$2:$I$5001,$B$2:$B$5001,B1866,$A$2:$A$5001,"&lt;="&amp;A1866),"PR",""))</f>
        <v/>
      </c>
    </row>
    <row r="1867">
      <c r="A1867" s="7" t="n"/>
      <c r="H1867" s="11">
        <f>IF(OR(D1867="",E1867=""),"",D1867*E1867)</f>
        <v/>
      </c>
      <c r="I1867" s="8">
        <f>IF(OR(D1867="",E1867=""),"",E1867*(1+D1867/30))</f>
        <v/>
      </c>
      <c r="J1867">
        <f>IF(I1867="","",IF(I1867&gt;=MAXIFS($I$2:$I$5001,$B$2:$B$5001,B1867,$A$2:$A$5001,"&lt;="&amp;A1867),"PR",""))</f>
        <v/>
      </c>
    </row>
    <row r="1868">
      <c r="A1868" s="7" t="n"/>
      <c r="H1868" s="11">
        <f>IF(OR(D1868="",E1868=""),"",D1868*E1868)</f>
        <v/>
      </c>
      <c r="I1868" s="8">
        <f>IF(OR(D1868="",E1868=""),"",E1868*(1+D1868/30))</f>
        <v/>
      </c>
      <c r="J1868">
        <f>IF(I1868="","",IF(I1868&gt;=MAXIFS($I$2:$I$5001,$B$2:$B$5001,B1868,$A$2:$A$5001,"&lt;="&amp;A1868),"PR",""))</f>
        <v/>
      </c>
    </row>
    <row r="1869">
      <c r="A1869" s="7" t="n"/>
      <c r="H1869" s="11">
        <f>IF(OR(D1869="",E1869=""),"",D1869*E1869)</f>
        <v/>
      </c>
      <c r="I1869" s="8">
        <f>IF(OR(D1869="",E1869=""),"",E1869*(1+D1869/30))</f>
        <v/>
      </c>
      <c r="J1869">
        <f>IF(I1869="","",IF(I1869&gt;=MAXIFS($I$2:$I$5001,$B$2:$B$5001,B1869,$A$2:$A$5001,"&lt;="&amp;A1869),"PR",""))</f>
        <v/>
      </c>
    </row>
    <row r="1870">
      <c r="A1870" s="7" t="n"/>
      <c r="H1870" s="11">
        <f>IF(OR(D1870="",E1870=""),"",D1870*E1870)</f>
        <v/>
      </c>
      <c r="I1870" s="8">
        <f>IF(OR(D1870="",E1870=""),"",E1870*(1+D1870/30))</f>
        <v/>
      </c>
      <c r="J1870">
        <f>IF(I1870="","",IF(I1870&gt;=MAXIFS($I$2:$I$5001,$B$2:$B$5001,B1870,$A$2:$A$5001,"&lt;="&amp;A1870),"PR",""))</f>
        <v/>
      </c>
    </row>
    <row r="1871">
      <c r="A1871" s="7" t="n"/>
      <c r="H1871" s="11">
        <f>IF(OR(D1871="",E1871=""),"",D1871*E1871)</f>
        <v/>
      </c>
      <c r="I1871" s="8">
        <f>IF(OR(D1871="",E1871=""),"",E1871*(1+D1871/30))</f>
        <v/>
      </c>
      <c r="J1871">
        <f>IF(I1871="","",IF(I1871&gt;=MAXIFS($I$2:$I$5001,$B$2:$B$5001,B1871,$A$2:$A$5001,"&lt;="&amp;A1871),"PR",""))</f>
        <v/>
      </c>
    </row>
    <row r="1872">
      <c r="A1872" s="7" t="n"/>
      <c r="H1872" s="11">
        <f>IF(OR(D1872="",E1872=""),"",D1872*E1872)</f>
        <v/>
      </c>
      <c r="I1872" s="8">
        <f>IF(OR(D1872="",E1872=""),"",E1872*(1+D1872/30))</f>
        <v/>
      </c>
      <c r="J1872">
        <f>IF(I1872="","",IF(I1872&gt;=MAXIFS($I$2:$I$5001,$B$2:$B$5001,B1872,$A$2:$A$5001,"&lt;="&amp;A1872),"PR",""))</f>
        <v/>
      </c>
    </row>
    <row r="1873">
      <c r="A1873" s="7" t="n"/>
      <c r="H1873" s="11">
        <f>IF(OR(D1873="",E1873=""),"",D1873*E1873)</f>
        <v/>
      </c>
      <c r="I1873" s="8">
        <f>IF(OR(D1873="",E1873=""),"",E1873*(1+D1873/30))</f>
        <v/>
      </c>
      <c r="J1873">
        <f>IF(I1873="","",IF(I1873&gt;=MAXIFS($I$2:$I$5001,$B$2:$B$5001,B1873,$A$2:$A$5001,"&lt;="&amp;A1873),"PR",""))</f>
        <v/>
      </c>
    </row>
    <row r="1874">
      <c r="A1874" s="7" t="n"/>
      <c r="H1874" s="11">
        <f>IF(OR(D1874="",E1874=""),"",D1874*E1874)</f>
        <v/>
      </c>
      <c r="I1874" s="8">
        <f>IF(OR(D1874="",E1874=""),"",E1874*(1+D1874/30))</f>
        <v/>
      </c>
      <c r="J1874">
        <f>IF(I1874="","",IF(I1874&gt;=MAXIFS($I$2:$I$5001,$B$2:$B$5001,B1874,$A$2:$A$5001,"&lt;="&amp;A1874),"PR",""))</f>
        <v/>
      </c>
    </row>
    <row r="1875">
      <c r="A1875" s="7" t="n"/>
      <c r="H1875" s="11">
        <f>IF(OR(D1875="",E1875=""),"",D1875*E1875)</f>
        <v/>
      </c>
      <c r="I1875" s="8">
        <f>IF(OR(D1875="",E1875=""),"",E1875*(1+D1875/30))</f>
        <v/>
      </c>
      <c r="J1875">
        <f>IF(I1875="","",IF(I1875&gt;=MAXIFS($I$2:$I$5001,$B$2:$B$5001,B1875,$A$2:$A$5001,"&lt;="&amp;A1875),"PR",""))</f>
        <v/>
      </c>
    </row>
    <row r="1876">
      <c r="A1876" s="7" t="n"/>
      <c r="H1876" s="11">
        <f>IF(OR(D1876="",E1876=""),"",D1876*E1876)</f>
        <v/>
      </c>
      <c r="I1876" s="8">
        <f>IF(OR(D1876="",E1876=""),"",E1876*(1+D1876/30))</f>
        <v/>
      </c>
      <c r="J1876">
        <f>IF(I1876="","",IF(I1876&gt;=MAXIFS($I$2:$I$5001,$B$2:$B$5001,B1876,$A$2:$A$5001,"&lt;="&amp;A1876),"PR",""))</f>
        <v/>
      </c>
    </row>
    <row r="1877">
      <c r="A1877" s="7" t="n"/>
      <c r="H1877" s="11">
        <f>IF(OR(D1877="",E1877=""),"",D1877*E1877)</f>
        <v/>
      </c>
      <c r="I1877" s="8">
        <f>IF(OR(D1877="",E1877=""),"",E1877*(1+D1877/30))</f>
        <v/>
      </c>
      <c r="J1877">
        <f>IF(I1877="","",IF(I1877&gt;=MAXIFS($I$2:$I$5001,$B$2:$B$5001,B1877,$A$2:$A$5001,"&lt;="&amp;A1877),"PR",""))</f>
        <v/>
      </c>
    </row>
    <row r="1878">
      <c r="A1878" s="7" t="n"/>
      <c r="H1878" s="11">
        <f>IF(OR(D1878="",E1878=""),"",D1878*E1878)</f>
        <v/>
      </c>
      <c r="I1878" s="8">
        <f>IF(OR(D1878="",E1878=""),"",E1878*(1+D1878/30))</f>
        <v/>
      </c>
      <c r="J1878">
        <f>IF(I1878="","",IF(I1878&gt;=MAXIFS($I$2:$I$5001,$B$2:$B$5001,B1878,$A$2:$A$5001,"&lt;="&amp;A1878),"PR",""))</f>
        <v/>
      </c>
    </row>
    <row r="1879">
      <c r="A1879" s="7" t="n"/>
      <c r="H1879" s="11">
        <f>IF(OR(D1879="",E1879=""),"",D1879*E1879)</f>
        <v/>
      </c>
      <c r="I1879" s="8">
        <f>IF(OR(D1879="",E1879=""),"",E1879*(1+D1879/30))</f>
        <v/>
      </c>
      <c r="J1879">
        <f>IF(I1879="","",IF(I1879&gt;=MAXIFS($I$2:$I$5001,$B$2:$B$5001,B1879,$A$2:$A$5001,"&lt;="&amp;A1879),"PR",""))</f>
        <v/>
      </c>
    </row>
    <row r="1880">
      <c r="A1880" s="7" t="n"/>
      <c r="H1880" s="11">
        <f>IF(OR(D1880="",E1880=""),"",D1880*E1880)</f>
        <v/>
      </c>
      <c r="I1880" s="8">
        <f>IF(OR(D1880="",E1880=""),"",E1880*(1+D1880/30))</f>
        <v/>
      </c>
      <c r="J1880">
        <f>IF(I1880="","",IF(I1880&gt;=MAXIFS($I$2:$I$5001,$B$2:$B$5001,B1880,$A$2:$A$5001,"&lt;="&amp;A1880),"PR",""))</f>
        <v/>
      </c>
    </row>
    <row r="1881">
      <c r="A1881" s="7" t="n"/>
      <c r="H1881" s="11">
        <f>IF(OR(D1881="",E1881=""),"",D1881*E1881)</f>
        <v/>
      </c>
      <c r="I1881" s="8">
        <f>IF(OR(D1881="",E1881=""),"",E1881*(1+D1881/30))</f>
        <v/>
      </c>
      <c r="J1881">
        <f>IF(I1881="","",IF(I1881&gt;=MAXIFS($I$2:$I$5001,$B$2:$B$5001,B1881,$A$2:$A$5001,"&lt;="&amp;A1881),"PR",""))</f>
        <v/>
      </c>
    </row>
    <row r="1882">
      <c r="A1882" s="7" t="n"/>
      <c r="H1882" s="11">
        <f>IF(OR(D1882="",E1882=""),"",D1882*E1882)</f>
        <v/>
      </c>
      <c r="I1882" s="8">
        <f>IF(OR(D1882="",E1882=""),"",E1882*(1+D1882/30))</f>
        <v/>
      </c>
      <c r="J1882">
        <f>IF(I1882="","",IF(I1882&gt;=MAXIFS($I$2:$I$5001,$B$2:$B$5001,B1882,$A$2:$A$5001,"&lt;="&amp;A1882),"PR",""))</f>
        <v/>
      </c>
    </row>
    <row r="1883">
      <c r="A1883" s="7" t="n"/>
      <c r="H1883" s="11">
        <f>IF(OR(D1883="",E1883=""),"",D1883*E1883)</f>
        <v/>
      </c>
      <c r="I1883" s="8">
        <f>IF(OR(D1883="",E1883=""),"",E1883*(1+D1883/30))</f>
        <v/>
      </c>
      <c r="J1883">
        <f>IF(I1883="","",IF(I1883&gt;=MAXIFS($I$2:$I$5001,$B$2:$B$5001,B1883,$A$2:$A$5001,"&lt;="&amp;A1883),"PR",""))</f>
        <v/>
      </c>
    </row>
    <row r="1884">
      <c r="A1884" s="7" t="n"/>
      <c r="H1884" s="11">
        <f>IF(OR(D1884="",E1884=""),"",D1884*E1884)</f>
        <v/>
      </c>
      <c r="I1884" s="8">
        <f>IF(OR(D1884="",E1884=""),"",E1884*(1+D1884/30))</f>
        <v/>
      </c>
      <c r="J1884">
        <f>IF(I1884="","",IF(I1884&gt;=MAXIFS($I$2:$I$5001,$B$2:$B$5001,B1884,$A$2:$A$5001,"&lt;="&amp;A1884),"PR",""))</f>
        <v/>
      </c>
    </row>
    <row r="1885">
      <c r="A1885" s="7" t="n"/>
      <c r="H1885" s="11">
        <f>IF(OR(D1885="",E1885=""),"",D1885*E1885)</f>
        <v/>
      </c>
      <c r="I1885" s="8">
        <f>IF(OR(D1885="",E1885=""),"",E1885*(1+D1885/30))</f>
        <v/>
      </c>
      <c r="J1885">
        <f>IF(I1885="","",IF(I1885&gt;=MAXIFS($I$2:$I$5001,$B$2:$B$5001,B1885,$A$2:$A$5001,"&lt;="&amp;A1885),"PR",""))</f>
        <v/>
      </c>
    </row>
    <row r="1886">
      <c r="A1886" s="7" t="n"/>
      <c r="H1886" s="11">
        <f>IF(OR(D1886="",E1886=""),"",D1886*E1886)</f>
        <v/>
      </c>
      <c r="I1886" s="8">
        <f>IF(OR(D1886="",E1886=""),"",E1886*(1+D1886/30))</f>
        <v/>
      </c>
      <c r="J1886">
        <f>IF(I1886="","",IF(I1886&gt;=MAXIFS($I$2:$I$5001,$B$2:$B$5001,B1886,$A$2:$A$5001,"&lt;="&amp;A1886),"PR",""))</f>
        <v/>
      </c>
    </row>
    <row r="1887">
      <c r="A1887" s="7" t="n"/>
      <c r="H1887" s="11">
        <f>IF(OR(D1887="",E1887=""),"",D1887*E1887)</f>
        <v/>
      </c>
      <c r="I1887" s="8">
        <f>IF(OR(D1887="",E1887=""),"",E1887*(1+D1887/30))</f>
        <v/>
      </c>
      <c r="J1887">
        <f>IF(I1887="","",IF(I1887&gt;=MAXIFS($I$2:$I$5001,$B$2:$B$5001,B1887,$A$2:$A$5001,"&lt;="&amp;A1887),"PR",""))</f>
        <v/>
      </c>
    </row>
    <row r="1888">
      <c r="A1888" s="7" t="n"/>
      <c r="H1888" s="11">
        <f>IF(OR(D1888="",E1888=""),"",D1888*E1888)</f>
        <v/>
      </c>
      <c r="I1888" s="8">
        <f>IF(OR(D1888="",E1888=""),"",E1888*(1+D1888/30))</f>
        <v/>
      </c>
      <c r="J1888">
        <f>IF(I1888="","",IF(I1888&gt;=MAXIFS($I$2:$I$5001,$B$2:$B$5001,B1888,$A$2:$A$5001,"&lt;="&amp;A1888),"PR",""))</f>
        <v/>
      </c>
    </row>
    <row r="1889">
      <c r="A1889" s="7" t="n"/>
      <c r="H1889" s="11">
        <f>IF(OR(D1889="",E1889=""),"",D1889*E1889)</f>
        <v/>
      </c>
      <c r="I1889" s="8">
        <f>IF(OR(D1889="",E1889=""),"",E1889*(1+D1889/30))</f>
        <v/>
      </c>
      <c r="J1889">
        <f>IF(I1889="","",IF(I1889&gt;=MAXIFS($I$2:$I$5001,$B$2:$B$5001,B1889,$A$2:$A$5001,"&lt;="&amp;A1889),"PR",""))</f>
        <v/>
      </c>
    </row>
    <row r="1890">
      <c r="A1890" s="7" t="n"/>
      <c r="H1890" s="11">
        <f>IF(OR(D1890="",E1890=""),"",D1890*E1890)</f>
        <v/>
      </c>
      <c r="I1890" s="8">
        <f>IF(OR(D1890="",E1890=""),"",E1890*(1+D1890/30))</f>
        <v/>
      </c>
      <c r="J1890">
        <f>IF(I1890="","",IF(I1890&gt;=MAXIFS($I$2:$I$5001,$B$2:$B$5001,B1890,$A$2:$A$5001,"&lt;="&amp;A1890),"PR",""))</f>
        <v/>
      </c>
    </row>
    <row r="1891">
      <c r="A1891" s="7" t="n"/>
      <c r="H1891" s="11">
        <f>IF(OR(D1891="",E1891=""),"",D1891*E1891)</f>
        <v/>
      </c>
      <c r="I1891" s="8">
        <f>IF(OR(D1891="",E1891=""),"",E1891*(1+D1891/30))</f>
        <v/>
      </c>
      <c r="J1891">
        <f>IF(I1891="","",IF(I1891&gt;=MAXIFS($I$2:$I$5001,$B$2:$B$5001,B1891,$A$2:$A$5001,"&lt;="&amp;A1891),"PR",""))</f>
        <v/>
      </c>
    </row>
    <row r="1892">
      <c r="A1892" s="7" t="n"/>
      <c r="H1892" s="11">
        <f>IF(OR(D1892="",E1892=""),"",D1892*E1892)</f>
        <v/>
      </c>
      <c r="I1892" s="8">
        <f>IF(OR(D1892="",E1892=""),"",E1892*(1+D1892/30))</f>
        <v/>
      </c>
      <c r="J1892">
        <f>IF(I1892="","",IF(I1892&gt;=MAXIFS($I$2:$I$5001,$B$2:$B$5001,B1892,$A$2:$A$5001,"&lt;="&amp;A1892),"PR",""))</f>
        <v/>
      </c>
    </row>
    <row r="1893">
      <c r="A1893" s="7" t="n"/>
      <c r="H1893" s="11">
        <f>IF(OR(D1893="",E1893=""),"",D1893*E1893)</f>
        <v/>
      </c>
      <c r="I1893" s="8">
        <f>IF(OR(D1893="",E1893=""),"",E1893*(1+D1893/30))</f>
        <v/>
      </c>
      <c r="J1893">
        <f>IF(I1893="","",IF(I1893&gt;=MAXIFS($I$2:$I$5001,$B$2:$B$5001,B1893,$A$2:$A$5001,"&lt;="&amp;A1893),"PR",""))</f>
        <v/>
      </c>
    </row>
    <row r="1894">
      <c r="A1894" s="7" t="n"/>
      <c r="H1894" s="11">
        <f>IF(OR(D1894="",E1894=""),"",D1894*E1894)</f>
        <v/>
      </c>
      <c r="I1894" s="8">
        <f>IF(OR(D1894="",E1894=""),"",E1894*(1+D1894/30))</f>
        <v/>
      </c>
      <c r="J1894">
        <f>IF(I1894="","",IF(I1894&gt;=MAXIFS($I$2:$I$5001,$B$2:$B$5001,B1894,$A$2:$A$5001,"&lt;="&amp;A1894),"PR",""))</f>
        <v/>
      </c>
    </row>
    <row r="1895">
      <c r="A1895" s="7" t="n"/>
      <c r="H1895" s="11">
        <f>IF(OR(D1895="",E1895=""),"",D1895*E1895)</f>
        <v/>
      </c>
      <c r="I1895" s="8">
        <f>IF(OR(D1895="",E1895=""),"",E1895*(1+D1895/30))</f>
        <v/>
      </c>
      <c r="J1895">
        <f>IF(I1895="","",IF(I1895&gt;=MAXIFS($I$2:$I$5001,$B$2:$B$5001,B1895,$A$2:$A$5001,"&lt;="&amp;A1895),"PR",""))</f>
        <v/>
      </c>
    </row>
    <row r="1896">
      <c r="A1896" s="7" t="n"/>
      <c r="H1896" s="11">
        <f>IF(OR(D1896="",E1896=""),"",D1896*E1896)</f>
        <v/>
      </c>
      <c r="I1896" s="8">
        <f>IF(OR(D1896="",E1896=""),"",E1896*(1+D1896/30))</f>
        <v/>
      </c>
      <c r="J1896">
        <f>IF(I1896="","",IF(I1896&gt;=MAXIFS($I$2:$I$5001,$B$2:$B$5001,B1896,$A$2:$A$5001,"&lt;="&amp;A1896),"PR",""))</f>
        <v/>
      </c>
    </row>
    <row r="1897">
      <c r="A1897" s="7" t="n"/>
      <c r="H1897" s="11">
        <f>IF(OR(D1897="",E1897=""),"",D1897*E1897)</f>
        <v/>
      </c>
      <c r="I1897" s="8">
        <f>IF(OR(D1897="",E1897=""),"",E1897*(1+D1897/30))</f>
        <v/>
      </c>
      <c r="J1897">
        <f>IF(I1897="","",IF(I1897&gt;=MAXIFS($I$2:$I$5001,$B$2:$B$5001,B1897,$A$2:$A$5001,"&lt;="&amp;A1897),"PR",""))</f>
        <v/>
      </c>
    </row>
    <row r="1898">
      <c r="A1898" s="7" t="n"/>
      <c r="H1898" s="11">
        <f>IF(OR(D1898="",E1898=""),"",D1898*E1898)</f>
        <v/>
      </c>
      <c r="I1898" s="8">
        <f>IF(OR(D1898="",E1898=""),"",E1898*(1+D1898/30))</f>
        <v/>
      </c>
      <c r="J1898">
        <f>IF(I1898="","",IF(I1898&gt;=MAXIFS($I$2:$I$5001,$B$2:$B$5001,B1898,$A$2:$A$5001,"&lt;="&amp;A1898),"PR",""))</f>
        <v/>
      </c>
    </row>
    <row r="1899">
      <c r="A1899" s="7" t="n"/>
      <c r="H1899" s="11">
        <f>IF(OR(D1899="",E1899=""),"",D1899*E1899)</f>
        <v/>
      </c>
      <c r="I1899" s="8">
        <f>IF(OR(D1899="",E1899=""),"",E1899*(1+D1899/30))</f>
        <v/>
      </c>
      <c r="J1899">
        <f>IF(I1899="","",IF(I1899&gt;=MAXIFS($I$2:$I$5001,$B$2:$B$5001,B1899,$A$2:$A$5001,"&lt;="&amp;A1899),"PR",""))</f>
        <v/>
      </c>
    </row>
    <row r="1900">
      <c r="A1900" s="7" t="n"/>
      <c r="H1900" s="11">
        <f>IF(OR(D1900="",E1900=""),"",D1900*E1900)</f>
        <v/>
      </c>
      <c r="I1900" s="8">
        <f>IF(OR(D1900="",E1900=""),"",E1900*(1+D1900/30))</f>
        <v/>
      </c>
      <c r="J1900">
        <f>IF(I1900="","",IF(I1900&gt;=MAXIFS($I$2:$I$5001,$B$2:$B$5001,B1900,$A$2:$A$5001,"&lt;="&amp;A1900),"PR",""))</f>
        <v/>
      </c>
    </row>
    <row r="1901">
      <c r="A1901" s="7" t="n"/>
      <c r="H1901" s="11">
        <f>IF(OR(D1901="",E1901=""),"",D1901*E1901)</f>
        <v/>
      </c>
      <c r="I1901" s="8">
        <f>IF(OR(D1901="",E1901=""),"",E1901*(1+D1901/30))</f>
        <v/>
      </c>
      <c r="J1901">
        <f>IF(I1901="","",IF(I1901&gt;=MAXIFS($I$2:$I$5001,$B$2:$B$5001,B1901,$A$2:$A$5001,"&lt;="&amp;A1901),"PR",""))</f>
        <v/>
      </c>
    </row>
    <row r="1902">
      <c r="A1902" s="7" t="n"/>
      <c r="H1902" s="11">
        <f>IF(OR(D1902="",E1902=""),"",D1902*E1902)</f>
        <v/>
      </c>
      <c r="I1902" s="8">
        <f>IF(OR(D1902="",E1902=""),"",E1902*(1+D1902/30))</f>
        <v/>
      </c>
      <c r="J1902">
        <f>IF(I1902="","",IF(I1902&gt;=MAXIFS($I$2:$I$5001,$B$2:$B$5001,B1902,$A$2:$A$5001,"&lt;="&amp;A1902),"PR",""))</f>
        <v/>
      </c>
    </row>
    <row r="1903">
      <c r="A1903" s="7" t="n"/>
      <c r="H1903" s="11">
        <f>IF(OR(D1903="",E1903=""),"",D1903*E1903)</f>
        <v/>
      </c>
      <c r="I1903" s="8">
        <f>IF(OR(D1903="",E1903=""),"",E1903*(1+D1903/30))</f>
        <v/>
      </c>
      <c r="J1903">
        <f>IF(I1903="","",IF(I1903&gt;=MAXIFS($I$2:$I$5001,$B$2:$B$5001,B1903,$A$2:$A$5001,"&lt;="&amp;A1903),"PR",""))</f>
        <v/>
      </c>
    </row>
    <row r="1904">
      <c r="A1904" s="7" t="n"/>
      <c r="H1904" s="11">
        <f>IF(OR(D1904="",E1904=""),"",D1904*E1904)</f>
        <v/>
      </c>
      <c r="I1904" s="8">
        <f>IF(OR(D1904="",E1904=""),"",E1904*(1+D1904/30))</f>
        <v/>
      </c>
      <c r="J1904">
        <f>IF(I1904="","",IF(I1904&gt;=MAXIFS($I$2:$I$5001,$B$2:$B$5001,B1904,$A$2:$A$5001,"&lt;="&amp;A1904),"PR",""))</f>
        <v/>
      </c>
    </row>
    <row r="1905">
      <c r="A1905" s="7" t="n"/>
      <c r="H1905" s="11">
        <f>IF(OR(D1905="",E1905=""),"",D1905*E1905)</f>
        <v/>
      </c>
      <c r="I1905" s="8">
        <f>IF(OR(D1905="",E1905=""),"",E1905*(1+D1905/30))</f>
        <v/>
      </c>
      <c r="J1905">
        <f>IF(I1905="","",IF(I1905&gt;=MAXIFS($I$2:$I$5001,$B$2:$B$5001,B1905,$A$2:$A$5001,"&lt;="&amp;A1905),"PR",""))</f>
        <v/>
      </c>
    </row>
    <row r="1906">
      <c r="A1906" s="7" t="n"/>
      <c r="H1906" s="11">
        <f>IF(OR(D1906="",E1906=""),"",D1906*E1906)</f>
        <v/>
      </c>
      <c r="I1906" s="8">
        <f>IF(OR(D1906="",E1906=""),"",E1906*(1+D1906/30))</f>
        <v/>
      </c>
      <c r="J1906">
        <f>IF(I1906="","",IF(I1906&gt;=MAXIFS($I$2:$I$5001,$B$2:$B$5001,B1906,$A$2:$A$5001,"&lt;="&amp;A1906),"PR",""))</f>
        <v/>
      </c>
    </row>
    <row r="1907">
      <c r="A1907" s="7" t="n"/>
      <c r="H1907" s="11">
        <f>IF(OR(D1907="",E1907=""),"",D1907*E1907)</f>
        <v/>
      </c>
      <c r="I1907" s="8">
        <f>IF(OR(D1907="",E1907=""),"",E1907*(1+D1907/30))</f>
        <v/>
      </c>
      <c r="J1907">
        <f>IF(I1907="","",IF(I1907&gt;=MAXIFS($I$2:$I$5001,$B$2:$B$5001,B1907,$A$2:$A$5001,"&lt;="&amp;A1907),"PR",""))</f>
        <v/>
      </c>
    </row>
    <row r="1908">
      <c r="A1908" s="7" t="n"/>
      <c r="H1908" s="11">
        <f>IF(OR(D1908="",E1908=""),"",D1908*E1908)</f>
        <v/>
      </c>
      <c r="I1908" s="8">
        <f>IF(OR(D1908="",E1908=""),"",E1908*(1+D1908/30))</f>
        <v/>
      </c>
      <c r="J1908">
        <f>IF(I1908="","",IF(I1908&gt;=MAXIFS($I$2:$I$5001,$B$2:$B$5001,B1908,$A$2:$A$5001,"&lt;="&amp;A1908),"PR",""))</f>
        <v/>
      </c>
    </row>
    <row r="1909">
      <c r="A1909" s="7" t="n"/>
      <c r="H1909" s="11">
        <f>IF(OR(D1909="",E1909=""),"",D1909*E1909)</f>
        <v/>
      </c>
      <c r="I1909" s="8">
        <f>IF(OR(D1909="",E1909=""),"",E1909*(1+D1909/30))</f>
        <v/>
      </c>
      <c r="J1909">
        <f>IF(I1909="","",IF(I1909&gt;=MAXIFS($I$2:$I$5001,$B$2:$B$5001,B1909,$A$2:$A$5001,"&lt;="&amp;A1909),"PR",""))</f>
        <v/>
      </c>
    </row>
    <row r="1910">
      <c r="A1910" s="7" t="n"/>
      <c r="H1910" s="11">
        <f>IF(OR(D1910="",E1910=""),"",D1910*E1910)</f>
        <v/>
      </c>
      <c r="I1910" s="8">
        <f>IF(OR(D1910="",E1910=""),"",E1910*(1+D1910/30))</f>
        <v/>
      </c>
      <c r="J1910">
        <f>IF(I1910="","",IF(I1910&gt;=MAXIFS($I$2:$I$5001,$B$2:$B$5001,B1910,$A$2:$A$5001,"&lt;="&amp;A1910),"PR",""))</f>
        <v/>
      </c>
    </row>
    <row r="1911">
      <c r="A1911" s="7" t="n"/>
      <c r="H1911" s="11">
        <f>IF(OR(D1911="",E1911=""),"",D1911*E1911)</f>
        <v/>
      </c>
      <c r="I1911" s="8">
        <f>IF(OR(D1911="",E1911=""),"",E1911*(1+D1911/30))</f>
        <v/>
      </c>
      <c r="J1911">
        <f>IF(I1911="","",IF(I1911&gt;=MAXIFS($I$2:$I$5001,$B$2:$B$5001,B1911,$A$2:$A$5001,"&lt;="&amp;A1911),"PR",""))</f>
        <v/>
      </c>
    </row>
    <row r="1912">
      <c r="A1912" s="7" t="n"/>
      <c r="H1912" s="11">
        <f>IF(OR(D1912="",E1912=""),"",D1912*E1912)</f>
        <v/>
      </c>
      <c r="I1912" s="8">
        <f>IF(OR(D1912="",E1912=""),"",E1912*(1+D1912/30))</f>
        <v/>
      </c>
      <c r="J1912">
        <f>IF(I1912="","",IF(I1912&gt;=MAXIFS($I$2:$I$5001,$B$2:$B$5001,B1912,$A$2:$A$5001,"&lt;="&amp;A1912),"PR",""))</f>
        <v/>
      </c>
    </row>
    <row r="1913">
      <c r="A1913" s="7" t="n"/>
      <c r="H1913" s="11">
        <f>IF(OR(D1913="",E1913=""),"",D1913*E1913)</f>
        <v/>
      </c>
      <c r="I1913" s="8">
        <f>IF(OR(D1913="",E1913=""),"",E1913*(1+D1913/30))</f>
        <v/>
      </c>
      <c r="J1913">
        <f>IF(I1913="","",IF(I1913&gt;=MAXIFS($I$2:$I$5001,$B$2:$B$5001,B1913,$A$2:$A$5001,"&lt;="&amp;A1913),"PR",""))</f>
        <v/>
      </c>
    </row>
    <row r="1914">
      <c r="A1914" s="7" t="n"/>
      <c r="H1914" s="11">
        <f>IF(OR(D1914="",E1914=""),"",D1914*E1914)</f>
        <v/>
      </c>
      <c r="I1914" s="8">
        <f>IF(OR(D1914="",E1914=""),"",E1914*(1+D1914/30))</f>
        <v/>
      </c>
      <c r="J1914">
        <f>IF(I1914="","",IF(I1914&gt;=MAXIFS($I$2:$I$5001,$B$2:$B$5001,B1914,$A$2:$A$5001,"&lt;="&amp;A1914),"PR",""))</f>
        <v/>
      </c>
    </row>
    <row r="1915">
      <c r="A1915" s="7" t="n"/>
      <c r="H1915" s="11">
        <f>IF(OR(D1915="",E1915=""),"",D1915*E1915)</f>
        <v/>
      </c>
      <c r="I1915" s="8">
        <f>IF(OR(D1915="",E1915=""),"",E1915*(1+D1915/30))</f>
        <v/>
      </c>
      <c r="J1915">
        <f>IF(I1915="","",IF(I1915&gt;=MAXIFS($I$2:$I$5001,$B$2:$B$5001,B1915,$A$2:$A$5001,"&lt;="&amp;A1915),"PR",""))</f>
        <v/>
      </c>
    </row>
    <row r="1916">
      <c r="A1916" s="7" t="n"/>
      <c r="H1916" s="11">
        <f>IF(OR(D1916="",E1916=""),"",D1916*E1916)</f>
        <v/>
      </c>
      <c r="I1916" s="8">
        <f>IF(OR(D1916="",E1916=""),"",E1916*(1+D1916/30))</f>
        <v/>
      </c>
      <c r="J1916">
        <f>IF(I1916="","",IF(I1916&gt;=MAXIFS($I$2:$I$5001,$B$2:$B$5001,B1916,$A$2:$A$5001,"&lt;="&amp;A1916),"PR",""))</f>
        <v/>
      </c>
    </row>
    <row r="1917">
      <c r="A1917" s="7" t="n"/>
      <c r="H1917" s="11">
        <f>IF(OR(D1917="",E1917=""),"",D1917*E1917)</f>
        <v/>
      </c>
      <c r="I1917" s="8">
        <f>IF(OR(D1917="",E1917=""),"",E1917*(1+D1917/30))</f>
        <v/>
      </c>
      <c r="J1917">
        <f>IF(I1917="","",IF(I1917&gt;=MAXIFS($I$2:$I$5001,$B$2:$B$5001,B1917,$A$2:$A$5001,"&lt;="&amp;A1917),"PR",""))</f>
        <v/>
      </c>
    </row>
    <row r="1918">
      <c r="A1918" s="7" t="n"/>
      <c r="H1918" s="11">
        <f>IF(OR(D1918="",E1918=""),"",D1918*E1918)</f>
        <v/>
      </c>
      <c r="I1918" s="8">
        <f>IF(OR(D1918="",E1918=""),"",E1918*(1+D1918/30))</f>
        <v/>
      </c>
      <c r="J1918">
        <f>IF(I1918="","",IF(I1918&gt;=MAXIFS($I$2:$I$5001,$B$2:$B$5001,B1918,$A$2:$A$5001,"&lt;="&amp;A1918),"PR",""))</f>
        <v/>
      </c>
    </row>
    <row r="1919">
      <c r="A1919" s="7" t="n"/>
      <c r="H1919" s="11">
        <f>IF(OR(D1919="",E1919=""),"",D1919*E1919)</f>
        <v/>
      </c>
      <c r="I1919" s="8">
        <f>IF(OR(D1919="",E1919=""),"",E1919*(1+D1919/30))</f>
        <v/>
      </c>
      <c r="J1919">
        <f>IF(I1919="","",IF(I1919&gt;=MAXIFS($I$2:$I$5001,$B$2:$B$5001,B1919,$A$2:$A$5001,"&lt;="&amp;A1919),"PR",""))</f>
        <v/>
      </c>
    </row>
    <row r="1920">
      <c r="A1920" s="7" t="n"/>
      <c r="H1920" s="11">
        <f>IF(OR(D1920="",E1920=""),"",D1920*E1920)</f>
        <v/>
      </c>
      <c r="I1920" s="8">
        <f>IF(OR(D1920="",E1920=""),"",E1920*(1+D1920/30))</f>
        <v/>
      </c>
      <c r="J1920">
        <f>IF(I1920="","",IF(I1920&gt;=MAXIFS($I$2:$I$5001,$B$2:$B$5001,B1920,$A$2:$A$5001,"&lt;="&amp;A1920),"PR",""))</f>
        <v/>
      </c>
    </row>
    <row r="1921">
      <c r="A1921" s="7" t="n"/>
      <c r="H1921" s="11">
        <f>IF(OR(D1921="",E1921=""),"",D1921*E1921)</f>
        <v/>
      </c>
      <c r="I1921" s="8">
        <f>IF(OR(D1921="",E1921=""),"",E1921*(1+D1921/30))</f>
        <v/>
      </c>
      <c r="J1921">
        <f>IF(I1921="","",IF(I1921&gt;=MAXIFS($I$2:$I$5001,$B$2:$B$5001,B1921,$A$2:$A$5001,"&lt;="&amp;A1921),"PR",""))</f>
        <v/>
      </c>
    </row>
    <row r="1922">
      <c r="A1922" s="7" t="n"/>
      <c r="H1922" s="11">
        <f>IF(OR(D1922="",E1922=""),"",D1922*E1922)</f>
        <v/>
      </c>
      <c r="I1922" s="8">
        <f>IF(OR(D1922="",E1922=""),"",E1922*(1+D1922/30))</f>
        <v/>
      </c>
      <c r="J1922">
        <f>IF(I1922="","",IF(I1922&gt;=MAXIFS($I$2:$I$5001,$B$2:$B$5001,B1922,$A$2:$A$5001,"&lt;="&amp;A1922),"PR",""))</f>
        <v/>
      </c>
    </row>
    <row r="1923">
      <c r="A1923" s="7" t="n"/>
      <c r="H1923" s="11">
        <f>IF(OR(D1923="",E1923=""),"",D1923*E1923)</f>
        <v/>
      </c>
      <c r="I1923" s="8">
        <f>IF(OR(D1923="",E1923=""),"",E1923*(1+D1923/30))</f>
        <v/>
      </c>
      <c r="J1923">
        <f>IF(I1923="","",IF(I1923&gt;=MAXIFS($I$2:$I$5001,$B$2:$B$5001,B1923,$A$2:$A$5001,"&lt;="&amp;A1923),"PR",""))</f>
        <v/>
      </c>
    </row>
    <row r="1924">
      <c r="A1924" s="7" t="n"/>
      <c r="H1924" s="11">
        <f>IF(OR(D1924="",E1924=""),"",D1924*E1924)</f>
        <v/>
      </c>
      <c r="I1924" s="8">
        <f>IF(OR(D1924="",E1924=""),"",E1924*(1+D1924/30))</f>
        <v/>
      </c>
      <c r="J1924">
        <f>IF(I1924="","",IF(I1924&gt;=MAXIFS($I$2:$I$5001,$B$2:$B$5001,B1924,$A$2:$A$5001,"&lt;="&amp;A1924),"PR",""))</f>
        <v/>
      </c>
    </row>
    <row r="1925">
      <c r="A1925" s="7" t="n"/>
      <c r="H1925" s="11">
        <f>IF(OR(D1925="",E1925=""),"",D1925*E1925)</f>
        <v/>
      </c>
      <c r="I1925" s="8">
        <f>IF(OR(D1925="",E1925=""),"",E1925*(1+D1925/30))</f>
        <v/>
      </c>
      <c r="J1925">
        <f>IF(I1925="","",IF(I1925&gt;=MAXIFS($I$2:$I$5001,$B$2:$B$5001,B1925,$A$2:$A$5001,"&lt;="&amp;A1925),"PR",""))</f>
        <v/>
      </c>
    </row>
    <row r="1926">
      <c r="A1926" s="7" t="n"/>
      <c r="H1926" s="11">
        <f>IF(OR(D1926="",E1926=""),"",D1926*E1926)</f>
        <v/>
      </c>
      <c r="I1926" s="8">
        <f>IF(OR(D1926="",E1926=""),"",E1926*(1+D1926/30))</f>
        <v/>
      </c>
      <c r="J1926">
        <f>IF(I1926="","",IF(I1926&gt;=MAXIFS($I$2:$I$5001,$B$2:$B$5001,B1926,$A$2:$A$5001,"&lt;="&amp;A1926),"PR",""))</f>
        <v/>
      </c>
    </row>
    <row r="1927">
      <c r="A1927" s="7" t="n"/>
      <c r="H1927" s="11">
        <f>IF(OR(D1927="",E1927=""),"",D1927*E1927)</f>
        <v/>
      </c>
      <c r="I1927" s="8">
        <f>IF(OR(D1927="",E1927=""),"",E1927*(1+D1927/30))</f>
        <v/>
      </c>
      <c r="J1927">
        <f>IF(I1927="","",IF(I1927&gt;=MAXIFS($I$2:$I$5001,$B$2:$B$5001,B1927,$A$2:$A$5001,"&lt;="&amp;A1927),"PR",""))</f>
        <v/>
      </c>
    </row>
    <row r="1928">
      <c r="A1928" s="7" t="n"/>
      <c r="H1928" s="11">
        <f>IF(OR(D1928="",E1928=""),"",D1928*E1928)</f>
        <v/>
      </c>
      <c r="I1928" s="8">
        <f>IF(OR(D1928="",E1928=""),"",E1928*(1+D1928/30))</f>
        <v/>
      </c>
      <c r="J1928">
        <f>IF(I1928="","",IF(I1928&gt;=MAXIFS($I$2:$I$5001,$B$2:$B$5001,B1928,$A$2:$A$5001,"&lt;="&amp;A1928),"PR",""))</f>
        <v/>
      </c>
    </row>
    <row r="1929">
      <c r="A1929" s="7" t="n"/>
      <c r="H1929" s="11">
        <f>IF(OR(D1929="",E1929=""),"",D1929*E1929)</f>
        <v/>
      </c>
      <c r="I1929" s="8">
        <f>IF(OR(D1929="",E1929=""),"",E1929*(1+D1929/30))</f>
        <v/>
      </c>
      <c r="J1929">
        <f>IF(I1929="","",IF(I1929&gt;=MAXIFS($I$2:$I$5001,$B$2:$B$5001,B1929,$A$2:$A$5001,"&lt;="&amp;A1929),"PR",""))</f>
        <v/>
      </c>
    </row>
    <row r="1930">
      <c r="A1930" s="7" t="n"/>
      <c r="H1930" s="11">
        <f>IF(OR(D1930="",E1930=""),"",D1930*E1930)</f>
        <v/>
      </c>
      <c r="I1930" s="8">
        <f>IF(OR(D1930="",E1930=""),"",E1930*(1+D1930/30))</f>
        <v/>
      </c>
      <c r="J1930">
        <f>IF(I1930="","",IF(I1930&gt;=MAXIFS($I$2:$I$5001,$B$2:$B$5001,B1930,$A$2:$A$5001,"&lt;="&amp;A1930),"PR",""))</f>
        <v/>
      </c>
    </row>
    <row r="1931">
      <c r="A1931" s="7" t="n"/>
      <c r="H1931" s="11">
        <f>IF(OR(D1931="",E1931=""),"",D1931*E1931)</f>
        <v/>
      </c>
      <c r="I1931" s="8">
        <f>IF(OR(D1931="",E1931=""),"",E1931*(1+D1931/30))</f>
        <v/>
      </c>
      <c r="J1931">
        <f>IF(I1931="","",IF(I1931&gt;=MAXIFS($I$2:$I$5001,$B$2:$B$5001,B1931,$A$2:$A$5001,"&lt;="&amp;A1931),"PR",""))</f>
        <v/>
      </c>
    </row>
    <row r="1932">
      <c r="A1932" s="7" t="n"/>
      <c r="H1932" s="11">
        <f>IF(OR(D1932="",E1932=""),"",D1932*E1932)</f>
        <v/>
      </c>
      <c r="I1932" s="8">
        <f>IF(OR(D1932="",E1932=""),"",E1932*(1+D1932/30))</f>
        <v/>
      </c>
      <c r="J1932">
        <f>IF(I1932="","",IF(I1932&gt;=MAXIFS($I$2:$I$5001,$B$2:$B$5001,B1932,$A$2:$A$5001,"&lt;="&amp;A1932),"PR",""))</f>
        <v/>
      </c>
    </row>
    <row r="1933">
      <c r="A1933" s="7" t="n"/>
      <c r="H1933" s="11">
        <f>IF(OR(D1933="",E1933=""),"",D1933*E1933)</f>
        <v/>
      </c>
      <c r="I1933" s="8">
        <f>IF(OR(D1933="",E1933=""),"",E1933*(1+D1933/30))</f>
        <v/>
      </c>
      <c r="J1933">
        <f>IF(I1933="","",IF(I1933&gt;=MAXIFS($I$2:$I$5001,$B$2:$B$5001,B1933,$A$2:$A$5001,"&lt;="&amp;A1933),"PR",""))</f>
        <v/>
      </c>
    </row>
    <row r="1934">
      <c r="A1934" s="7" t="n"/>
      <c r="H1934" s="11">
        <f>IF(OR(D1934="",E1934=""),"",D1934*E1934)</f>
        <v/>
      </c>
      <c r="I1934" s="8">
        <f>IF(OR(D1934="",E1934=""),"",E1934*(1+D1934/30))</f>
        <v/>
      </c>
      <c r="J1934">
        <f>IF(I1934="","",IF(I1934&gt;=MAXIFS($I$2:$I$5001,$B$2:$B$5001,B1934,$A$2:$A$5001,"&lt;="&amp;A1934),"PR",""))</f>
        <v/>
      </c>
    </row>
    <row r="1935">
      <c r="A1935" s="7" t="n"/>
      <c r="H1935" s="11">
        <f>IF(OR(D1935="",E1935=""),"",D1935*E1935)</f>
        <v/>
      </c>
      <c r="I1935" s="8">
        <f>IF(OR(D1935="",E1935=""),"",E1935*(1+D1935/30))</f>
        <v/>
      </c>
      <c r="J1935">
        <f>IF(I1935="","",IF(I1935&gt;=MAXIFS($I$2:$I$5001,$B$2:$B$5001,B1935,$A$2:$A$5001,"&lt;="&amp;A1935),"PR",""))</f>
        <v/>
      </c>
    </row>
    <row r="1936">
      <c r="A1936" s="7" t="n"/>
      <c r="H1936" s="11">
        <f>IF(OR(D1936="",E1936=""),"",D1936*E1936)</f>
        <v/>
      </c>
      <c r="I1936" s="8">
        <f>IF(OR(D1936="",E1936=""),"",E1936*(1+D1936/30))</f>
        <v/>
      </c>
      <c r="J1936">
        <f>IF(I1936="","",IF(I1936&gt;=MAXIFS($I$2:$I$5001,$B$2:$B$5001,B1936,$A$2:$A$5001,"&lt;="&amp;A1936),"PR",""))</f>
        <v/>
      </c>
    </row>
    <row r="1937">
      <c r="A1937" s="7" t="n"/>
      <c r="H1937" s="11">
        <f>IF(OR(D1937="",E1937=""),"",D1937*E1937)</f>
        <v/>
      </c>
      <c r="I1937" s="8">
        <f>IF(OR(D1937="",E1937=""),"",E1937*(1+D1937/30))</f>
        <v/>
      </c>
      <c r="J1937">
        <f>IF(I1937="","",IF(I1937&gt;=MAXIFS($I$2:$I$5001,$B$2:$B$5001,B1937,$A$2:$A$5001,"&lt;="&amp;A1937),"PR",""))</f>
        <v/>
      </c>
    </row>
    <row r="1938">
      <c r="A1938" s="7" t="n"/>
      <c r="H1938" s="11">
        <f>IF(OR(D1938="",E1938=""),"",D1938*E1938)</f>
        <v/>
      </c>
      <c r="I1938" s="8">
        <f>IF(OR(D1938="",E1938=""),"",E1938*(1+D1938/30))</f>
        <v/>
      </c>
      <c r="J1938">
        <f>IF(I1938="","",IF(I1938&gt;=MAXIFS($I$2:$I$5001,$B$2:$B$5001,B1938,$A$2:$A$5001,"&lt;="&amp;A1938),"PR",""))</f>
        <v/>
      </c>
    </row>
    <row r="1939">
      <c r="A1939" s="7" t="n"/>
      <c r="H1939" s="11">
        <f>IF(OR(D1939="",E1939=""),"",D1939*E1939)</f>
        <v/>
      </c>
      <c r="I1939" s="8">
        <f>IF(OR(D1939="",E1939=""),"",E1939*(1+D1939/30))</f>
        <v/>
      </c>
      <c r="J1939">
        <f>IF(I1939="","",IF(I1939&gt;=MAXIFS($I$2:$I$5001,$B$2:$B$5001,B1939,$A$2:$A$5001,"&lt;="&amp;A1939),"PR",""))</f>
        <v/>
      </c>
    </row>
    <row r="1940">
      <c r="A1940" s="7" t="n"/>
      <c r="H1940" s="11">
        <f>IF(OR(D1940="",E1940=""),"",D1940*E1940)</f>
        <v/>
      </c>
      <c r="I1940" s="8">
        <f>IF(OR(D1940="",E1940=""),"",E1940*(1+D1940/30))</f>
        <v/>
      </c>
      <c r="J1940">
        <f>IF(I1940="","",IF(I1940&gt;=MAXIFS($I$2:$I$5001,$B$2:$B$5001,B1940,$A$2:$A$5001,"&lt;="&amp;A1940),"PR",""))</f>
        <v/>
      </c>
    </row>
    <row r="1941">
      <c r="A1941" s="7" t="n"/>
      <c r="H1941" s="11">
        <f>IF(OR(D1941="",E1941=""),"",D1941*E1941)</f>
        <v/>
      </c>
      <c r="I1941" s="8">
        <f>IF(OR(D1941="",E1941=""),"",E1941*(1+D1941/30))</f>
        <v/>
      </c>
      <c r="J1941">
        <f>IF(I1941="","",IF(I1941&gt;=MAXIFS($I$2:$I$5001,$B$2:$B$5001,B1941,$A$2:$A$5001,"&lt;="&amp;A1941),"PR",""))</f>
        <v/>
      </c>
    </row>
    <row r="1942">
      <c r="A1942" s="7" t="n"/>
      <c r="H1942" s="11">
        <f>IF(OR(D1942="",E1942=""),"",D1942*E1942)</f>
        <v/>
      </c>
      <c r="I1942" s="8">
        <f>IF(OR(D1942="",E1942=""),"",E1942*(1+D1942/30))</f>
        <v/>
      </c>
      <c r="J1942">
        <f>IF(I1942="","",IF(I1942&gt;=MAXIFS($I$2:$I$5001,$B$2:$B$5001,B1942,$A$2:$A$5001,"&lt;="&amp;A1942),"PR",""))</f>
        <v/>
      </c>
    </row>
    <row r="1943">
      <c r="A1943" s="7" t="n"/>
      <c r="H1943" s="11">
        <f>IF(OR(D1943="",E1943=""),"",D1943*E1943)</f>
        <v/>
      </c>
      <c r="I1943" s="8">
        <f>IF(OR(D1943="",E1943=""),"",E1943*(1+D1943/30))</f>
        <v/>
      </c>
      <c r="J1943">
        <f>IF(I1943="","",IF(I1943&gt;=MAXIFS($I$2:$I$5001,$B$2:$B$5001,B1943,$A$2:$A$5001,"&lt;="&amp;A1943),"PR",""))</f>
        <v/>
      </c>
    </row>
    <row r="1944">
      <c r="A1944" s="7" t="n"/>
      <c r="H1944" s="11">
        <f>IF(OR(D1944="",E1944=""),"",D1944*E1944)</f>
        <v/>
      </c>
      <c r="I1944" s="8">
        <f>IF(OR(D1944="",E1944=""),"",E1944*(1+D1944/30))</f>
        <v/>
      </c>
      <c r="J1944">
        <f>IF(I1944="","",IF(I1944&gt;=MAXIFS($I$2:$I$5001,$B$2:$B$5001,B1944,$A$2:$A$5001,"&lt;="&amp;A1944),"PR",""))</f>
        <v/>
      </c>
    </row>
    <row r="1945">
      <c r="A1945" s="7" t="n"/>
      <c r="H1945" s="11">
        <f>IF(OR(D1945="",E1945=""),"",D1945*E1945)</f>
        <v/>
      </c>
      <c r="I1945" s="8">
        <f>IF(OR(D1945="",E1945=""),"",E1945*(1+D1945/30))</f>
        <v/>
      </c>
      <c r="J1945">
        <f>IF(I1945="","",IF(I1945&gt;=MAXIFS($I$2:$I$5001,$B$2:$B$5001,B1945,$A$2:$A$5001,"&lt;="&amp;A1945),"PR",""))</f>
        <v/>
      </c>
    </row>
    <row r="1946">
      <c r="A1946" s="7" t="n"/>
      <c r="H1946" s="11">
        <f>IF(OR(D1946="",E1946=""),"",D1946*E1946)</f>
        <v/>
      </c>
      <c r="I1946" s="8">
        <f>IF(OR(D1946="",E1946=""),"",E1946*(1+D1946/30))</f>
        <v/>
      </c>
      <c r="J1946">
        <f>IF(I1946="","",IF(I1946&gt;=MAXIFS($I$2:$I$5001,$B$2:$B$5001,B1946,$A$2:$A$5001,"&lt;="&amp;A1946),"PR",""))</f>
        <v/>
      </c>
    </row>
    <row r="1947">
      <c r="A1947" s="7" t="n"/>
      <c r="H1947" s="11">
        <f>IF(OR(D1947="",E1947=""),"",D1947*E1947)</f>
        <v/>
      </c>
      <c r="I1947" s="8">
        <f>IF(OR(D1947="",E1947=""),"",E1947*(1+D1947/30))</f>
        <v/>
      </c>
      <c r="J1947">
        <f>IF(I1947="","",IF(I1947&gt;=MAXIFS($I$2:$I$5001,$B$2:$B$5001,B1947,$A$2:$A$5001,"&lt;="&amp;A1947),"PR",""))</f>
        <v/>
      </c>
    </row>
    <row r="1948">
      <c r="A1948" s="7" t="n"/>
      <c r="H1948" s="11">
        <f>IF(OR(D1948="",E1948=""),"",D1948*E1948)</f>
        <v/>
      </c>
      <c r="I1948" s="8">
        <f>IF(OR(D1948="",E1948=""),"",E1948*(1+D1948/30))</f>
        <v/>
      </c>
      <c r="J1948">
        <f>IF(I1948="","",IF(I1948&gt;=MAXIFS($I$2:$I$5001,$B$2:$B$5001,B1948,$A$2:$A$5001,"&lt;="&amp;A1948),"PR",""))</f>
        <v/>
      </c>
    </row>
    <row r="1949">
      <c r="A1949" s="7" t="n"/>
      <c r="H1949" s="11">
        <f>IF(OR(D1949="",E1949=""),"",D1949*E1949)</f>
        <v/>
      </c>
      <c r="I1949" s="8">
        <f>IF(OR(D1949="",E1949=""),"",E1949*(1+D1949/30))</f>
        <v/>
      </c>
      <c r="J1949">
        <f>IF(I1949="","",IF(I1949&gt;=MAXIFS($I$2:$I$5001,$B$2:$B$5001,B1949,$A$2:$A$5001,"&lt;="&amp;A1949),"PR",""))</f>
        <v/>
      </c>
    </row>
    <row r="1950">
      <c r="A1950" s="7" t="n"/>
      <c r="H1950" s="11">
        <f>IF(OR(D1950="",E1950=""),"",D1950*E1950)</f>
        <v/>
      </c>
      <c r="I1950" s="8">
        <f>IF(OR(D1950="",E1950=""),"",E1950*(1+D1950/30))</f>
        <v/>
      </c>
      <c r="J1950">
        <f>IF(I1950="","",IF(I1950&gt;=MAXIFS($I$2:$I$5001,$B$2:$B$5001,B1950,$A$2:$A$5001,"&lt;="&amp;A1950),"PR",""))</f>
        <v/>
      </c>
    </row>
    <row r="1951">
      <c r="A1951" s="7" t="n"/>
      <c r="H1951" s="11">
        <f>IF(OR(D1951="",E1951=""),"",D1951*E1951)</f>
        <v/>
      </c>
      <c r="I1951" s="8">
        <f>IF(OR(D1951="",E1951=""),"",E1951*(1+D1951/30))</f>
        <v/>
      </c>
      <c r="J1951">
        <f>IF(I1951="","",IF(I1951&gt;=MAXIFS($I$2:$I$5001,$B$2:$B$5001,B1951,$A$2:$A$5001,"&lt;="&amp;A1951),"PR",""))</f>
        <v/>
      </c>
    </row>
    <row r="1952">
      <c r="A1952" s="7" t="n"/>
      <c r="H1952" s="11">
        <f>IF(OR(D1952="",E1952=""),"",D1952*E1952)</f>
        <v/>
      </c>
      <c r="I1952" s="8">
        <f>IF(OR(D1952="",E1952=""),"",E1952*(1+D1952/30))</f>
        <v/>
      </c>
      <c r="J1952">
        <f>IF(I1952="","",IF(I1952&gt;=MAXIFS($I$2:$I$5001,$B$2:$B$5001,B1952,$A$2:$A$5001,"&lt;="&amp;A1952),"PR",""))</f>
        <v/>
      </c>
    </row>
    <row r="1953">
      <c r="A1953" s="7" t="n"/>
      <c r="H1953" s="11">
        <f>IF(OR(D1953="",E1953=""),"",D1953*E1953)</f>
        <v/>
      </c>
      <c r="I1953" s="8">
        <f>IF(OR(D1953="",E1953=""),"",E1953*(1+D1953/30))</f>
        <v/>
      </c>
      <c r="J1953">
        <f>IF(I1953="","",IF(I1953&gt;=MAXIFS($I$2:$I$5001,$B$2:$B$5001,B1953,$A$2:$A$5001,"&lt;="&amp;A1953),"PR",""))</f>
        <v/>
      </c>
    </row>
    <row r="1954">
      <c r="A1954" s="7" t="n"/>
      <c r="H1954" s="11">
        <f>IF(OR(D1954="",E1954=""),"",D1954*E1954)</f>
        <v/>
      </c>
      <c r="I1954" s="8">
        <f>IF(OR(D1954="",E1954=""),"",E1954*(1+D1954/30))</f>
        <v/>
      </c>
      <c r="J1954">
        <f>IF(I1954="","",IF(I1954&gt;=MAXIFS($I$2:$I$5001,$B$2:$B$5001,B1954,$A$2:$A$5001,"&lt;="&amp;A1954),"PR",""))</f>
        <v/>
      </c>
    </row>
    <row r="1955">
      <c r="A1955" s="7" t="n"/>
      <c r="H1955" s="11">
        <f>IF(OR(D1955="",E1955=""),"",D1955*E1955)</f>
        <v/>
      </c>
      <c r="I1955" s="8">
        <f>IF(OR(D1955="",E1955=""),"",E1955*(1+D1955/30))</f>
        <v/>
      </c>
      <c r="J1955">
        <f>IF(I1955="","",IF(I1955&gt;=MAXIFS($I$2:$I$5001,$B$2:$B$5001,B1955,$A$2:$A$5001,"&lt;="&amp;A1955),"PR",""))</f>
        <v/>
      </c>
    </row>
    <row r="1956">
      <c r="A1956" s="7" t="n"/>
      <c r="H1956" s="11">
        <f>IF(OR(D1956="",E1956=""),"",D1956*E1956)</f>
        <v/>
      </c>
      <c r="I1956" s="8">
        <f>IF(OR(D1956="",E1956=""),"",E1956*(1+D1956/30))</f>
        <v/>
      </c>
      <c r="J1956">
        <f>IF(I1956="","",IF(I1956&gt;=MAXIFS($I$2:$I$5001,$B$2:$B$5001,B1956,$A$2:$A$5001,"&lt;="&amp;A1956),"PR",""))</f>
        <v/>
      </c>
    </row>
    <row r="1957">
      <c r="A1957" s="7" t="n"/>
      <c r="H1957" s="11">
        <f>IF(OR(D1957="",E1957=""),"",D1957*E1957)</f>
        <v/>
      </c>
      <c r="I1957" s="8">
        <f>IF(OR(D1957="",E1957=""),"",E1957*(1+D1957/30))</f>
        <v/>
      </c>
      <c r="J1957">
        <f>IF(I1957="","",IF(I1957&gt;=MAXIFS($I$2:$I$5001,$B$2:$B$5001,B1957,$A$2:$A$5001,"&lt;="&amp;A1957),"PR",""))</f>
        <v/>
      </c>
    </row>
    <row r="1958">
      <c r="A1958" s="7" t="n"/>
      <c r="H1958" s="11">
        <f>IF(OR(D1958="",E1958=""),"",D1958*E1958)</f>
        <v/>
      </c>
      <c r="I1958" s="8">
        <f>IF(OR(D1958="",E1958=""),"",E1958*(1+D1958/30))</f>
        <v/>
      </c>
      <c r="J1958">
        <f>IF(I1958="","",IF(I1958&gt;=MAXIFS($I$2:$I$5001,$B$2:$B$5001,B1958,$A$2:$A$5001,"&lt;="&amp;A1958),"PR",""))</f>
        <v/>
      </c>
    </row>
    <row r="1959">
      <c r="A1959" s="7" t="n"/>
      <c r="H1959" s="11">
        <f>IF(OR(D1959="",E1959=""),"",D1959*E1959)</f>
        <v/>
      </c>
      <c r="I1959" s="8">
        <f>IF(OR(D1959="",E1959=""),"",E1959*(1+D1959/30))</f>
        <v/>
      </c>
      <c r="J1959">
        <f>IF(I1959="","",IF(I1959&gt;=MAXIFS($I$2:$I$5001,$B$2:$B$5001,B1959,$A$2:$A$5001,"&lt;="&amp;A1959),"PR",""))</f>
        <v/>
      </c>
    </row>
    <row r="1960">
      <c r="A1960" s="7" t="n"/>
      <c r="H1960" s="11">
        <f>IF(OR(D1960="",E1960=""),"",D1960*E1960)</f>
        <v/>
      </c>
      <c r="I1960" s="8">
        <f>IF(OR(D1960="",E1960=""),"",E1960*(1+D1960/30))</f>
        <v/>
      </c>
      <c r="J1960">
        <f>IF(I1960="","",IF(I1960&gt;=MAXIFS($I$2:$I$5001,$B$2:$B$5001,B1960,$A$2:$A$5001,"&lt;="&amp;A1960),"PR",""))</f>
        <v/>
      </c>
    </row>
    <row r="1961">
      <c r="A1961" s="7" t="n"/>
      <c r="H1961" s="11">
        <f>IF(OR(D1961="",E1961=""),"",D1961*E1961)</f>
        <v/>
      </c>
      <c r="I1961" s="8">
        <f>IF(OR(D1961="",E1961=""),"",E1961*(1+D1961/30))</f>
        <v/>
      </c>
      <c r="J1961">
        <f>IF(I1961="","",IF(I1961&gt;=MAXIFS($I$2:$I$5001,$B$2:$B$5001,B1961,$A$2:$A$5001,"&lt;="&amp;A1961),"PR",""))</f>
        <v/>
      </c>
    </row>
    <row r="1962">
      <c r="A1962" s="7" t="n"/>
      <c r="H1962" s="11">
        <f>IF(OR(D1962="",E1962=""),"",D1962*E1962)</f>
        <v/>
      </c>
      <c r="I1962" s="8">
        <f>IF(OR(D1962="",E1962=""),"",E1962*(1+D1962/30))</f>
        <v/>
      </c>
      <c r="J1962">
        <f>IF(I1962="","",IF(I1962&gt;=MAXIFS($I$2:$I$5001,$B$2:$B$5001,B1962,$A$2:$A$5001,"&lt;="&amp;A1962),"PR",""))</f>
        <v/>
      </c>
    </row>
    <row r="1963">
      <c r="A1963" s="7" t="n"/>
      <c r="H1963" s="11">
        <f>IF(OR(D1963="",E1963=""),"",D1963*E1963)</f>
        <v/>
      </c>
      <c r="I1963" s="8">
        <f>IF(OR(D1963="",E1963=""),"",E1963*(1+D1963/30))</f>
        <v/>
      </c>
      <c r="J1963">
        <f>IF(I1963="","",IF(I1963&gt;=MAXIFS($I$2:$I$5001,$B$2:$B$5001,B1963,$A$2:$A$5001,"&lt;="&amp;A1963),"PR",""))</f>
        <v/>
      </c>
    </row>
    <row r="1964">
      <c r="A1964" s="7" t="n"/>
      <c r="H1964" s="11">
        <f>IF(OR(D1964="",E1964=""),"",D1964*E1964)</f>
        <v/>
      </c>
      <c r="I1964" s="8">
        <f>IF(OR(D1964="",E1964=""),"",E1964*(1+D1964/30))</f>
        <v/>
      </c>
      <c r="J1964">
        <f>IF(I1964="","",IF(I1964&gt;=MAXIFS($I$2:$I$5001,$B$2:$B$5001,B1964,$A$2:$A$5001,"&lt;="&amp;A1964),"PR",""))</f>
        <v/>
      </c>
    </row>
    <row r="1965">
      <c r="A1965" s="7" t="n"/>
      <c r="H1965" s="11">
        <f>IF(OR(D1965="",E1965=""),"",D1965*E1965)</f>
        <v/>
      </c>
      <c r="I1965" s="8">
        <f>IF(OR(D1965="",E1965=""),"",E1965*(1+D1965/30))</f>
        <v/>
      </c>
      <c r="J1965">
        <f>IF(I1965="","",IF(I1965&gt;=MAXIFS($I$2:$I$5001,$B$2:$B$5001,B1965,$A$2:$A$5001,"&lt;="&amp;A1965),"PR",""))</f>
        <v/>
      </c>
    </row>
    <row r="1966">
      <c r="A1966" s="7" t="n"/>
      <c r="H1966" s="11">
        <f>IF(OR(D1966="",E1966=""),"",D1966*E1966)</f>
        <v/>
      </c>
      <c r="I1966" s="8">
        <f>IF(OR(D1966="",E1966=""),"",E1966*(1+D1966/30))</f>
        <v/>
      </c>
      <c r="J1966">
        <f>IF(I1966="","",IF(I1966&gt;=MAXIFS($I$2:$I$5001,$B$2:$B$5001,B1966,$A$2:$A$5001,"&lt;="&amp;A1966),"PR",""))</f>
        <v/>
      </c>
    </row>
    <row r="1967">
      <c r="A1967" s="7" t="n"/>
      <c r="H1967" s="11">
        <f>IF(OR(D1967="",E1967=""),"",D1967*E1967)</f>
        <v/>
      </c>
      <c r="I1967" s="8">
        <f>IF(OR(D1967="",E1967=""),"",E1967*(1+D1967/30))</f>
        <v/>
      </c>
      <c r="J1967">
        <f>IF(I1967="","",IF(I1967&gt;=MAXIFS($I$2:$I$5001,$B$2:$B$5001,B1967,$A$2:$A$5001,"&lt;="&amp;A1967),"PR",""))</f>
        <v/>
      </c>
    </row>
    <row r="1968">
      <c r="A1968" s="7" t="n"/>
      <c r="H1968" s="11">
        <f>IF(OR(D1968="",E1968=""),"",D1968*E1968)</f>
        <v/>
      </c>
      <c r="I1968" s="8">
        <f>IF(OR(D1968="",E1968=""),"",E1968*(1+D1968/30))</f>
        <v/>
      </c>
      <c r="J1968">
        <f>IF(I1968="","",IF(I1968&gt;=MAXIFS($I$2:$I$5001,$B$2:$B$5001,B1968,$A$2:$A$5001,"&lt;="&amp;A1968),"PR",""))</f>
        <v/>
      </c>
    </row>
    <row r="1969">
      <c r="A1969" s="7" t="n"/>
      <c r="H1969" s="11">
        <f>IF(OR(D1969="",E1969=""),"",D1969*E1969)</f>
        <v/>
      </c>
      <c r="I1969" s="8">
        <f>IF(OR(D1969="",E1969=""),"",E1969*(1+D1969/30))</f>
        <v/>
      </c>
      <c r="J1969">
        <f>IF(I1969="","",IF(I1969&gt;=MAXIFS($I$2:$I$5001,$B$2:$B$5001,B1969,$A$2:$A$5001,"&lt;="&amp;A1969),"PR",""))</f>
        <v/>
      </c>
    </row>
    <row r="1970">
      <c r="A1970" s="7" t="n"/>
      <c r="H1970" s="11">
        <f>IF(OR(D1970="",E1970=""),"",D1970*E1970)</f>
        <v/>
      </c>
      <c r="I1970" s="8">
        <f>IF(OR(D1970="",E1970=""),"",E1970*(1+D1970/30))</f>
        <v/>
      </c>
      <c r="J1970">
        <f>IF(I1970="","",IF(I1970&gt;=MAXIFS($I$2:$I$5001,$B$2:$B$5001,B1970,$A$2:$A$5001,"&lt;="&amp;A1970),"PR",""))</f>
        <v/>
      </c>
    </row>
    <row r="1971">
      <c r="A1971" s="7" t="n"/>
      <c r="H1971" s="11">
        <f>IF(OR(D1971="",E1971=""),"",D1971*E1971)</f>
        <v/>
      </c>
      <c r="I1971" s="8">
        <f>IF(OR(D1971="",E1971=""),"",E1971*(1+D1971/30))</f>
        <v/>
      </c>
      <c r="J1971">
        <f>IF(I1971="","",IF(I1971&gt;=MAXIFS($I$2:$I$5001,$B$2:$B$5001,B1971,$A$2:$A$5001,"&lt;="&amp;A1971),"PR",""))</f>
        <v/>
      </c>
    </row>
    <row r="1972">
      <c r="A1972" s="7" t="n"/>
      <c r="H1972" s="11">
        <f>IF(OR(D1972="",E1972=""),"",D1972*E1972)</f>
        <v/>
      </c>
      <c r="I1972" s="8">
        <f>IF(OR(D1972="",E1972=""),"",E1972*(1+D1972/30))</f>
        <v/>
      </c>
      <c r="J1972">
        <f>IF(I1972="","",IF(I1972&gt;=MAXIFS($I$2:$I$5001,$B$2:$B$5001,B1972,$A$2:$A$5001,"&lt;="&amp;A1972),"PR",""))</f>
        <v/>
      </c>
    </row>
    <row r="1973">
      <c r="A1973" s="7" t="n"/>
      <c r="H1973" s="11">
        <f>IF(OR(D1973="",E1973=""),"",D1973*E1973)</f>
        <v/>
      </c>
      <c r="I1973" s="8">
        <f>IF(OR(D1973="",E1973=""),"",E1973*(1+D1973/30))</f>
        <v/>
      </c>
      <c r="J1973">
        <f>IF(I1973="","",IF(I1973&gt;=MAXIFS($I$2:$I$5001,$B$2:$B$5001,B1973,$A$2:$A$5001,"&lt;="&amp;A1973),"PR",""))</f>
        <v/>
      </c>
    </row>
    <row r="1974">
      <c r="A1974" s="7" t="n"/>
      <c r="H1974" s="11">
        <f>IF(OR(D1974="",E1974=""),"",D1974*E1974)</f>
        <v/>
      </c>
      <c r="I1974" s="8">
        <f>IF(OR(D1974="",E1974=""),"",E1974*(1+D1974/30))</f>
        <v/>
      </c>
      <c r="J1974">
        <f>IF(I1974="","",IF(I1974&gt;=MAXIFS($I$2:$I$5001,$B$2:$B$5001,B1974,$A$2:$A$5001,"&lt;="&amp;A1974),"PR",""))</f>
        <v/>
      </c>
    </row>
    <row r="1975">
      <c r="A1975" s="7" t="n"/>
      <c r="H1975" s="11">
        <f>IF(OR(D1975="",E1975=""),"",D1975*E1975)</f>
        <v/>
      </c>
      <c r="I1975" s="8">
        <f>IF(OR(D1975="",E1975=""),"",E1975*(1+D1975/30))</f>
        <v/>
      </c>
      <c r="J1975">
        <f>IF(I1975="","",IF(I1975&gt;=MAXIFS($I$2:$I$5001,$B$2:$B$5001,B1975,$A$2:$A$5001,"&lt;="&amp;A1975),"PR",""))</f>
        <v/>
      </c>
    </row>
    <row r="1976">
      <c r="A1976" s="7" t="n"/>
      <c r="H1976" s="11">
        <f>IF(OR(D1976="",E1976=""),"",D1976*E1976)</f>
        <v/>
      </c>
      <c r="I1976" s="8">
        <f>IF(OR(D1976="",E1976=""),"",E1976*(1+D1976/30))</f>
        <v/>
      </c>
      <c r="J1976">
        <f>IF(I1976="","",IF(I1976&gt;=MAXIFS($I$2:$I$5001,$B$2:$B$5001,B1976,$A$2:$A$5001,"&lt;="&amp;A1976),"PR",""))</f>
        <v/>
      </c>
    </row>
    <row r="1977">
      <c r="A1977" s="7" t="n"/>
      <c r="H1977" s="11">
        <f>IF(OR(D1977="",E1977=""),"",D1977*E1977)</f>
        <v/>
      </c>
      <c r="I1977" s="8">
        <f>IF(OR(D1977="",E1977=""),"",E1977*(1+D1977/30))</f>
        <v/>
      </c>
      <c r="J1977">
        <f>IF(I1977="","",IF(I1977&gt;=MAXIFS($I$2:$I$5001,$B$2:$B$5001,B1977,$A$2:$A$5001,"&lt;="&amp;A1977),"PR",""))</f>
        <v/>
      </c>
    </row>
    <row r="1978">
      <c r="A1978" s="7" t="n"/>
      <c r="H1978" s="11">
        <f>IF(OR(D1978="",E1978=""),"",D1978*E1978)</f>
        <v/>
      </c>
      <c r="I1978" s="8">
        <f>IF(OR(D1978="",E1978=""),"",E1978*(1+D1978/30))</f>
        <v/>
      </c>
      <c r="J1978">
        <f>IF(I1978="","",IF(I1978&gt;=MAXIFS($I$2:$I$5001,$B$2:$B$5001,B1978,$A$2:$A$5001,"&lt;="&amp;A1978),"PR",""))</f>
        <v/>
      </c>
    </row>
    <row r="1979">
      <c r="A1979" s="7" t="n"/>
      <c r="H1979" s="11">
        <f>IF(OR(D1979="",E1979=""),"",D1979*E1979)</f>
        <v/>
      </c>
      <c r="I1979" s="8">
        <f>IF(OR(D1979="",E1979=""),"",E1979*(1+D1979/30))</f>
        <v/>
      </c>
      <c r="J1979">
        <f>IF(I1979="","",IF(I1979&gt;=MAXIFS($I$2:$I$5001,$B$2:$B$5001,B1979,$A$2:$A$5001,"&lt;="&amp;A1979),"PR",""))</f>
        <v/>
      </c>
    </row>
    <row r="1980">
      <c r="A1980" s="7" t="n"/>
      <c r="H1980" s="11">
        <f>IF(OR(D1980="",E1980=""),"",D1980*E1980)</f>
        <v/>
      </c>
      <c r="I1980" s="8">
        <f>IF(OR(D1980="",E1980=""),"",E1980*(1+D1980/30))</f>
        <v/>
      </c>
      <c r="J1980">
        <f>IF(I1980="","",IF(I1980&gt;=MAXIFS($I$2:$I$5001,$B$2:$B$5001,B1980,$A$2:$A$5001,"&lt;="&amp;A1980),"PR",""))</f>
        <v/>
      </c>
    </row>
    <row r="1981">
      <c r="A1981" s="7" t="n"/>
      <c r="H1981" s="11">
        <f>IF(OR(D1981="",E1981=""),"",D1981*E1981)</f>
        <v/>
      </c>
      <c r="I1981" s="8">
        <f>IF(OR(D1981="",E1981=""),"",E1981*(1+D1981/30))</f>
        <v/>
      </c>
      <c r="J1981">
        <f>IF(I1981="","",IF(I1981&gt;=MAXIFS($I$2:$I$5001,$B$2:$B$5001,B1981,$A$2:$A$5001,"&lt;="&amp;A1981),"PR",""))</f>
        <v/>
      </c>
    </row>
    <row r="1982">
      <c r="A1982" s="7" t="n"/>
      <c r="H1982" s="11">
        <f>IF(OR(D1982="",E1982=""),"",D1982*E1982)</f>
        <v/>
      </c>
      <c r="I1982" s="8">
        <f>IF(OR(D1982="",E1982=""),"",E1982*(1+D1982/30))</f>
        <v/>
      </c>
      <c r="J1982">
        <f>IF(I1982="","",IF(I1982&gt;=MAXIFS($I$2:$I$5001,$B$2:$B$5001,B1982,$A$2:$A$5001,"&lt;="&amp;A1982),"PR",""))</f>
        <v/>
      </c>
    </row>
    <row r="1983">
      <c r="A1983" s="7" t="n"/>
      <c r="H1983" s="11">
        <f>IF(OR(D1983="",E1983=""),"",D1983*E1983)</f>
        <v/>
      </c>
      <c r="I1983" s="8">
        <f>IF(OR(D1983="",E1983=""),"",E1983*(1+D1983/30))</f>
        <v/>
      </c>
      <c r="J1983">
        <f>IF(I1983="","",IF(I1983&gt;=MAXIFS($I$2:$I$5001,$B$2:$B$5001,B1983,$A$2:$A$5001,"&lt;="&amp;A1983),"PR",""))</f>
        <v/>
      </c>
    </row>
    <row r="1984">
      <c r="A1984" s="7" t="n"/>
      <c r="H1984" s="11">
        <f>IF(OR(D1984="",E1984=""),"",D1984*E1984)</f>
        <v/>
      </c>
      <c r="I1984" s="8">
        <f>IF(OR(D1984="",E1984=""),"",E1984*(1+D1984/30))</f>
        <v/>
      </c>
      <c r="J1984">
        <f>IF(I1984="","",IF(I1984&gt;=MAXIFS($I$2:$I$5001,$B$2:$B$5001,B1984,$A$2:$A$5001,"&lt;="&amp;A1984),"PR",""))</f>
        <v/>
      </c>
    </row>
    <row r="1985">
      <c r="A1985" s="7" t="n"/>
      <c r="H1985" s="11">
        <f>IF(OR(D1985="",E1985=""),"",D1985*E1985)</f>
        <v/>
      </c>
      <c r="I1985" s="8">
        <f>IF(OR(D1985="",E1985=""),"",E1985*(1+D1985/30))</f>
        <v/>
      </c>
      <c r="J1985">
        <f>IF(I1985="","",IF(I1985&gt;=MAXIFS($I$2:$I$5001,$B$2:$B$5001,B1985,$A$2:$A$5001,"&lt;="&amp;A1985),"PR",""))</f>
        <v/>
      </c>
    </row>
    <row r="1986">
      <c r="A1986" s="7" t="n"/>
      <c r="H1986" s="11">
        <f>IF(OR(D1986="",E1986=""),"",D1986*E1986)</f>
        <v/>
      </c>
      <c r="I1986" s="8">
        <f>IF(OR(D1986="",E1986=""),"",E1986*(1+D1986/30))</f>
        <v/>
      </c>
      <c r="J1986">
        <f>IF(I1986="","",IF(I1986&gt;=MAXIFS($I$2:$I$5001,$B$2:$B$5001,B1986,$A$2:$A$5001,"&lt;="&amp;A1986),"PR",""))</f>
        <v/>
      </c>
    </row>
    <row r="1987">
      <c r="A1987" s="7" t="n"/>
      <c r="H1987" s="11">
        <f>IF(OR(D1987="",E1987=""),"",D1987*E1987)</f>
        <v/>
      </c>
      <c r="I1987" s="8">
        <f>IF(OR(D1987="",E1987=""),"",E1987*(1+D1987/30))</f>
        <v/>
      </c>
      <c r="J1987">
        <f>IF(I1987="","",IF(I1987&gt;=MAXIFS($I$2:$I$5001,$B$2:$B$5001,B1987,$A$2:$A$5001,"&lt;="&amp;A1987),"PR",""))</f>
        <v/>
      </c>
    </row>
    <row r="1988">
      <c r="A1988" s="7" t="n"/>
      <c r="H1988" s="11">
        <f>IF(OR(D1988="",E1988=""),"",D1988*E1988)</f>
        <v/>
      </c>
      <c r="I1988" s="8">
        <f>IF(OR(D1988="",E1988=""),"",E1988*(1+D1988/30))</f>
        <v/>
      </c>
      <c r="J1988">
        <f>IF(I1988="","",IF(I1988&gt;=MAXIFS($I$2:$I$5001,$B$2:$B$5001,B1988,$A$2:$A$5001,"&lt;="&amp;A1988),"PR",""))</f>
        <v/>
      </c>
    </row>
    <row r="1989">
      <c r="A1989" s="7" t="n"/>
      <c r="H1989" s="11">
        <f>IF(OR(D1989="",E1989=""),"",D1989*E1989)</f>
        <v/>
      </c>
      <c r="I1989" s="8">
        <f>IF(OR(D1989="",E1989=""),"",E1989*(1+D1989/30))</f>
        <v/>
      </c>
      <c r="J1989">
        <f>IF(I1989="","",IF(I1989&gt;=MAXIFS($I$2:$I$5001,$B$2:$B$5001,B1989,$A$2:$A$5001,"&lt;="&amp;A1989),"PR",""))</f>
        <v/>
      </c>
    </row>
    <row r="1990">
      <c r="A1990" s="7" t="n"/>
      <c r="H1990" s="11">
        <f>IF(OR(D1990="",E1990=""),"",D1990*E1990)</f>
        <v/>
      </c>
      <c r="I1990" s="8">
        <f>IF(OR(D1990="",E1990=""),"",E1990*(1+D1990/30))</f>
        <v/>
      </c>
      <c r="J1990">
        <f>IF(I1990="","",IF(I1990&gt;=MAXIFS($I$2:$I$5001,$B$2:$B$5001,B1990,$A$2:$A$5001,"&lt;="&amp;A1990),"PR",""))</f>
        <v/>
      </c>
    </row>
    <row r="1991">
      <c r="A1991" s="7" t="n"/>
      <c r="H1991" s="11">
        <f>IF(OR(D1991="",E1991=""),"",D1991*E1991)</f>
        <v/>
      </c>
      <c r="I1991" s="8">
        <f>IF(OR(D1991="",E1991=""),"",E1991*(1+D1991/30))</f>
        <v/>
      </c>
      <c r="J1991">
        <f>IF(I1991="","",IF(I1991&gt;=MAXIFS($I$2:$I$5001,$B$2:$B$5001,B1991,$A$2:$A$5001,"&lt;="&amp;A1991),"PR",""))</f>
        <v/>
      </c>
    </row>
    <row r="1992">
      <c r="A1992" s="7" t="n"/>
      <c r="H1992" s="11">
        <f>IF(OR(D1992="",E1992=""),"",D1992*E1992)</f>
        <v/>
      </c>
      <c r="I1992" s="8">
        <f>IF(OR(D1992="",E1992=""),"",E1992*(1+D1992/30))</f>
        <v/>
      </c>
      <c r="J1992">
        <f>IF(I1992="","",IF(I1992&gt;=MAXIFS($I$2:$I$5001,$B$2:$B$5001,B1992,$A$2:$A$5001,"&lt;="&amp;A1992),"PR",""))</f>
        <v/>
      </c>
    </row>
    <row r="1993">
      <c r="A1993" s="7" t="n"/>
      <c r="H1993" s="11">
        <f>IF(OR(D1993="",E1993=""),"",D1993*E1993)</f>
        <v/>
      </c>
      <c r="I1993" s="8">
        <f>IF(OR(D1993="",E1993=""),"",E1993*(1+D1993/30))</f>
        <v/>
      </c>
      <c r="J1993">
        <f>IF(I1993="","",IF(I1993&gt;=MAXIFS($I$2:$I$5001,$B$2:$B$5001,B1993,$A$2:$A$5001,"&lt;="&amp;A1993),"PR",""))</f>
        <v/>
      </c>
    </row>
    <row r="1994">
      <c r="A1994" s="7" t="n"/>
      <c r="H1994" s="11">
        <f>IF(OR(D1994="",E1994=""),"",D1994*E1994)</f>
        <v/>
      </c>
      <c r="I1994" s="8">
        <f>IF(OR(D1994="",E1994=""),"",E1994*(1+D1994/30))</f>
        <v/>
      </c>
      <c r="J1994">
        <f>IF(I1994="","",IF(I1994&gt;=MAXIFS($I$2:$I$5001,$B$2:$B$5001,B1994,$A$2:$A$5001,"&lt;="&amp;A1994),"PR",""))</f>
        <v/>
      </c>
    </row>
    <row r="1995">
      <c r="A1995" s="7" t="n"/>
      <c r="H1995" s="11">
        <f>IF(OR(D1995="",E1995=""),"",D1995*E1995)</f>
        <v/>
      </c>
      <c r="I1995" s="8">
        <f>IF(OR(D1995="",E1995=""),"",E1995*(1+D1995/30))</f>
        <v/>
      </c>
      <c r="J1995">
        <f>IF(I1995="","",IF(I1995&gt;=MAXIFS($I$2:$I$5001,$B$2:$B$5001,B1995,$A$2:$A$5001,"&lt;="&amp;A1995),"PR",""))</f>
        <v/>
      </c>
    </row>
    <row r="1996">
      <c r="A1996" s="7" t="n"/>
      <c r="H1996" s="11">
        <f>IF(OR(D1996="",E1996=""),"",D1996*E1996)</f>
        <v/>
      </c>
      <c r="I1996" s="8">
        <f>IF(OR(D1996="",E1996=""),"",E1996*(1+D1996/30))</f>
        <v/>
      </c>
      <c r="J1996">
        <f>IF(I1996="","",IF(I1996&gt;=MAXIFS($I$2:$I$5001,$B$2:$B$5001,B1996,$A$2:$A$5001,"&lt;="&amp;A1996),"PR",""))</f>
        <v/>
      </c>
    </row>
    <row r="1997">
      <c r="A1997" s="7" t="n"/>
      <c r="H1997" s="11">
        <f>IF(OR(D1997="",E1997=""),"",D1997*E1997)</f>
        <v/>
      </c>
      <c r="I1997" s="8">
        <f>IF(OR(D1997="",E1997=""),"",E1997*(1+D1997/30))</f>
        <v/>
      </c>
      <c r="J1997">
        <f>IF(I1997="","",IF(I1997&gt;=MAXIFS($I$2:$I$5001,$B$2:$B$5001,B1997,$A$2:$A$5001,"&lt;="&amp;A1997),"PR",""))</f>
        <v/>
      </c>
    </row>
    <row r="1998">
      <c r="A1998" s="7" t="n"/>
      <c r="H1998" s="11">
        <f>IF(OR(D1998="",E1998=""),"",D1998*E1998)</f>
        <v/>
      </c>
      <c r="I1998" s="8">
        <f>IF(OR(D1998="",E1998=""),"",E1998*(1+D1998/30))</f>
        <v/>
      </c>
      <c r="J1998">
        <f>IF(I1998="","",IF(I1998&gt;=MAXIFS($I$2:$I$5001,$B$2:$B$5001,B1998,$A$2:$A$5001,"&lt;="&amp;A1998),"PR",""))</f>
        <v/>
      </c>
    </row>
    <row r="1999">
      <c r="A1999" s="7" t="n"/>
      <c r="H1999" s="11">
        <f>IF(OR(D1999="",E1999=""),"",D1999*E1999)</f>
        <v/>
      </c>
      <c r="I1999" s="8">
        <f>IF(OR(D1999="",E1999=""),"",E1999*(1+D1999/30))</f>
        <v/>
      </c>
      <c r="J1999">
        <f>IF(I1999="","",IF(I1999&gt;=MAXIFS($I$2:$I$5001,$B$2:$B$5001,B1999,$A$2:$A$5001,"&lt;="&amp;A1999),"PR",""))</f>
        <v/>
      </c>
    </row>
    <row r="2000">
      <c r="A2000" s="7" t="n"/>
      <c r="H2000" s="11">
        <f>IF(OR(D2000="",E2000=""),"",D2000*E2000)</f>
        <v/>
      </c>
      <c r="I2000" s="8">
        <f>IF(OR(D2000="",E2000=""),"",E2000*(1+D2000/30))</f>
        <v/>
      </c>
      <c r="J2000">
        <f>IF(I2000="","",IF(I2000&gt;=MAXIFS($I$2:$I$5001,$B$2:$B$5001,B2000,$A$2:$A$5001,"&lt;="&amp;A2000),"PR",""))</f>
        <v/>
      </c>
    </row>
    <row r="2001">
      <c r="A2001" s="7" t="n"/>
      <c r="H2001" s="11">
        <f>IF(OR(D2001="",E2001=""),"",D2001*E2001)</f>
        <v/>
      </c>
      <c r="I2001" s="8">
        <f>IF(OR(D2001="",E2001=""),"",E2001*(1+D2001/30))</f>
        <v/>
      </c>
      <c r="J2001">
        <f>IF(I2001="","",IF(I2001&gt;=MAXIFS($I$2:$I$5001,$B$2:$B$5001,B2001,$A$2:$A$5001,"&lt;="&amp;A2001),"PR",""))</f>
        <v/>
      </c>
    </row>
    <row r="2002">
      <c r="A2002" s="7" t="n"/>
      <c r="H2002" s="11">
        <f>IF(OR(D2002="",E2002=""),"",D2002*E2002)</f>
        <v/>
      </c>
      <c r="I2002" s="8">
        <f>IF(OR(D2002="",E2002=""),"",E2002*(1+D2002/30))</f>
        <v/>
      </c>
      <c r="J2002">
        <f>IF(I2002="","",IF(I2002&gt;=MAXIFS($I$2:$I$5001,$B$2:$B$5001,B2002,$A$2:$A$5001,"&lt;="&amp;A2002),"PR",""))</f>
        <v/>
      </c>
    </row>
    <row r="2003">
      <c r="A2003" s="7" t="n"/>
      <c r="H2003" s="11">
        <f>IF(OR(D2003="",E2003=""),"",D2003*E2003)</f>
        <v/>
      </c>
      <c r="I2003" s="8">
        <f>IF(OR(D2003="",E2003=""),"",E2003*(1+D2003/30))</f>
        <v/>
      </c>
      <c r="J2003">
        <f>IF(I2003="","",IF(I2003&gt;=MAXIFS($I$2:$I$5001,$B$2:$B$5001,B2003,$A$2:$A$5001,"&lt;="&amp;A2003),"PR",""))</f>
        <v/>
      </c>
    </row>
    <row r="2004">
      <c r="A2004" s="7" t="n"/>
      <c r="H2004" s="11">
        <f>IF(OR(D2004="",E2004=""),"",D2004*E2004)</f>
        <v/>
      </c>
      <c r="I2004" s="8">
        <f>IF(OR(D2004="",E2004=""),"",E2004*(1+D2004/30))</f>
        <v/>
      </c>
      <c r="J2004">
        <f>IF(I2004="","",IF(I2004&gt;=MAXIFS($I$2:$I$5001,$B$2:$B$5001,B2004,$A$2:$A$5001,"&lt;="&amp;A2004),"PR",""))</f>
        <v/>
      </c>
    </row>
    <row r="2005">
      <c r="A2005" s="7" t="n"/>
      <c r="H2005" s="11">
        <f>IF(OR(D2005="",E2005=""),"",D2005*E2005)</f>
        <v/>
      </c>
      <c r="I2005" s="8">
        <f>IF(OR(D2005="",E2005=""),"",E2005*(1+D2005/30))</f>
        <v/>
      </c>
      <c r="J2005">
        <f>IF(I2005="","",IF(I2005&gt;=MAXIFS($I$2:$I$5001,$B$2:$B$5001,B2005,$A$2:$A$5001,"&lt;="&amp;A2005),"PR",""))</f>
        <v/>
      </c>
    </row>
    <row r="2006">
      <c r="A2006" s="7" t="n"/>
      <c r="H2006" s="11">
        <f>IF(OR(D2006="",E2006=""),"",D2006*E2006)</f>
        <v/>
      </c>
      <c r="I2006" s="8">
        <f>IF(OR(D2006="",E2006=""),"",E2006*(1+D2006/30))</f>
        <v/>
      </c>
      <c r="J2006">
        <f>IF(I2006="","",IF(I2006&gt;=MAXIFS($I$2:$I$5001,$B$2:$B$5001,B2006,$A$2:$A$5001,"&lt;="&amp;A2006),"PR",""))</f>
        <v/>
      </c>
    </row>
    <row r="2007">
      <c r="A2007" s="7" t="n"/>
      <c r="H2007" s="11">
        <f>IF(OR(D2007="",E2007=""),"",D2007*E2007)</f>
        <v/>
      </c>
      <c r="I2007" s="8">
        <f>IF(OR(D2007="",E2007=""),"",E2007*(1+D2007/30))</f>
        <v/>
      </c>
      <c r="J2007">
        <f>IF(I2007="","",IF(I2007&gt;=MAXIFS($I$2:$I$5001,$B$2:$B$5001,B2007,$A$2:$A$5001,"&lt;="&amp;A2007),"PR",""))</f>
        <v/>
      </c>
    </row>
    <row r="2008">
      <c r="A2008" s="7" t="n"/>
      <c r="H2008" s="11">
        <f>IF(OR(D2008="",E2008=""),"",D2008*E2008)</f>
        <v/>
      </c>
      <c r="I2008" s="8">
        <f>IF(OR(D2008="",E2008=""),"",E2008*(1+D2008/30))</f>
        <v/>
      </c>
      <c r="J2008">
        <f>IF(I2008="","",IF(I2008&gt;=MAXIFS($I$2:$I$5001,$B$2:$B$5001,B2008,$A$2:$A$5001,"&lt;="&amp;A2008),"PR",""))</f>
        <v/>
      </c>
    </row>
    <row r="2009">
      <c r="A2009" s="7" t="n"/>
      <c r="H2009" s="11">
        <f>IF(OR(D2009="",E2009=""),"",D2009*E2009)</f>
        <v/>
      </c>
      <c r="I2009" s="8">
        <f>IF(OR(D2009="",E2009=""),"",E2009*(1+D2009/30))</f>
        <v/>
      </c>
      <c r="J2009">
        <f>IF(I2009="","",IF(I2009&gt;=MAXIFS($I$2:$I$5001,$B$2:$B$5001,B2009,$A$2:$A$5001,"&lt;="&amp;A2009),"PR",""))</f>
        <v/>
      </c>
    </row>
    <row r="2010">
      <c r="A2010" s="7" t="n"/>
      <c r="H2010" s="11">
        <f>IF(OR(D2010="",E2010=""),"",D2010*E2010)</f>
        <v/>
      </c>
      <c r="I2010" s="8">
        <f>IF(OR(D2010="",E2010=""),"",E2010*(1+D2010/30))</f>
        <v/>
      </c>
      <c r="J2010">
        <f>IF(I2010="","",IF(I2010&gt;=MAXIFS($I$2:$I$5001,$B$2:$B$5001,B2010,$A$2:$A$5001,"&lt;="&amp;A2010),"PR",""))</f>
        <v/>
      </c>
    </row>
    <row r="2011">
      <c r="A2011" s="7" t="n"/>
      <c r="H2011" s="11">
        <f>IF(OR(D2011="",E2011=""),"",D2011*E2011)</f>
        <v/>
      </c>
      <c r="I2011" s="8">
        <f>IF(OR(D2011="",E2011=""),"",E2011*(1+D2011/30))</f>
        <v/>
      </c>
      <c r="J2011">
        <f>IF(I2011="","",IF(I2011&gt;=MAXIFS($I$2:$I$5001,$B$2:$B$5001,B2011,$A$2:$A$5001,"&lt;="&amp;A2011),"PR",""))</f>
        <v/>
      </c>
    </row>
    <row r="2012">
      <c r="A2012" s="7" t="n"/>
      <c r="H2012" s="11">
        <f>IF(OR(D2012="",E2012=""),"",D2012*E2012)</f>
        <v/>
      </c>
      <c r="I2012" s="8">
        <f>IF(OR(D2012="",E2012=""),"",E2012*(1+D2012/30))</f>
        <v/>
      </c>
      <c r="J2012">
        <f>IF(I2012="","",IF(I2012&gt;=MAXIFS($I$2:$I$5001,$B$2:$B$5001,B2012,$A$2:$A$5001,"&lt;="&amp;A2012),"PR",""))</f>
        <v/>
      </c>
    </row>
    <row r="2013">
      <c r="A2013" s="7" t="n"/>
      <c r="H2013" s="11">
        <f>IF(OR(D2013="",E2013=""),"",D2013*E2013)</f>
        <v/>
      </c>
      <c r="I2013" s="8">
        <f>IF(OR(D2013="",E2013=""),"",E2013*(1+D2013/30))</f>
        <v/>
      </c>
      <c r="J2013">
        <f>IF(I2013="","",IF(I2013&gt;=MAXIFS($I$2:$I$5001,$B$2:$B$5001,B2013,$A$2:$A$5001,"&lt;="&amp;A2013),"PR",""))</f>
        <v/>
      </c>
    </row>
    <row r="2014">
      <c r="A2014" s="7" t="n"/>
      <c r="H2014" s="11">
        <f>IF(OR(D2014="",E2014=""),"",D2014*E2014)</f>
        <v/>
      </c>
      <c r="I2014" s="8">
        <f>IF(OR(D2014="",E2014=""),"",E2014*(1+D2014/30))</f>
        <v/>
      </c>
      <c r="J2014">
        <f>IF(I2014="","",IF(I2014&gt;=MAXIFS($I$2:$I$5001,$B$2:$B$5001,B2014,$A$2:$A$5001,"&lt;="&amp;A2014),"PR",""))</f>
        <v/>
      </c>
    </row>
    <row r="2015">
      <c r="A2015" s="7" t="n"/>
      <c r="H2015" s="11">
        <f>IF(OR(D2015="",E2015=""),"",D2015*E2015)</f>
        <v/>
      </c>
      <c r="I2015" s="8">
        <f>IF(OR(D2015="",E2015=""),"",E2015*(1+D2015/30))</f>
        <v/>
      </c>
      <c r="J2015">
        <f>IF(I2015="","",IF(I2015&gt;=MAXIFS($I$2:$I$5001,$B$2:$B$5001,B2015,$A$2:$A$5001,"&lt;="&amp;A2015),"PR",""))</f>
        <v/>
      </c>
    </row>
    <row r="2016">
      <c r="A2016" s="7" t="n"/>
      <c r="H2016" s="11">
        <f>IF(OR(D2016="",E2016=""),"",D2016*E2016)</f>
        <v/>
      </c>
      <c r="I2016" s="8">
        <f>IF(OR(D2016="",E2016=""),"",E2016*(1+D2016/30))</f>
        <v/>
      </c>
      <c r="J2016">
        <f>IF(I2016="","",IF(I2016&gt;=MAXIFS($I$2:$I$5001,$B$2:$B$5001,B2016,$A$2:$A$5001,"&lt;="&amp;A2016),"PR",""))</f>
        <v/>
      </c>
    </row>
    <row r="2017">
      <c r="A2017" s="7" t="n"/>
      <c r="H2017" s="11">
        <f>IF(OR(D2017="",E2017=""),"",D2017*E2017)</f>
        <v/>
      </c>
      <c r="I2017" s="8">
        <f>IF(OR(D2017="",E2017=""),"",E2017*(1+D2017/30))</f>
        <v/>
      </c>
      <c r="J2017">
        <f>IF(I2017="","",IF(I2017&gt;=MAXIFS($I$2:$I$5001,$B$2:$B$5001,B2017,$A$2:$A$5001,"&lt;="&amp;A2017),"PR",""))</f>
        <v/>
      </c>
    </row>
    <row r="2018">
      <c r="A2018" s="7" t="n"/>
      <c r="H2018" s="11">
        <f>IF(OR(D2018="",E2018=""),"",D2018*E2018)</f>
        <v/>
      </c>
      <c r="I2018" s="8">
        <f>IF(OR(D2018="",E2018=""),"",E2018*(1+D2018/30))</f>
        <v/>
      </c>
      <c r="J2018">
        <f>IF(I2018="","",IF(I2018&gt;=MAXIFS($I$2:$I$5001,$B$2:$B$5001,B2018,$A$2:$A$5001,"&lt;="&amp;A2018),"PR",""))</f>
        <v/>
      </c>
    </row>
    <row r="2019">
      <c r="A2019" s="7" t="n"/>
      <c r="H2019" s="11">
        <f>IF(OR(D2019="",E2019=""),"",D2019*E2019)</f>
        <v/>
      </c>
      <c r="I2019" s="8">
        <f>IF(OR(D2019="",E2019=""),"",E2019*(1+D2019/30))</f>
        <v/>
      </c>
      <c r="J2019">
        <f>IF(I2019="","",IF(I2019&gt;=MAXIFS($I$2:$I$5001,$B$2:$B$5001,B2019,$A$2:$A$5001,"&lt;="&amp;A2019),"PR",""))</f>
        <v/>
      </c>
    </row>
    <row r="2020">
      <c r="A2020" s="7" t="n"/>
      <c r="H2020" s="11">
        <f>IF(OR(D2020="",E2020=""),"",D2020*E2020)</f>
        <v/>
      </c>
      <c r="I2020" s="8">
        <f>IF(OR(D2020="",E2020=""),"",E2020*(1+D2020/30))</f>
        <v/>
      </c>
      <c r="J2020">
        <f>IF(I2020="","",IF(I2020&gt;=MAXIFS($I$2:$I$5001,$B$2:$B$5001,B2020,$A$2:$A$5001,"&lt;="&amp;A2020),"PR",""))</f>
        <v/>
      </c>
    </row>
    <row r="2021">
      <c r="A2021" s="7" t="n"/>
      <c r="H2021" s="11">
        <f>IF(OR(D2021="",E2021=""),"",D2021*E2021)</f>
        <v/>
      </c>
      <c r="I2021" s="8">
        <f>IF(OR(D2021="",E2021=""),"",E2021*(1+D2021/30))</f>
        <v/>
      </c>
      <c r="J2021">
        <f>IF(I2021="","",IF(I2021&gt;=MAXIFS($I$2:$I$5001,$B$2:$B$5001,B2021,$A$2:$A$5001,"&lt;="&amp;A2021),"PR",""))</f>
        <v/>
      </c>
    </row>
    <row r="2022">
      <c r="A2022" s="7" t="n"/>
      <c r="H2022" s="11">
        <f>IF(OR(D2022="",E2022=""),"",D2022*E2022)</f>
        <v/>
      </c>
      <c r="I2022" s="8">
        <f>IF(OR(D2022="",E2022=""),"",E2022*(1+D2022/30))</f>
        <v/>
      </c>
      <c r="J2022">
        <f>IF(I2022="","",IF(I2022&gt;=MAXIFS($I$2:$I$5001,$B$2:$B$5001,B2022,$A$2:$A$5001,"&lt;="&amp;A2022),"PR",""))</f>
        <v/>
      </c>
    </row>
    <row r="2023">
      <c r="A2023" s="7" t="n"/>
      <c r="H2023" s="11">
        <f>IF(OR(D2023="",E2023=""),"",D2023*E2023)</f>
        <v/>
      </c>
      <c r="I2023" s="8">
        <f>IF(OR(D2023="",E2023=""),"",E2023*(1+D2023/30))</f>
        <v/>
      </c>
      <c r="J2023">
        <f>IF(I2023="","",IF(I2023&gt;=MAXIFS($I$2:$I$5001,$B$2:$B$5001,B2023,$A$2:$A$5001,"&lt;="&amp;A2023),"PR",""))</f>
        <v/>
      </c>
    </row>
    <row r="2024">
      <c r="A2024" s="7" t="n"/>
      <c r="H2024" s="11">
        <f>IF(OR(D2024="",E2024=""),"",D2024*E2024)</f>
        <v/>
      </c>
      <c r="I2024" s="8">
        <f>IF(OR(D2024="",E2024=""),"",E2024*(1+D2024/30))</f>
        <v/>
      </c>
      <c r="J2024">
        <f>IF(I2024="","",IF(I2024&gt;=MAXIFS($I$2:$I$5001,$B$2:$B$5001,B2024,$A$2:$A$5001,"&lt;="&amp;A2024),"PR",""))</f>
        <v/>
      </c>
    </row>
    <row r="2025">
      <c r="A2025" s="7" t="n"/>
      <c r="H2025" s="11">
        <f>IF(OR(D2025="",E2025=""),"",D2025*E2025)</f>
        <v/>
      </c>
      <c r="I2025" s="8">
        <f>IF(OR(D2025="",E2025=""),"",E2025*(1+D2025/30))</f>
        <v/>
      </c>
      <c r="J2025">
        <f>IF(I2025="","",IF(I2025&gt;=MAXIFS($I$2:$I$5001,$B$2:$B$5001,B2025,$A$2:$A$5001,"&lt;="&amp;A2025),"PR",""))</f>
        <v/>
      </c>
    </row>
    <row r="2026">
      <c r="A2026" s="7" t="n"/>
      <c r="H2026" s="11">
        <f>IF(OR(D2026="",E2026=""),"",D2026*E2026)</f>
        <v/>
      </c>
      <c r="I2026" s="8">
        <f>IF(OR(D2026="",E2026=""),"",E2026*(1+D2026/30))</f>
        <v/>
      </c>
      <c r="J2026">
        <f>IF(I2026="","",IF(I2026&gt;=MAXIFS($I$2:$I$5001,$B$2:$B$5001,B2026,$A$2:$A$5001,"&lt;="&amp;A2026),"PR",""))</f>
        <v/>
      </c>
    </row>
    <row r="2027">
      <c r="A2027" s="7" t="n"/>
      <c r="H2027" s="11">
        <f>IF(OR(D2027="",E2027=""),"",D2027*E2027)</f>
        <v/>
      </c>
      <c r="I2027" s="8">
        <f>IF(OR(D2027="",E2027=""),"",E2027*(1+D2027/30))</f>
        <v/>
      </c>
      <c r="J2027">
        <f>IF(I2027="","",IF(I2027&gt;=MAXIFS($I$2:$I$5001,$B$2:$B$5001,B2027,$A$2:$A$5001,"&lt;="&amp;A2027),"PR",""))</f>
        <v/>
      </c>
    </row>
    <row r="2028">
      <c r="A2028" s="7" t="n"/>
      <c r="H2028" s="11">
        <f>IF(OR(D2028="",E2028=""),"",D2028*E2028)</f>
        <v/>
      </c>
      <c r="I2028" s="8">
        <f>IF(OR(D2028="",E2028=""),"",E2028*(1+D2028/30))</f>
        <v/>
      </c>
      <c r="J2028">
        <f>IF(I2028="","",IF(I2028&gt;=MAXIFS($I$2:$I$5001,$B$2:$B$5001,B2028,$A$2:$A$5001,"&lt;="&amp;A2028),"PR",""))</f>
        <v/>
      </c>
    </row>
    <row r="2029">
      <c r="A2029" s="7" t="n"/>
      <c r="H2029" s="11">
        <f>IF(OR(D2029="",E2029=""),"",D2029*E2029)</f>
        <v/>
      </c>
      <c r="I2029" s="8">
        <f>IF(OR(D2029="",E2029=""),"",E2029*(1+D2029/30))</f>
        <v/>
      </c>
      <c r="J2029">
        <f>IF(I2029="","",IF(I2029&gt;=MAXIFS($I$2:$I$5001,$B$2:$B$5001,B2029,$A$2:$A$5001,"&lt;="&amp;A2029),"PR",""))</f>
        <v/>
      </c>
    </row>
    <row r="2030">
      <c r="A2030" s="7" t="n"/>
      <c r="H2030" s="11">
        <f>IF(OR(D2030="",E2030=""),"",D2030*E2030)</f>
        <v/>
      </c>
      <c r="I2030" s="8">
        <f>IF(OR(D2030="",E2030=""),"",E2030*(1+D2030/30))</f>
        <v/>
      </c>
      <c r="J2030">
        <f>IF(I2030="","",IF(I2030&gt;=MAXIFS($I$2:$I$5001,$B$2:$B$5001,B2030,$A$2:$A$5001,"&lt;="&amp;A2030),"PR",""))</f>
        <v/>
      </c>
    </row>
    <row r="2031">
      <c r="A2031" s="7" t="n"/>
      <c r="H2031" s="11">
        <f>IF(OR(D2031="",E2031=""),"",D2031*E2031)</f>
        <v/>
      </c>
      <c r="I2031" s="8">
        <f>IF(OR(D2031="",E2031=""),"",E2031*(1+D2031/30))</f>
        <v/>
      </c>
      <c r="J2031">
        <f>IF(I2031="","",IF(I2031&gt;=MAXIFS($I$2:$I$5001,$B$2:$B$5001,B2031,$A$2:$A$5001,"&lt;="&amp;A2031),"PR",""))</f>
        <v/>
      </c>
    </row>
    <row r="2032">
      <c r="A2032" s="7" t="n"/>
      <c r="H2032" s="11">
        <f>IF(OR(D2032="",E2032=""),"",D2032*E2032)</f>
        <v/>
      </c>
      <c r="I2032" s="8">
        <f>IF(OR(D2032="",E2032=""),"",E2032*(1+D2032/30))</f>
        <v/>
      </c>
      <c r="J2032">
        <f>IF(I2032="","",IF(I2032&gt;=MAXIFS($I$2:$I$5001,$B$2:$B$5001,B2032,$A$2:$A$5001,"&lt;="&amp;A2032),"PR",""))</f>
        <v/>
      </c>
    </row>
    <row r="2033">
      <c r="A2033" s="7" t="n"/>
      <c r="H2033" s="11">
        <f>IF(OR(D2033="",E2033=""),"",D2033*E2033)</f>
        <v/>
      </c>
      <c r="I2033" s="8">
        <f>IF(OR(D2033="",E2033=""),"",E2033*(1+D2033/30))</f>
        <v/>
      </c>
      <c r="J2033">
        <f>IF(I2033="","",IF(I2033&gt;=MAXIFS($I$2:$I$5001,$B$2:$B$5001,B2033,$A$2:$A$5001,"&lt;="&amp;A2033),"PR",""))</f>
        <v/>
      </c>
    </row>
    <row r="2034">
      <c r="A2034" s="7" t="n"/>
      <c r="H2034" s="11">
        <f>IF(OR(D2034="",E2034=""),"",D2034*E2034)</f>
        <v/>
      </c>
      <c r="I2034" s="8">
        <f>IF(OR(D2034="",E2034=""),"",E2034*(1+D2034/30))</f>
        <v/>
      </c>
      <c r="J2034">
        <f>IF(I2034="","",IF(I2034&gt;=MAXIFS($I$2:$I$5001,$B$2:$B$5001,B2034,$A$2:$A$5001,"&lt;="&amp;A2034),"PR",""))</f>
        <v/>
      </c>
    </row>
    <row r="2035">
      <c r="A2035" s="7" t="n"/>
      <c r="H2035" s="11">
        <f>IF(OR(D2035="",E2035=""),"",D2035*E2035)</f>
        <v/>
      </c>
      <c r="I2035" s="8">
        <f>IF(OR(D2035="",E2035=""),"",E2035*(1+D2035/30))</f>
        <v/>
      </c>
      <c r="J2035">
        <f>IF(I2035="","",IF(I2035&gt;=MAXIFS($I$2:$I$5001,$B$2:$B$5001,B2035,$A$2:$A$5001,"&lt;="&amp;A2035),"PR",""))</f>
        <v/>
      </c>
    </row>
    <row r="2036">
      <c r="A2036" s="7" t="n"/>
      <c r="H2036" s="11">
        <f>IF(OR(D2036="",E2036=""),"",D2036*E2036)</f>
        <v/>
      </c>
      <c r="I2036" s="8">
        <f>IF(OR(D2036="",E2036=""),"",E2036*(1+D2036/30))</f>
        <v/>
      </c>
      <c r="J2036">
        <f>IF(I2036="","",IF(I2036&gt;=MAXIFS($I$2:$I$5001,$B$2:$B$5001,B2036,$A$2:$A$5001,"&lt;="&amp;A2036),"PR",""))</f>
        <v/>
      </c>
    </row>
    <row r="2037">
      <c r="A2037" s="7" t="n"/>
      <c r="H2037" s="11">
        <f>IF(OR(D2037="",E2037=""),"",D2037*E2037)</f>
        <v/>
      </c>
      <c r="I2037" s="8">
        <f>IF(OR(D2037="",E2037=""),"",E2037*(1+D2037/30))</f>
        <v/>
      </c>
      <c r="J2037">
        <f>IF(I2037="","",IF(I2037&gt;=MAXIFS($I$2:$I$5001,$B$2:$B$5001,B2037,$A$2:$A$5001,"&lt;="&amp;A2037),"PR",""))</f>
        <v/>
      </c>
    </row>
    <row r="2038">
      <c r="A2038" s="7" t="n"/>
      <c r="H2038" s="11">
        <f>IF(OR(D2038="",E2038=""),"",D2038*E2038)</f>
        <v/>
      </c>
      <c r="I2038" s="8">
        <f>IF(OR(D2038="",E2038=""),"",E2038*(1+D2038/30))</f>
        <v/>
      </c>
      <c r="J2038">
        <f>IF(I2038="","",IF(I2038&gt;=MAXIFS($I$2:$I$5001,$B$2:$B$5001,B2038,$A$2:$A$5001,"&lt;="&amp;A2038),"PR",""))</f>
        <v/>
      </c>
    </row>
    <row r="2039">
      <c r="A2039" s="7" t="n"/>
      <c r="H2039" s="11">
        <f>IF(OR(D2039="",E2039=""),"",D2039*E2039)</f>
        <v/>
      </c>
      <c r="I2039" s="8">
        <f>IF(OR(D2039="",E2039=""),"",E2039*(1+D2039/30))</f>
        <v/>
      </c>
      <c r="J2039">
        <f>IF(I2039="","",IF(I2039&gt;=MAXIFS($I$2:$I$5001,$B$2:$B$5001,B2039,$A$2:$A$5001,"&lt;="&amp;A2039),"PR",""))</f>
        <v/>
      </c>
    </row>
    <row r="2040">
      <c r="A2040" s="7" t="n"/>
      <c r="H2040" s="11">
        <f>IF(OR(D2040="",E2040=""),"",D2040*E2040)</f>
        <v/>
      </c>
      <c r="I2040" s="8">
        <f>IF(OR(D2040="",E2040=""),"",E2040*(1+D2040/30))</f>
        <v/>
      </c>
      <c r="J2040">
        <f>IF(I2040="","",IF(I2040&gt;=MAXIFS($I$2:$I$5001,$B$2:$B$5001,B2040,$A$2:$A$5001,"&lt;="&amp;A2040),"PR",""))</f>
        <v/>
      </c>
    </row>
    <row r="2041">
      <c r="A2041" s="7" t="n"/>
      <c r="H2041" s="11">
        <f>IF(OR(D2041="",E2041=""),"",D2041*E2041)</f>
        <v/>
      </c>
      <c r="I2041" s="8">
        <f>IF(OR(D2041="",E2041=""),"",E2041*(1+D2041/30))</f>
        <v/>
      </c>
      <c r="J2041">
        <f>IF(I2041="","",IF(I2041&gt;=MAXIFS($I$2:$I$5001,$B$2:$B$5001,B2041,$A$2:$A$5001,"&lt;="&amp;A2041),"PR",""))</f>
        <v/>
      </c>
    </row>
    <row r="2042">
      <c r="A2042" s="7" t="n"/>
      <c r="H2042" s="11">
        <f>IF(OR(D2042="",E2042=""),"",D2042*E2042)</f>
        <v/>
      </c>
      <c r="I2042" s="8">
        <f>IF(OR(D2042="",E2042=""),"",E2042*(1+D2042/30))</f>
        <v/>
      </c>
      <c r="J2042">
        <f>IF(I2042="","",IF(I2042&gt;=MAXIFS($I$2:$I$5001,$B$2:$B$5001,B2042,$A$2:$A$5001,"&lt;="&amp;A2042),"PR",""))</f>
        <v/>
      </c>
    </row>
    <row r="2043">
      <c r="A2043" s="7" t="n"/>
      <c r="H2043" s="11">
        <f>IF(OR(D2043="",E2043=""),"",D2043*E2043)</f>
        <v/>
      </c>
      <c r="I2043" s="8">
        <f>IF(OR(D2043="",E2043=""),"",E2043*(1+D2043/30))</f>
        <v/>
      </c>
      <c r="J2043">
        <f>IF(I2043="","",IF(I2043&gt;=MAXIFS($I$2:$I$5001,$B$2:$B$5001,B2043,$A$2:$A$5001,"&lt;="&amp;A2043),"PR",""))</f>
        <v/>
      </c>
    </row>
    <row r="2044">
      <c r="A2044" s="7" t="n"/>
      <c r="H2044" s="11">
        <f>IF(OR(D2044="",E2044=""),"",D2044*E2044)</f>
        <v/>
      </c>
      <c r="I2044" s="8">
        <f>IF(OR(D2044="",E2044=""),"",E2044*(1+D2044/30))</f>
        <v/>
      </c>
      <c r="J2044">
        <f>IF(I2044="","",IF(I2044&gt;=MAXIFS($I$2:$I$5001,$B$2:$B$5001,B2044,$A$2:$A$5001,"&lt;="&amp;A2044),"PR",""))</f>
        <v/>
      </c>
    </row>
    <row r="2045">
      <c r="A2045" s="7" t="n"/>
      <c r="H2045" s="11">
        <f>IF(OR(D2045="",E2045=""),"",D2045*E2045)</f>
        <v/>
      </c>
      <c r="I2045" s="8">
        <f>IF(OR(D2045="",E2045=""),"",E2045*(1+D2045/30))</f>
        <v/>
      </c>
      <c r="J2045">
        <f>IF(I2045="","",IF(I2045&gt;=MAXIFS($I$2:$I$5001,$B$2:$B$5001,B2045,$A$2:$A$5001,"&lt;="&amp;A2045),"PR",""))</f>
        <v/>
      </c>
    </row>
    <row r="2046">
      <c r="A2046" s="7" t="n"/>
      <c r="H2046" s="11">
        <f>IF(OR(D2046="",E2046=""),"",D2046*E2046)</f>
        <v/>
      </c>
      <c r="I2046" s="8">
        <f>IF(OR(D2046="",E2046=""),"",E2046*(1+D2046/30))</f>
        <v/>
      </c>
      <c r="J2046">
        <f>IF(I2046="","",IF(I2046&gt;=MAXIFS($I$2:$I$5001,$B$2:$B$5001,B2046,$A$2:$A$5001,"&lt;="&amp;A2046),"PR",""))</f>
        <v/>
      </c>
    </row>
    <row r="2047">
      <c r="A2047" s="7" t="n"/>
      <c r="H2047" s="11">
        <f>IF(OR(D2047="",E2047=""),"",D2047*E2047)</f>
        <v/>
      </c>
      <c r="I2047" s="8">
        <f>IF(OR(D2047="",E2047=""),"",E2047*(1+D2047/30))</f>
        <v/>
      </c>
      <c r="J2047">
        <f>IF(I2047="","",IF(I2047&gt;=MAXIFS($I$2:$I$5001,$B$2:$B$5001,B2047,$A$2:$A$5001,"&lt;="&amp;A2047),"PR",""))</f>
        <v/>
      </c>
    </row>
    <row r="2048">
      <c r="A2048" s="7" t="n"/>
      <c r="H2048" s="11">
        <f>IF(OR(D2048="",E2048=""),"",D2048*E2048)</f>
        <v/>
      </c>
      <c r="I2048" s="8">
        <f>IF(OR(D2048="",E2048=""),"",E2048*(1+D2048/30))</f>
        <v/>
      </c>
      <c r="J2048">
        <f>IF(I2048="","",IF(I2048&gt;=MAXIFS($I$2:$I$5001,$B$2:$B$5001,B2048,$A$2:$A$5001,"&lt;="&amp;A2048),"PR",""))</f>
        <v/>
      </c>
    </row>
    <row r="2049">
      <c r="A2049" s="7" t="n"/>
      <c r="H2049" s="11">
        <f>IF(OR(D2049="",E2049=""),"",D2049*E2049)</f>
        <v/>
      </c>
      <c r="I2049" s="8">
        <f>IF(OR(D2049="",E2049=""),"",E2049*(1+D2049/30))</f>
        <v/>
      </c>
      <c r="J2049">
        <f>IF(I2049="","",IF(I2049&gt;=MAXIFS($I$2:$I$5001,$B$2:$B$5001,B2049,$A$2:$A$5001,"&lt;="&amp;A2049),"PR",""))</f>
        <v/>
      </c>
    </row>
    <row r="2050">
      <c r="A2050" s="7" t="n"/>
      <c r="H2050" s="11">
        <f>IF(OR(D2050="",E2050=""),"",D2050*E2050)</f>
        <v/>
      </c>
      <c r="I2050" s="8">
        <f>IF(OR(D2050="",E2050=""),"",E2050*(1+D2050/30))</f>
        <v/>
      </c>
      <c r="J2050">
        <f>IF(I2050="","",IF(I2050&gt;=MAXIFS($I$2:$I$5001,$B$2:$B$5001,B2050,$A$2:$A$5001,"&lt;="&amp;A2050),"PR",""))</f>
        <v/>
      </c>
    </row>
    <row r="2051">
      <c r="A2051" s="7" t="n"/>
      <c r="H2051" s="11">
        <f>IF(OR(D2051="",E2051=""),"",D2051*E2051)</f>
        <v/>
      </c>
      <c r="I2051" s="8">
        <f>IF(OR(D2051="",E2051=""),"",E2051*(1+D2051/30))</f>
        <v/>
      </c>
      <c r="J2051">
        <f>IF(I2051="","",IF(I2051&gt;=MAXIFS($I$2:$I$5001,$B$2:$B$5001,B2051,$A$2:$A$5001,"&lt;="&amp;A2051),"PR",""))</f>
        <v/>
      </c>
    </row>
    <row r="2052">
      <c r="A2052" s="7" t="n"/>
      <c r="H2052" s="11">
        <f>IF(OR(D2052="",E2052=""),"",D2052*E2052)</f>
        <v/>
      </c>
      <c r="I2052" s="8">
        <f>IF(OR(D2052="",E2052=""),"",E2052*(1+D2052/30))</f>
        <v/>
      </c>
      <c r="J2052">
        <f>IF(I2052="","",IF(I2052&gt;=MAXIFS($I$2:$I$5001,$B$2:$B$5001,B2052,$A$2:$A$5001,"&lt;="&amp;A2052),"PR",""))</f>
        <v/>
      </c>
    </row>
    <row r="2053">
      <c r="A2053" s="7" t="n"/>
      <c r="H2053" s="11">
        <f>IF(OR(D2053="",E2053=""),"",D2053*E2053)</f>
        <v/>
      </c>
      <c r="I2053" s="8">
        <f>IF(OR(D2053="",E2053=""),"",E2053*(1+D2053/30))</f>
        <v/>
      </c>
      <c r="J2053">
        <f>IF(I2053="","",IF(I2053&gt;=MAXIFS($I$2:$I$5001,$B$2:$B$5001,B2053,$A$2:$A$5001,"&lt;="&amp;A2053),"PR",""))</f>
        <v/>
      </c>
    </row>
    <row r="2054">
      <c r="A2054" s="7" t="n"/>
      <c r="H2054" s="11">
        <f>IF(OR(D2054="",E2054=""),"",D2054*E2054)</f>
        <v/>
      </c>
      <c r="I2054" s="8">
        <f>IF(OR(D2054="",E2054=""),"",E2054*(1+D2054/30))</f>
        <v/>
      </c>
      <c r="J2054">
        <f>IF(I2054="","",IF(I2054&gt;=MAXIFS($I$2:$I$5001,$B$2:$B$5001,B2054,$A$2:$A$5001,"&lt;="&amp;A2054),"PR",""))</f>
        <v/>
      </c>
    </row>
    <row r="2055">
      <c r="A2055" s="7" t="n"/>
      <c r="H2055" s="11">
        <f>IF(OR(D2055="",E2055=""),"",D2055*E2055)</f>
        <v/>
      </c>
      <c r="I2055" s="8">
        <f>IF(OR(D2055="",E2055=""),"",E2055*(1+D2055/30))</f>
        <v/>
      </c>
      <c r="J2055">
        <f>IF(I2055="","",IF(I2055&gt;=MAXIFS($I$2:$I$5001,$B$2:$B$5001,B2055,$A$2:$A$5001,"&lt;="&amp;A2055),"PR",""))</f>
        <v/>
      </c>
    </row>
    <row r="2056">
      <c r="A2056" s="7" t="n"/>
      <c r="H2056" s="11">
        <f>IF(OR(D2056="",E2056=""),"",D2056*E2056)</f>
        <v/>
      </c>
      <c r="I2056" s="8">
        <f>IF(OR(D2056="",E2056=""),"",E2056*(1+D2056/30))</f>
        <v/>
      </c>
      <c r="J2056">
        <f>IF(I2056="","",IF(I2056&gt;=MAXIFS($I$2:$I$5001,$B$2:$B$5001,B2056,$A$2:$A$5001,"&lt;="&amp;A2056),"PR",""))</f>
        <v/>
      </c>
    </row>
    <row r="2057">
      <c r="A2057" s="7" t="n"/>
      <c r="H2057" s="11">
        <f>IF(OR(D2057="",E2057=""),"",D2057*E2057)</f>
        <v/>
      </c>
      <c r="I2057" s="8">
        <f>IF(OR(D2057="",E2057=""),"",E2057*(1+D2057/30))</f>
        <v/>
      </c>
      <c r="J2057">
        <f>IF(I2057="","",IF(I2057&gt;=MAXIFS($I$2:$I$5001,$B$2:$B$5001,B2057,$A$2:$A$5001,"&lt;="&amp;A2057),"PR",""))</f>
        <v/>
      </c>
    </row>
    <row r="2058">
      <c r="A2058" s="7" t="n"/>
      <c r="H2058" s="11">
        <f>IF(OR(D2058="",E2058=""),"",D2058*E2058)</f>
        <v/>
      </c>
      <c r="I2058" s="8">
        <f>IF(OR(D2058="",E2058=""),"",E2058*(1+D2058/30))</f>
        <v/>
      </c>
      <c r="J2058">
        <f>IF(I2058="","",IF(I2058&gt;=MAXIFS($I$2:$I$5001,$B$2:$B$5001,B2058,$A$2:$A$5001,"&lt;="&amp;A2058),"PR",""))</f>
        <v/>
      </c>
    </row>
    <row r="2059">
      <c r="A2059" s="7" t="n"/>
      <c r="H2059" s="11">
        <f>IF(OR(D2059="",E2059=""),"",D2059*E2059)</f>
        <v/>
      </c>
      <c r="I2059" s="8">
        <f>IF(OR(D2059="",E2059=""),"",E2059*(1+D2059/30))</f>
        <v/>
      </c>
      <c r="J2059">
        <f>IF(I2059="","",IF(I2059&gt;=MAXIFS($I$2:$I$5001,$B$2:$B$5001,B2059,$A$2:$A$5001,"&lt;="&amp;A2059),"PR",""))</f>
        <v/>
      </c>
    </row>
    <row r="2060">
      <c r="A2060" s="7" t="n"/>
      <c r="H2060" s="11">
        <f>IF(OR(D2060="",E2060=""),"",D2060*E2060)</f>
        <v/>
      </c>
      <c r="I2060" s="8">
        <f>IF(OR(D2060="",E2060=""),"",E2060*(1+D2060/30))</f>
        <v/>
      </c>
      <c r="J2060">
        <f>IF(I2060="","",IF(I2060&gt;=MAXIFS($I$2:$I$5001,$B$2:$B$5001,B2060,$A$2:$A$5001,"&lt;="&amp;A2060),"PR",""))</f>
        <v/>
      </c>
    </row>
    <row r="2061">
      <c r="A2061" s="7" t="n"/>
      <c r="H2061" s="11">
        <f>IF(OR(D2061="",E2061=""),"",D2061*E2061)</f>
        <v/>
      </c>
      <c r="I2061" s="8">
        <f>IF(OR(D2061="",E2061=""),"",E2061*(1+D2061/30))</f>
        <v/>
      </c>
      <c r="J2061">
        <f>IF(I2061="","",IF(I2061&gt;=MAXIFS($I$2:$I$5001,$B$2:$B$5001,B2061,$A$2:$A$5001,"&lt;="&amp;A2061),"PR",""))</f>
        <v/>
      </c>
    </row>
    <row r="2062">
      <c r="A2062" s="7" t="n"/>
      <c r="H2062" s="11">
        <f>IF(OR(D2062="",E2062=""),"",D2062*E2062)</f>
        <v/>
      </c>
      <c r="I2062" s="8">
        <f>IF(OR(D2062="",E2062=""),"",E2062*(1+D2062/30))</f>
        <v/>
      </c>
      <c r="J2062">
        <f>IF(I2062="","",IF(I2062&gt;=MAXIFS($I$2:$I$5001,$B$2:$B$5001,B2062,$A$2:$A$5001,"&lt;="&amp;A2062),"PR",""))</f>
        <v/>
      </c>
    </row>
    <row r="2063">
      <c r="A2063" s="7" t="n"/>
      <c r="H2063" s="11">
        <f>IF(OR(D2063="",E2063=""),"",D2063*E2063)</f>
        <v/>
      </c>
      <c r="I2063" s="8">
        <f>IF(OR(D2063="",E2063=""),"",E2063*(1+D2063/30))</f>
        <v/>
      </c>
      <c r="J2063">
        <f>IF(I2063="","",IF(I2063&gt;=MAXIFS($I$2:$I$5001,$B$2:$B$5001,B2063,$A$2:$A$5001,"&lt;="&amp;A2063),"PR",""))</f>
        <v/>
      </c>
    </row>
    <row r="2064">
      <c r="A2064" s="7" t="n"/>
      <c r="H2064" s="11">
        <f>IF(OR(D2064="",E2064=""),"",D2064*E2064)</f>
        <v/>
      </c>
      <c r="I2064" s="8">
        <f>IF(OR(D2064="",E2064=""),"",E2064*(1+D2064/30))</f>
        <v/>
      </c>
      <c r="J2064">
        <f>IF(I2064="","",IF(I2064&gt;=MAXIFS($I$2:$I$5001,$B$2:$B$5001,B2064,$A$2:$A$5001,"&lt;="&amp;A2064),"PR",""))</f>
        <v/>
      </c>
    </row>
    <row r="2065">
      <c r="A2065" s="7" t="n"/>
      <c r="H2065" s="11">
        <f>IF(OR(D2065="",E2065=""),"",D2065*E2065)</f>
        <v/>
      </c>
      <c r="I2065" s="8">
        <f>IF(OR(D2065="",E2065=""),"",E2065*(1+D2065/30))</f>
        <v/>
      </c>
      <c r="J2065">
        <f>IF(I2065="","",IF(I2065&gt;=MAXIFS($I$2:$I$5001,$B$2:$B$5001,B2065,$A$2:$A$5001,"&lt;="&amp;A2065),"PR",""))</f>
        <v/>
      </c>
    </row>
    <row r="2066">
      <c r="A2066" s="7" t="n"/>
      <c r="H2066" s="11">
        <f>IF(OR(D2066="",E2066=""),"",D2066*E2066)</f>
        <v/>
      </c>
      <c r="I2066" s="8">
        <f>IF(OR(D2066="",E2066=""),"",E2066*(1+D2066/30))</f>
        <v/>
      </c>
      <c r="J2066">
        <f>IF(I2066="","",IF(I2066&gt;=MAXIFS($I$2:$I$5001,$B$2:$B$5001,B2066,$A$2:$A$5001,"&lt;="&amp;A2066),"PR",""))</f>
        <v/>
      </c>
    </row>
    <row r="2067">
      <c r="A2067" s="7" t="n"/>
      <c r="H2067" s="11">
        <f>IF(OR(D2067="",E2067=""),"",D2067*E2067)</f>
        <v/>
      </c>
      <c r="I2067" s="8">
        <f>IF(OR(D2067="",E2067=""),"",E2067*(1+D2067/30))</f>
        <v/>
      </c>
      <c r="J2067">
        <f>IF(I2067="","",IF(I2067&gt;=MAXIFS($I$2:$I$5001,$B$2:$B$5001,B2067,$A$2:$A$5001,"&lt;="&amp;A2067),"PR",""))</f>
        <v/>
      </c>
    </row>
    <row r="2068">
      <c r="A2068" s="7" t="n"/>
      <c r="H2068" s="11">
        <f>IF(OR(D2068="",E2068=""),"",D2068*E2068)</f>
        <v/>
      </c>
      <c r="I2068" s="8">
        <f>IF(OR(D2068="",E2068=""),"",E2068*(1+D2068/30))</f>
        <v/>
      </c>
      <c r="J2068">
        <f>IF(I2068="","",IF(I2068&gt;=MAXIFS($I$2:$I$5001,$B$2:$B$5001,B2068,$A$2:$A$5001,"&lt;="&amp;A2068),"PR",""))</f>
        <v/>
      </c>
    </row>
    <row r="2069">
      <c r="A2069" s="7" t="n"/>
      <c r="H2069" s="11">
        <f>IF(OR(D2069="",E2069=""),"",D2069*E2069)</f>
        <v/>
      </c>
      <c r="I2069" s="8">
        <f>IF(OR(D2069="",E2069=""),"",E2069*(1+D2069/30))</f>
        <v/>
      </c>
      <c r="J2069">
        <f>IF(I2069="","",IF(I2069&gt;=MAXIFS($I$2:$I$5001,$B$2:$B$5001,B2069,$A$2:$A$5001,"&lt;="&amp;A2069),"PR",""))</f>
        <v/>
      </c>
    </row>
    <row r="2070">
      <c r="A2070" s="7" t="n"/>
      <c r="H2070" s="11">
        <f>IF(OR(D2070="",E2070=""),"",D2070*E2070)</f>
        <v/>
      </c>
      <c r="I2070" s="8">
        <f>IF(OR(D2070="",E2070=""),"",E2070*(1+D2070/30))</f>
        <v/>
      </c>
      <c r="J2070">
        <f>IF(I2070="","",IF(I2070&gt;=MAXIFS($I$2:$I$5001,$B$2:$B$5001,B2070,$A$2:$A$5001,"&lt;="&amp;A2070),"PR",""))</f>
        <v/>
      </c>
    </row>
    <row r="2071">
      <c r="A2071" s="7" t="n"/>
      <c r="H2071" s="11">
        <f>IF(OR(D2071="",E2071=""),"",D2071*E2071)</f>
        <v/>
      </c>
      <c r="I2071" s="8">
        <f>IF(OR(D2071="",E2071=""),"",E2071*(1+D2071/30))</f>
        <v/>
      </c>
      <c r="J2071">
        <f>IF(I2071="","",IF(I2071&gt;=MAXIFS($I$2:$I$5001,$B$2:$B$5001,B2071,$A$2:$A$5001,"&lt;="&amp;A2071),"PR",""))</f>
        <v/>
      </c>
    </row>
    <row r="2072">
      <c r="A2072" s="7" t="n"/>
      <c r="H2072" s="11">
        <f>IF(OR(D2072="",E2072=""),"",D2072*E2072)</f>
        <v/>
      </c>
      <c r="I2072" s="8">
        <f>IF(OR(D2072="",E2072=""),"",E2072*(1+D2072/30))</f>
        <v/>
      </c>
      <c r="J2072">
        <f>IF(I2072="","",IF(I2072&gt;=MAXIFS($I$2:$I$5001,$B$2:$B$5001,B2072,$A$2:$A$5001,"&lt;="&amp;A2072),"PR",""))</f>
        <v/>
      </c>
    </row>
    <row r="2073">
      <c r="A2073" s="7" t="n"/>
      <c r="H2073" s="11">
        <f>IF(OR(D2073="",E2073=""),"",D2073*E2073)</f>
        <v/>
      </c>
      <c r="I2073" s="8">
        <f>IF(OR(D2073="",E2073=""),"",E2073*(1+D2073/30))</f>
        <v/>
      </c>
      <c r="J2073">
        <f>IF(I2073="","",IF(I2073&gt;=MAXIFS($I$2:$I$5001,$B$2:$B$5001,B2073,$A$2:$A$5001,"&lt;="&amp;A2073),"PR",""))</f>
        <v/>
      </c>
    </row>
    <row r="2074">
      <c r="A2074" s="7" t="n"/>
      <c r="H2074" s="11">
        <f>IF(OR(D2074="",E2074=""),"",D2074*E2074)</f>
        <v/>
      </c>
      <c r="I2074" s="8">
        <f>IF(OR(D2074="",E2074=""),"",E2074*(1+D2074/30))</f>
        <v/>
      </c>
      <c r="J2074">
        <f>IF(I2074="","",IF(I2074&gt;=MAXIFS($I$2:$I$5001,$B$2:$B$5001,B2074,$A$2:$A$5001,"&lt;="&amp;A2074),"PR",""))</f>
        <v/>
      </c>
    </row>
    <row r="2075">
      <c r="A2075" s="7" t="n"/>
      <c r="H2075" s="11">
        <f>IF(OR(D2075="",E2075=""),"",D2075*E2075)</f>
        <v/>
      </c>
      <c r="I2075" s="8">
        <f>IF(OR(D2075="",E2075=""),"",E2075*(1+D2075/30))</f>
        <v/>
      </c>
      <c r="J2075">
        <f>IF(I2075="","",IF(I2075&gt;=MAXIFS($I$2:$I$5001,$B$2:$B$5001,B2075,$A$2:$A$5001,"&lt;="&amp;A2075),"PR",""))</f>
        <v/>
      </c>
    </row>
    <row r="2076">
      <c r="A2076" s="7" t="n"/>
      <c r="H2076" s="11">
        <f>IF(OR(D2076="",E2076=""),"",D2076*E2076)</f>
        <v/>
      </c>
      <c r="I2076" s="8">
        <f>IF(OR(D2076="",E2076=""),"",E2076*(1+D2076/30))</f>
        <v/>
      </c>
      <c r="J2076">
        <f>IF(I2076="","",IF(I2076&gt;=MAXIFS($I$2:$I$5001,$B$2:$B$5001,B2076,$A$2:$A$5001,"&lt;="&amp;A2076),"PR",""))</f>
        <v/>
      </c>
    </row>
    <row r="2077">
      <c r="A2077" s="7" t="n"/>
      <c r="H2077" s="11">
        <f>IF(OR(D2077="",E2077=""),"",D2077*E2077)</f>
        <v/>
      </c>
      <c r="I2077" s="8">
        <f>IF(OR(D2077="",E2077=""),"",E2077*(1+D2077/30))</f>
        <v/>
      </c>
      <c r="J2077">
        <f>IF(I2077="","",IF(I2077&gt;=MAXIFS($I$2:$I$5001,$B$2:$B$5001,B2077,$A$2:$A$5001,"&lt;="&amp;A2077),"PR",""))</f>
        <v/>
      </c>
    </row>
    <row r="2078">
      <c r="A2078" s="7" t="n"/>
      <c r="H2078" s="11">
        <f>IF(OR(D2078="",E2078=""),"",D2078*E2078)</f>
        <v/>
      </c>
      <c r="I2078" s="8">
        <f>IF(OR(D2078="",E2078=""),"",E2078*(1+D2078/30))</f>
        <v/>
      </c>
      <c r="J2078">
        <f>IF(I2078="","",IF(I2078&gt;=MAXIFS($I$2:$I$5001,$B$2:$B$5001,B2078,$A$2:$A$5001,"&lt;="&amp;A2078),"PR",""))</f>
        <v/>
      </c>
    </row>
    <row r="2079">
      <c r="A2079" s="7" t="n"/>
      <c r="H2079" s="11">
        <f>IF(OR(D2079="",E2079=""),"",D2079*E2079)</f>
        <v/>
      </c>
      <c r="I2079" s="8">
        <f>IF(OR(D2079="",E2079=""),"",E2079*(1+D2079/30))</f>
        <v/>
      </c>
      <c r="J2079">
        <f>IF(I2079="","",IF(I2079&gt;=MAXIFS($I$2:$I$5001,$B$2:$B$5001,B2079,$A$2:$A$5001,"&lt;="&amp;A2079),"PR",""))</f>
        <v/>
      </c>
    </row>
    <row r="2080">
      <c r="A2080" s="7" t="n"/>
      <c r="H2080" s="11">
        <f>IF(OR(D2080="",E2080=""),"",D2080*E2080)</f>
        <v/>
      </c>
      <c r="I2080" s="8">
        <f>IF(OR(D2080="",E2080=""),"",E2080*(1+D2080/30))</f>
        <v/>
      </c>
      <c r="J2080">
        <f>IF(I2080="","",IF(I2080&gt;=MAXIFS($I$2:$I$5001,$B$2:$B$5001,B2080,$A$2:$A$5001,"&lt;="&amp;A2080),"PR",""))</f>
        <v/>
      </c>
    </row>
    <row r="2081">
      <c r="A2081" s="7" t="n"/>
      <c r="H2081" s="11">
        <f>IF(OR(D2081="",E2081=""),"",D2081*E2081)</f>
        <v/>
      </c>
      <c r="I2081" s="8">
        <f>IF(OR(D2081="",E2081=""),"",E2081*(1+D2081/30))</f>
        <v/>
      </c>
      <c r="J2081">
        <f>IF(I2081="","",IF(I2081&gt;=MAXIFS($I$2:$I$5001,$B$2:$B$5001,B2081,$A$2:$A$5001,"&lt;="&amp;A2081),"PR",""))</f>
        <v/>
      </c>
    </row>
    <row r="2082">
      <c r="A2082" s="7" t="n"/>
      <c r="H2082" s="11">
        <f>IF(OR(D2082="",E2082=""),"",D2082*E2082)</f>
        <v/>
      </c>
      <c r="I2082" s="8">
        <f>IF(OR(D2082="",E2082=""),"",E2082*(1+D2082/30))</f>
        <v/>
      </c>
      <c r="J2082">
        <f>IF(I2082="","",IF(I2082&gt;=MAXIFS($I$2:$I$5001,$B$2:$B$5001,B2082,$A$2:$A$5001,"&lt;="&amp;A2082),"PR",""))</f>
        <v/>
      </c>
    </row>
    <row r="2083">
      <c r="A2083" s="7" t="n"/>
      <c r="H2083" s="11">
        <f>IF(OR(D2083="",E2083=""),"",D2083*E2083)</f>
        <v/>
      </c>
      <c r="I2083" s="8">
        <f>IF(OR(D2083="",E2083=""),"",E2083*(1+D2083/30))</f>
        <v/>
      </c>
      <c r="J2083">
        <f>IF(I2083="","",IF(I2083&gt;=MAXIFS($I$2:$I$5001,$B$2:$B$5001,B2083,$A$2:$A$5001,"&lt;="&amp;A2083),"PR",""))</f>
        <v/>
      </c>
    </row>
    <row r="2084">
      <c r="A2084" s="7" t="n"/>
      <c r="H2084" s="11">
        <f>IF(OR(D2084="",E2084=""),"",D2084*E2084)</f>
        <v/>
      </c>
      <c r="I2084" s="8">
        <f>IF(OR(D2084="",E2084=""),"",E2084*(1+D2084/30))</f>
        <v/>
      </c>
      <c r="J2084">
        <f>IF(I2084="","",IF(I2084&gt;=MAXIFS($I$2:$I$5001,$B$2:$B$5001,B2084,$A$2:$A$5001,"&lt;="&amp;A2084),"PR",""))</f>
        <v/>
      </c>
    </row>
    <row r="2085">
      <c r="A2085" s="7" t="n"/>
      <c r="H2085" s="11">
        <f>IF(OR(D2085="",E2085=""),"",D2085*E2085)</f>
        <v/>
      </c>
      <c r="I2085" s="8">
        <f>IF(OR(D2085="",E2085=""),"",E2085*(1+D2085/30))</f>
        <v/>
      </c>
      <c r="J2085">
        <f>IF(I2085="","",IF(I2085&gt;=MAXIFS($I$2:$I$5001,$B$2:$B$5001,B2085,$A$2:$A$5001,"&lt;="&amp;A2085),"PR",""))</f>
        <v/>
      </c>
    </row>
    <row r="2086">
      <c r="A2086" s="7" t="n"/>
      <c r="H2086" s="11">
        <f>IF(OR(D2086="",E2086=""),"",D2086*E2086)</f>
        <v/>
      </c>
      <c r="I2086" s="8">
        <f>IF(OR(D2086="",E2086=""),"",E2086*(1+D2086/30))</f>
        <v/>
      </c>
      <c r="J2086">
        <f>IF(I2086="","",IF(I2086&gt;=MAXIFS($I$2:$I$5001,$B$2:$B$5001,B2086,$A$2:$A$5001,"&lt;="&amp;A2086),"PR",""))</f>
        <v/>
      </c>
    </row>
    <row r="2087">
      <c r="A2087" s="7" t="n"/>
      <c r="H2087" s="11">
        <f>IF(OR(D2087="",E2087=""),"",D2087*E2087)</f>
        <v/>
      </c>
      <c r="I2087" s="8">
        <f>IF(OR(D2087="",E2087=""),"",E2087*(1+D2087/30))</f>
        <v/>
      </c>
      <c r="J2087">
        <f>IF(I2087="","",IF(I2087&gt;=MAXIFS($I$2:$I$5001,$B$2:$B$5001,B2087,$A$2:$A$5001,"&lt;="&amp;A2087),"PR",""))</f>
        <v/>
      </c>
    </row>
    <row r="2088">
      <c r="A2088" s="7" t="n"/>
      <c r="H2088" s="11">
        <f>IF(OR(D2088="",E2088=""),"",D2088*E2088)</f>
        <v/>
      </c>
      <c r="I2088" s="8">
        <f>IF(OR(D2088="",E2088=""),"",E2088*(1+D2088/30))</f>
        <v/>
      </c>
      <c r="J2088">
        <f>IF(I2088="","",IF(I2088&gt;=MAXIFS($I$2:$I$5001,$B$2:$B$5001,B2088,$A$2:$A$5001,"&lt;="&amp;A2088),"PR",""))</f>
        <v/>
      </c>
    </row>
    <row r="2089">
      <c r="A2089" s="7" t="n"/>
      <c r="H2089" s="11">
        <f>IF(OR(D2089="",E2089=""),"",D2089*E2089)</f>
        <v/>
      </c>
      <c r="I2089" s="8">
        <f>IF(OR(D2089="",E2089=""),"",E2089*(1+D2089/30))</f>
        <v/>
      </c>
      <c r="J2089">
        <f>IF(I2089="","",IF(I2089&gt;=MAXIFS($I$2:$I$5001,$B$2:$B$5001,B2089,$A$2:$A$5001,"&lt;="&amp;A2089),"PR",""))</f>
        <v/>
      </c>
    </row>
    <row r="2090">
      <c r="A2090" s="7" t="n"/>
      <c r="H2090" s="11">
        <f>IF(OR(D2090="",E2090=""),"",D2090*E2090)</f>
        <v/>
      </c>
      <c r="I2090" s="8">
        <f>IF(OR(D2090="",E2090=""),"",E2090*(1+D2090/30))</f>
        <v/>
      </c>
      <c r="J2090">
        <f>IF(I2090="","",IF(I2090&gt;=MAXIFS($I$2:$I$5001,$B$2:$B$5001,B2090,$A$2:$A$5001,"&lt;="&amp;A2090),"PR",""))</f>
        <v/>
      </c>
    </row>
    <row r="2091">
      <c r="A2091" s="7" t="n"/>
      <c r="H2091" s="11">
        <f>IF(OR(D2091="",E2091=""),"",D2091*E2091)</f>
        <v/>
      </c>
      <c r="I2091" s="8">
        <f>IF(OR(D2091="",E2091=""),"",E2091*(1+D2091/30))</f>
        <v/>
      </c>
      <c r="J2091">
        <f>IF(I2091="","",IF(I2091&gt;=MAXIFS($I$2:$I$5001,$B$2:$B$5001,B2091,$A$2:$A$5001,"&lt;="&amp;A2091),"PR",""))</f>
        <v/>
      </c>
    </row>
    <row r="2092">
      <c r="A2092" s="7" t="n"/>
      <c r="H2092" s="11">
        <f>IF(OR(D2092="",E2092=""),"",D2092*E2092)</f>
        <v/>
      </c>
      <c r="I2092" s="8">
        <f>IF(OR(D2092="",E2092=""),"",E2092*(1+D2092/30))</f>
        <v/>
      </c>
      <c r="J2092">
        <f>IF(I2092="","",IF(I2092&gt;=MAXIFS($I$2:$I$5001,$B$2:$B$5001,B2092,$A$2:$A$5001,"&lt;="&amp;A2092),"PR",""))</f>
        <v/>
      </c>
    </row>
    <row r="2093">
      <c r="A2093" s="7" t="n"/>
      <c r="H2093" s="11">
        <f>IF(OR(D2093="",E2093=""),"",D2093*E2093)</f>
        <v/>
      </c>
      <c r="I2093" s="8">
        <f>IF(OR(D2093="",E2093=""),"",E2093*(1+D2093/30))</f>
        <v/>
      </c>
      <c r="J2093">
        <f>IF(I2093="","",IF(I2093&gt;=MAXIFS($I$2:$I$5001,$B$2:$B$5001,B2093,$A$2:$A$5001,"&lt;="&amp;A2093),"PR",""))</f>
        <v/>
      </c>
    </row>
    <row r="2094">
      <c r="A2094" s="7" t="n"/>
      <c r="H2094" s="11">
        <f>IF(OR(D2094="",E2094=""),"",D2094*E2094)</f>
        <v/>
      </c>
      <c r="I2094" s="8">
        <f>IF(OR(D2094="",E2094=""),"",E2094*(1+D2094/30))</f>
        <v/>
      </c>
      <c r="J2094">
        <f>IF(I2094="","",IF(I2094&gt;=MAXIFS($I$2:$I$5001,$B$2:$B$5001,B2094,$A$2:$A$5001,"&lt;="&amp;A2094),"PR",""))</f>
        <v/>
      </c>
    </row>
    <row r="2095">
      <c r="A2095" s="7" t="n"/>
      <c r="H2095" s="11">
        <f>IF(OR(D2095="",E2095=""),"",D2095*E2095)</f>
        <v/>
      </c>
      <c r="I2095" s="8">
        <f>IF(OR(D2095="",E2095=""),"",E2095*(1+D2095/30))</f>
        <v/>
      </c>
      <c r="J2095">
        <f>IF(I2095="","",IF(I2095&gt;=MAXIFS($I$2:$I$5001,$B$2:$B$5001,B2095,$A$2:$A$5001,"&lt;="&amp;A2095),"PR",""))</f>
        <v/>
      </c>
    </row>
    <row r="2096">
      <c r="A2096" s="7" t="n"/>
      <c r="H2096" s="11">
        <f>IF(OR(D2096="",E2096=""),"",D2096*E2096)</f>
        <v/>
      </c>
      <c r="I2096" s="8">
        <f>IF(OR(D2096="",E2096=""),"",E2096*(1+D2096/30))</f>
        <v/>
      </c>
      <c r="J2096">
        <f>IF(I2096="","",IF(I2096&gt;=MAXIFS($I$2:$I$5001,$B$2:$B$5001,B2096,$A$2:$A$5001,"&lt;="&amp;A2096),"PR",""))</f>
        <v/>
      </c>
    </row>
    <row r="2097">
      <c r="A2097" s="7" t="n"/>
      <c r="H2097" s="11">
        <f>IF(OR(D2097="",E2097=""),"",D2097*E2097)</f>
        <v/>
      </c>
      <c r="I2097" s="8">
        <f>IF(OR(D2097="",E2097=""),"",E2097*(1+D2097/30))</f>
        <v/>
      </c>
      <c r="J2097">
        <f>IF(I2097="","",IF(I2097&gt;=MAXIFS($I$2:$I$5001,$B$2:$B$5001,B2097,$A$2:$A$5001,"&lt;="&amp;A2097),"PR",""))</f>
        <v/>
      </c>
    </row>
    <row r="2098">
      <c r="A2098" s="7" t="n"/>
      <c r="H2098" s="11">
        <f>IF(OR(D2098="",E2098=""),"",D2098*E2098)</f>
        <v/>
      </c>
      <c r="I2098" s="8">
        <f>IF(OR(D2098="",E2098=""),"",E2098*(1+D2098/30))</f>
        <v/>
      </c>
      <c r="J2098">
        <f>IF(I2098="","",IF(I2098&gt;=MAXIFS($I$2:$I$5001,$B$2:$B$5001,B2098,$A$2:$A$5001,"&lt;="&amp;A2098),"PR",""))</f>
        <v/>
      </c>
    </row>
    <row r="2099">
      <c r="A2099" s="7" t="n"/>
      <c r="H2099" s="11">
        <f>IF(OR(D2099="",E2099=""),"",D2099*E2099)</f>
        <v/>
      </c>
      <c r="I2099" s="8">
        <f>IF(OR(D2099="",E2099=""),"",E2099*(1+D2099/30))</f>
        <v/>
      </c>
      <c r="J2099">
        <f>IF(I2099="","",IF(I2099&gt;=MAXIFS($I$2:$I$5001,$B$2:$B$5001,B2099,$A$2:$A$5001,"&lt;="&amp;A2099),"PR",""))</f>
        <v/>
      </c>
    </row>
    <row r="2100">
      <c r="A2100" s="7" t="n"/>
      <c r="H2100" s="11">
        <f>IF(OR(D2100="",E2100=""),"",D2100*E2100)</f>
        <v/>
      </c>
      <c r="I2100" s="8">
        <f>IF(OR(D2100="",E2100=""),"",E2100*(1+D2100/30))</f>
        <v/>
      </c>
      <c r="J2100">
        <f>IF(I2100="","",IF(I2100&gt;=MAXIFS($I$2:$I$5001,$B$2:$B$5001,B2100,$A$2:$A$5001,"&lt;="&amp;A2100),"PR",""))</f>
        <v/>
      </c>
    </row>
    <row r="2101">
      <c r="A2101" s="7" t="n"/>
      <c r="H2101" s="11">
        <f>IF(OR(D2101="",E2101=""),"",D2101*E2101)</f>
        <v/>
      </c>
      <c r="I2101" s="8">
        <f>IF(OR(D2101="",E2101=""),"",E2101*(1+D2101/30))</f>
        <v/>
      </c>
      <c r="J2101">
        <f>IF(I2101="","",IF(I2101&gt;=MAXIFS($I$2:$I$5001,$B$2:$B$5001,B2101,$A$2:$A$5001,"&lt;="&amp;A2101),"PR",""))</f>
        <v/>
      </c>
    </row>
    <row r="2102">
      <c r="A2102" s="7" t="n"/>
      <c r="H2102" s="11">
        <f>IF(OR(D2102="",E2102=""),"",D2102*E2102)</f>
        <v/>
      </c>
      <c r="I2102" s="8">
        <f>IF(OR(D2102="",E2102=""),"",E2102*(1+D2102/30))</f>
        <v/>
      </c>
      <c r="J2102">
        <f>IF(I2102="","",IF(I2102&gt;=MAXIFS($I$2:$I$5001,$B$2:$B$5001,B2102,$A$2:$A$5001,"&lt;="&amp;A2102),"PR",""))</f>
        <v/>
      </c>
    </row>
    <row r="2103">
      <c r="A2103" s="7" t="n"/>
      <c r="H2103" s="11">
        <f>IF(OR(D2103="",E2103=""),"",D2103*E2103)</f>
        <v/>
      </c>
      <c r="I2103" s="8">
        <f>IF(OR(D2103="",E2103=""),"",E2103*(1+D2103/30))</f>
        <v/>
      </c>
      <c r="J2103">
        <f>IF(I2103="","",IF(I2103&gt;=MAXIFS($I$2:$I$5001,$B$2:$B$5001,B2103,$A$2:$A$5001,"&lt;="&amp;A2103),"PR",""))</f>
        <v/>
      </c>
    </row>
    <row r="2104">
      <c r="A2104" s="7" t="n"/>
      <c r="H2104" s="11">
        <f>IF(OR(D2104="",E2104=""),"",D2104*E2104)</f>
        <v/>
      </c>
      <c r="I2104" s="8">
        <f>IF(OR(D2104="",E2104=""),"",E2104*(1+D2104/30))</f>
        <v/>
      </c>
      <c r="J2104">
        <f>IF(I2104="","",IF(I2104&gt;=MAXIFS($I$2:$I$5001,$B$2:$B$5001,B2104,$A$2:$A$5001,"&lt;="&amp;A2104),"PR",""))</f>
        <v/>
      </c>
    </row>
    <row r="2105">
      <c r="A2105" s="7" t="n"/>
      <c r="H2105" s="11">
        <f>IF(OR(D2105="",E2105=""),"",D2105*E2105)</f>
        <v/>
      </c>
      <c r="I2105" s="8">
        <f>IF(OR(D2105="",E2105=""),"",E2105*(1+D2105/30))</f>
        <v/>
      </c>
      <c r="J2105">
        <f>IF(I2105="","",IF(I2105&gt;=MAXIFS($I$2:$I$5001,$B$2:$B$5001,B2105,$A$2:$A$5001,"&lt;="&amp;A2105),"PR",""))</f>
        <v/>
      </c>
    </row>
    <row r="2106">
      <c r="A2106" s="7" t="n"/>
      <c r="H2106" s="11">
        <f>IF(OR(D2106="",E2106=""),"",D2106*E2106)</f>
        <v/>
      </c>
      <c r="I2106" s="8">
        <f>IF(OR(D2106="",E2106=""),"",E2106*(1+D2106/30))</f>
        <v/>
      </c>
      <c r="J2106">
        <f>IF(I2106="","",IF(I2106&gt;=MAXIFS($I$2:$I$5001,$B$2:$B$5001,B2106,$A$2:$A$5001,"&lt;="&amp;A2106),"PR",""))</f>
        <v/>
      </c>
    </row>
    <row r="2107">
      <c r="A2107" s="7" t="n"/>
      <c r="H2107" s="11">
        <f>IF(OR(D2107="",E2107=""),"",D2107*E2107)</f>
        <v/>
      </c>
      <c r="I2107" s="8">
        <f>IF(OR(D2107="",E2107=""),"",E2107*(1+D2107/30))</f>
        <v/>
      </c>
      <c r="J2107">
        <f>IF(I2107="","",IF(I2107&gt;=MAXIFS($I$2:$I$5001,$B$2:$B$5001,B2107,$A$2:$A$5001,"&lt;="&amp;A2107),"PR",""))</f>
        <v/>
      </c>
    </row>
    <row r="2108">
      <c r="A2108" s="7" t="n"/>
      <c r="H2108" s="11">
        <f>IF(OR(D2108="",E2108=""),"",D2108*E2108)</f>
        <v/>
      </c>
      <c r="I2108" s="8">
        <f>IF(OR(D2108="",E2108=""),"",E2108*(1+D2108/30))</f>
        <v/>
      </c>
      <c r="J2108">
        <f>IF(I2108="","",IF(I2108&gt;=MAXIFS($I$2:$I$5001,$B$2:$B$5001,B2108,$A$2:$A$5001,"&lt;="&amp;A2108),"PR",""))</f>
        <v/>
      </c>
    </row>
    <row r="2109">
      <c r="A2109" s="7" t="n"/>
      <c r="H2109" s="11">
        <f>IF(OR(D2109="",E2109=""),"",D2109*E2109)</f>
        <v/>
      </c>
      <c r="I2109" s="8">
        <f>IF(OR(D2109="",E2109=""),"",E2109*(1+D2109/30))</f>
        <v/>
      </c>
      <c r="J2109">
        <f>IF(I2109="","",IF(I2109&gt;=MAXIFS($I$2:$I$5001,$B$2:$B$5001,B2109,$A$2:$A$5001,"&lt;="&amp;A2109),"PR",""))</f>
        <v/>
      </c>
    </row>
    <row r="2110">
      <c r="A2110" s="7" t="n"/>
      <c r="H2110" s="11">
        <f>IF(OR(D2110="",E2110=""),"",D2110*E2110)</f>
        <v/>
      </c>
      <c r="I2110" s="8">
        <f>IF(OR(D2110="",E2110=""),"",E2110*(1+D2110/30))</f>
        <v/>
      </c>
      <c r="J2110">
        <f>IF(I2110="","",IF(I2110&gt;=MAXIFS($I$2:$I$5001,$B$2:$B$5001,B2110,$A$2:$A$5001,"&lt;="&amp;A2110),"PR",""))</f>
        <v/>
      </c>
    </row>
    <row r="2111">
      <c r="A2111" s="7" t="n"/>
      <c r="H2111" s="11">
        <f>IF(OR(D2111="",E2111=""),"",D2111*E2111)</f>
        <v/>
      </c>
      <c r="I2111" s="8">
        <f>IF(OR(D2111="",E2111=""),"",E2111*(1+D2111/30))</f>
        <v/>
      </c>
      <c r="J2111">
        <f>IF(I2111="","",IF(I2111&gt;=MAXIFS($I$2:$I$5001,$B$2:$B$5001,B2111,$A$2:$A$5001,"&lt;="&amp;A2111),"PR",""))</f>
        <v/>
      </c>
    </row>
    <row r="2112">
      <c r="A2112" s="7" t="n"/>
      <c r="H2112" s="11">
        <f>IF(OR(D2112="",E2112=""),"",D2112*E2112)</f>
        <v/>
      </c>
      <c r="I2112" s="8">
        <f>IF(OR(D2112="",E2112=""),"",E2112*(1+D2112/30))</f>
        <v/>
      </c>
      <c r="J2112">
        <f>IF(I2112="","",IF(I2112&gt;=MAXIFS($I$2:$I$5001,$B$2:$B$5001,B2112,$A$2:$A$5001,"&lt;="&amp;A2112),"PR",""))</f>
        <v/>
      </c>
    </row>
    <row r="2113">
      <c r="A2113" s="7" t="n"/>
      <c r="H2113" s="11">
        <f>IF(OR(D2113="",E2113=""),"",D2113*E2113)</f>
        <v/>
      </c>
      <c r="I2113" s="8">
        <f>IF(OR(D2113="",E2113=""),"",E2113*(1+D2113/30))</f>
        <v/>
      </c>
      <c r="J2113">
        <f>IF(I2113="","",IF(I2113&gt;=MAXIFS($I$2:$I$5001,$B$2:$B$5001,B2113,$A$2:$A$5001,"&lt;="&amp;A2113),"PR",""))</f>
        <v/>
      </c>
    </row>
    <row r="2114">
      <c r="A2114" s="7" t="n"/>
      <c r="H2114" s="11">
        <f>IF(OR(D2114="",E2114=""),"",D2114*E2114)</f>
        <v/>
      </c>
      <c r="I2114" s="8">
        <f>IF(OR(D2114="",E2114=""),"",E2114*(1+D2114/30))</f>
        <v/>
      </c>
      <c r="J2114">
        <f>IF(I2114="","",IF(I2114&gt;=MAXIFS($I$2:$I$5001,$B$2:$B$5001,B2114,$A$2:$A$5001,"&lt;="&amp;A2114),"PR",""))</f>
        <v/>
      </c>
    </row>
    <row r="2115">
      <c r="A2115" s="7" t="n"/>
      <c r="H2115" s="11">
        <f>IF(OR(D2115="",E2115=""),"",D2115*E2115)</f>
        <v/>
      </c>
      <c r="I2115" s="8">
        <f>IF(OR(D2115="",E2115=""),"",E2115*(1+D2115/30))</f>
        <v/>
      </c>
      <c r="J2115">
        <f>IF(I2115="","",IF(I2115&gt;=MAXIFS($I$2:$I$5001,$B$2:$B$5001,B2115,$A$2:$A$5001,"&lt;="&amp;A2115),"PR",""))</f>
        <v/>
      </c>
    </row>
    <row r="2116">
      <c r="A2116" s="7" t="n"/>
      <c r="H2116" s="11">
        <f>IF(OR(D2116="",E2116=""),"",D2116*E2116)</f>
        <v/>
      </c>
      <c r="I2116" s="8">
        <f>IF(OR(D2116="",E2116=""),"",E2116*(1+D2116/30))</f>
        <v/>
      </c>
      <c r="J2116">
        <f>IF(I2116="","",IF(I2116&gt;=MAXIFS($I$2:$I$5001,$B$2:$B$5001,B2116,$A$2:$A$5001,"&lt;="&amp;A2116),"PR",""))</f>
        <v/>
      </c>
    </row>
    <row r="2117">
      <c r="A2117" s="7" t="n"/>
      <c r="H2117" s="11">
        <f>IF(OR(D2117="",E2117=""),"",D2117*E2117)</f>
        <v/>
      </c>
      <c r="I2117" s="8">
        <f>IF(OR(D2117="",E2117=""),"",E2117*(1+D2117/30))</f>
        <v/>
      </c>
      <c r="J2117">
        <f>IF(I2117="","",IF(I2117&gt;=MAXIFS($I$2:$I$5001,$B$2:$B$5001,B2117,$A$2:$A$5001,"&lt;="&amp;A2117),"PR",""))</f>
        <v/>
      </c>
    </row>
    <row r="2118">
      <c r="A2118" s="7" t="n"/>
      <c r="H2118" s="11">
        <f>IF(OR(D2118="",E2118=""),"",D2118*E2118)</f>
        <v/>
      </c>
      <c r="I2118" s="8">
        <f>IF(OR(D2118="",E2118=""),"",E2118*(1+D2118/30))</f>
        <v/>
      </c>
      <c r="J2118">
        <f>IF(I2118="","",IF(I2118&gt;=MAXIFS($I$2:$I$5001,$B$2:$B$5001,B2118,$A$2:$A$5001,"&lt;="&amp;A2118),"PR",""))</f>
        <v/>
      </c>
    </row>
    <row r="2119">
      <c r="A2119" s="7" t="n"/>
      <c r="H2119" s="11">
        <f>IF(OR(D2119="",E2119=""),"",D2119*E2119)</f>
        <v/>
      </c>
      <c r="I2119" s="8">
        <f>IF(OR(D2119="",E2119=""),"",E2119*(1+D2119/30))</f>
        <v/>
      </c>
      <c r="J2119">
        <f>IF(I2119="","",IF(I2119&gt;=MAXIFS($I$2:$I$5001,$B$2:$B$5001,B2119,$A$2:$A$5001,"&lt;="&amp;A2119),"PR",""))</f>
        <v/>
      </c>
    </row>
    <row r="2120">
      <c r="A2120" s="7" t="n"/>
      <c r="H2120" s="11">
        <f>IF(OR(D2120="",E2120=""),"",D2120*E2120)</f>
        <v/>
      </c>
      <c r="I2120" s="8">
        <f>IF(OR(D2120="",E2120=""),"",E2120*(1+D2120/30))</f>
        <v/>
      </c>
      <c r="J2120">
        <f>IF(I2120="","",IF(I2120&gt;=MAXIFS($I$2:$I$5001,$B$2:$B$5001,B2120,$A$2:$A$5001,"&lt;="&amp;A2120),"PR",""))</f>
        <v/>
      </c>
    </row>
    <row r="2121">
      <c r="A2121" s="7" t="n"/>
      <c r="H2121" s="11">
        <f>IF(OR(D2121="",E2121=""),"",D2121*E2121)</f>
        <v/>
      </c>
      <c r="I2121" s="8">
        <f>IF(OR(D2121="",E2121=""),"",E2121*(1+D2121/30))</f>
        <v/>
      </c>
      <c r="J2121">
        <f>IF(I2121="","",IF(I2121&gt;=MAXIFS($I$2:$I$5001,$B$2:$B$5001,B2121,$A$2:$A$5001,"&lt;="&amp;A2121),"PR",""))</f>
        <v/>
      </c>
    </row>
    <row r="2122">
      <c r="A2122" s="7" t="n"/>
      <c r="H2122" s="11">
        <f>IF(OR(D2122="",E2122=""),"",D2122*E2122)</f>
        <v/>
      </c>
      <c r="I2122" s="8">
        <f>IF(OR(D2122="",E2122=""),"",E2122*(1+D2122/30))</f>
        <v/>
      </c>
      <c r="J2122">
        <f>IF(I2122="","",IF(I2122&gt;=MAXIFS($I$2:$I$5001,$B$2:$B$5001,B2122,$A$2:$A$5001,"&lt;="&amp;A2122),"PR",""))</f>
        <v/>
      </c>
    </row>
    <row r="2123">
      <c r="A2123" s="7" t="n"/>
      <c r="H2123" s="11">
        <f>IF(OR(D2123="",E2123=""),"",D2123*E2123)</f>
        <v/>
      </c>
      <c r="I2123" s="8">
        <f>IF(OR(D2123="",E2123=""),"",E2123*(1+D2123/30))</f>
        <v/>
      </c>
      <c r="J2123">
        <f>IF(I2123="","",IF(I2123&gt;=MAXIFS($I$2:$I$5001,$B$2:$B$5001,B2123,$A$2:$A$5001,"&lt;="&amp;A2123),"PR",""))</f>
        <v/>
      </c>
    </row>
    <row r="2124">
      <c r="A2124" s="7" t="n"/>
      <c r="H2124" s="11">
        <f>IF(OR(D2124="",E2124=""),"",D2124*E2124)</f>
        <v/>
      </c>
      <c r="I2124" s="8">
        <f>IF(OR(D2124="",E2124=""),"",E2124*(1+D2124/30))</f>
        <v/>
      </c>
      <c r="J2124">
        <f>IF(I2124="","",IF(I2124&gt;=MAXIFS($I$2:$I$5001,$B$2:$B$5001,B2124,$A$2:$A$5001,"&lt;="&amp;A2124),"PR",""))</f>
        <v/>
      </c>
    </row>
    <row r="2125">
      <c r="A2125" s="7" t="n"/>
      <c r="H2125" s="11">
        <f>IF(OR(D2125="",E2125=""),"",D2125*E2125)</f>
        <v/>
      </c>
      <c r="I2125" s="8">
        <f>IF(OR(D2125="",E2125=""),"",E2125*(1+D2125/30))</f>
        <v/>
      </c>
      <c r="J2125">
        <f>IF(I2125="","",IF(I2125&gt;=MAXIFS($I$2:$I$5001,$B$2:$B$5001,B2125,$A$2:$A$5001,"&lt;="&amp;A2125),"PR",""))</f>
        <v/>
      </c>
    </row>
    <row r="2126">
      <c r="A2126" s="7" t="n"/>
      <c r="H2126" s="11">
        <f>IF(OR(D2126="",E2126=""),"",D2126*E2126)</f>
        <v/>
      </c>
      <c r="I2126" s="8">
        <f>IF(OR(D2126="",E2126=""),"",E2126*(1+D2126/30))</f>
        <v/>
      </c>
      <c r="J2126">
        <f>IF(I2126="","",IF(I2126&gt;=MAXIFS($I$2:$I$5001,$B$2:$B$5001,B2126,$A$2:$A$5001,"&lt;="&amp;A2126),"PR",""))</f>
        <v/>
      </c>
    </row>
    <row r="2127">
      <c r="A2127" s="7" t="n"/>
      <c r="H2127" s="11">
        <f>IF(OR(D2127="",E2127=""),"",D2127*E2127)</f>
        <v/>
      </c>
      <c r="I2127" s="8">
        <f>IF(OR(D2127="",E2127=""),"",E2127*(1+D2127/30))</f>
        <v/>
      </c>
      <c r="J2127">
        <f>IF(I2127="","",IF(I2127&gt;=MAXIFS($I$2:$I$5001,$B$2:$B$5001,B2127,$A$2:$A$5001,"&lt;="&amp;A2127),"PR",""))</f>
        <v/>
      </c>
    </row>
    <row r="2128">
      <c r="A2128" s="7" t="n"/>
      <c r="H2128" s="11">
        <f>IF(OR(D2128="",E2128=""),"",D2128*E2128)</f>
        <v/>
      </c>
      <c r="I2128" s="8">
        <f>IF(OR(D2128="",E2128=""),"",E2128*(1+D2128/30))</f>
        <v/>
      </c>
      <c r="J2128">
        <f>IF(I2128="","",IF(I2128&gt;=MAXIFS($I$2:$I$5001,$B$2:$B$5001,B2128,$A$2:$A$5001,"&lt;="&amp;A2128),"PR",""))</f>
        <v/>
      </c>
    </row>
    <row r="2129">
      <c r="A2129" s="7" t="n"/>
      <c r="H2129" s="11">
        <f>IF(OR(D2129="",E2129=""),"",D2129*E2129)</f>
        <v/>
      </c>
      <c r="I2129" s="8">
        <f>IF(OR(D2129="",E2129=""),"",E2129*(1+D2129/30))</f>
        <v/>
      </c>
      <c r="J2129">
        <f>IF(I2129="","",IF(I2129&gt;=MAXIFS($I$2:$I$5001,$B$2:$B$5001,B2129,$A$2:$A$5001,"&lt;="&amp;A2129),"PR",""))</f>
        <v/>
      </c>
    </row>
    <row r="2130">
      <c r="A2130" s="7" t="n"/>
      <c r="H2130" s="11">
        <f>IF(OR(D2130="",E2130=""),"",D2130*E2130)</f>
        <v/>
      </c>
      <c r="I2130" s="8">
        <f>IF(OR(D2130="",E2130=""),"",E2130*(1+D2130/30))</f>
        <v/>
      </c>
      <c r="J2130">
        <f>IF(I2130="","",IF(I2130&gt;=MAXIFS($I$2:$I$5001,$B$2:$B$5001,B2130,$A$2:$A$5001,"&lt;="&amp;A2130),"PR",""))</f>
        <v/>
      </c>
    </row>
    <row r="2131">
      <c r="A2131" s="7" t="n"/>
      <c r="H2131" s="11">
        <f>IF(OR(D2131="",E2131=""),"",D2131*E2131)</f>
        <v/>
      </c>
      <c r="I2131" s="8">
        <f>IF(OR(D2131="",E2131=""),"",E2131*(1+D2131/30))</f>
        <v/>
      </c>
      <c r="J2131">
        <f>IF(I2131="","",IF(I2131&gt;=MAXIFS($I$2:$I$5001,$B$2:$B$5001,B2131,$A$2:$A$5001,"&lt;="&amp;A2131),"PR",""))</f>
        <v/>
      </c>
    </row>
    <row r="2132">
      <c r="A2132" s="7" t="n"/>
      <c r="H2132" s="11">
        <f>IF(OR(D2132="",E2132=""),"",D2132*E2132)</f>
        <v/>
      </c>
      <c r="I2132" s="8">
        <f>IF(OR(D2132="",E2132=""),"",E2132*(1+D2132/30))</f>
        <v/>
      </c>
      <c r="J2132">
        <f>IF(I2132="","",IF(I2132&gt;=MAXIFS($I$2:$I$5001,$B$2:$B$5001,B2132,$A$2:$A$5001,"&lt;="&amp;A2132),"PR",""))</f>
        <v/>
      </c>
    </row>
    <row r="2133">
      <c r="A2133" s="7" t="n"/>
      <c r="H2133" s="11">
        <f>IF(OR(D2133="",E2133=""),"",D2133*E2133)</f>
        <v/>
      </c>
      <c r="I2133" s="8">
        <f>IF(OR(D2133="",E2133=""),"",E2133*(1+D2133/30))</f>
        <v/>
      </c>
      <c r="J2133">
        <f>IF(I2133="","",IF(I2133&gt;=MAXIFS($I$2:$I$5001,$B$2:$B$5001,B2133,$A$2:$A$5001,"&lt;="&amp;A2133),"PR",""))</f>
        <v/>
      </c>
    </row>
    <row r="2134">
      <c r="A2134" s="7" t="n"/>
      <c r="H2134" s="11">
        <f>IF(OR(D2134="",E2134=""),"",D2134*E2134)</f>
        <v/>
      </c>
      <c r="I2134" s="8">
        <f>IF(OR(D2134="",E2134=""),"",E2134*(1+D2134/30))</f>
        <v/>
      </c>
      <c r="J2134">
        <f>IF(I2134="","",IF(I2134&gt;=MAXIFS($I$2:$I$5001,$B$2:$B$5001,B2134,$A$2:$A$5001,"&lt;="&amp;A2134),"PR",""))</f>
        <v/>
      </c>
    </row>
    <row r="2135">
      <c r="A2135" s="7" t="n"/>
      <c r="H2135" s="11">
        <f>IF(OR(D2135="",E2135=""),"",D2135*E2135)</f>
        <v/>
      </c>
      <c r="I2135" s="8">
        <f>IF(OR(D2135="",E2135=""),"",E2135*(1+D2135/30))</f>
        <v/>
      </c>
      <c r="J2135">
        <f>IF(I2135="","",IF(I2135&gt;=MAXIFS($I$2:$I$5001,$B$2:$B$5001,B2135,$A$2:$A$5001,"&lt;="&amp;A2135),"PR",""))</f>
        <v/>
      </c>
    </row>
    <row r="2136">
      <c r="A2136" s="7" t="n"/>
      <c r="H2136" s="11">
        <f>IF(OR(D2136="",E2136=""),"",D2136*E2136)</f>
        <v/>
      </c>
      <c r="I2136" s="8">
        <f>IF(OR(D2136="",E2136=""),"",E2136*(1+D2136/30))</f>
        <v/>
      </c>
      <c r="J2136">
        <f>IF(I2136="","",IF(I2136&gt;=MAXIFS($I$2:$I$5001,$B$2:$B$5001,B2136,$A$2:$A$5001,"&lt;="&amp;A2136),"PR",""))</f>
        <v/>
      </c>
    </row>
    <row r="2137">
      <c r="A2137" s="7" t="n"/>
      <c r="H2137" s="11">
        <f>IF(OR(D2137="",E2137=""),"",D2137*E2137)</f>
        <v/>
      </c>
      <c r="I2137" s="8">
        <f>IF(OR(D2137="",E2137=""),"",E2137*(1+D2137/30))</f>
        <v/>
      </c>
      <c r="J2137">
        <f>IF(I2137="","",IF(I2137&gt;=MAXIFS($I$2:$I$5001,$B$2:$B$5001,B2137,$A$2:$A$5001,"&lt;="&amp;A2137),"PR",""))</f>
        <v/>
      </c>
    </row>
    <row r="2138">
      <c r="A2138" s="7" t="n"/>
      <c r="H2138" s="11">
        <f>IF(OR(D2138="",E2138=""),"",D2138*E2138)</f>
        <v/>
      </c>
      <c r="I2138" s="8">
        <f>IF(OR(D2138="",E2138=""),"",E2138*(1+D2138/30))</f>
        <v/>
      </c>
      <c r="J2138">
        <f>IF(I2138="","",IF(I2138&gt;=MAXIFS($I$2:$I$5001,$B$2:$B$5001,B2138,$A$2:$A$5001,"&lt;="&amp;A2138),"PR",""))</f>
        <v/>
      </c>
    </row>
    <row r="2139">
      <c r="A2139" s="7" t="n"/>
      <c r="H2139" s="11">
        <f>IF(OR(D2139="",E2139=""),"",D2139*E2139)</f>
        <v/>
      </c>
      <c r="I2139" s="8">
        <f>IF(OR(D2139="",E2139=""),"",E2139*(1+D2139/30))</f>
        <v/>
      </c>
      <c r="J2139">
        <f>IF(I2139="","",IF(I2139&gt;=MAXIFS($I$2:$I$5001,$B$2:$B$5001,B2139,$A$2:$A$5001,"&lt;="&amp;A2139),"PR",""))</f>
        <v/>
      </c>
    </row>
    <row r="2140">
      <c r="A2140" s="7" t="n"/>
      <c r="H2140" s="11">
        <f>IF(OR(D2140="",E2140=""),"",D2140*E2140)</f>
        <v/>
      </c>
      <c r="I2140" s="8">
        <f>IF(OR(D2140="",E2140=""),"",E2140*(1+D2140/30))</f>
        <v/>
      </c>
      <c r="J2140">
        <f>IF(I2140="","",IF(I2140&gt;=MAXIFS($I$2:$I$5001,$B$2:$B$5001,B2140,$A$2:$A$5001,"&lt;="&amp;A2140),"PR",""))</f>
        <v/>
      </c>
    </row>
    <row r="2141">
      <c r="A2141" s="7" t="n"/>
      <c r="H2141" s="11">
        <f>IF(OR(D2141="",E2141=""),"",D2141*E2141)</f>
        <v/>
      </c>
      <c r="I2141" s="8">
        <f>IF(OR(D2141="",E2141=""),"",E2141*(1+D2141/30))</f>
        <v/>
      </c>
      <c r="J2141">
        <f>IF(I2141="","",IF(I2141&gt;=MAXIFS($I$2:$I$5001,$B$2:$B$5001,B2141,$A$2:$A$5001,"&lt;="&amp;A2141),"PR",""))</f>
        <v/>
      </c>
    </row>
    <row r="2142">
      <c r="A2142" s="7" t="n"/>
      <c r="H2142" s="11">
        <f>IF(OR(D2142="",E2142=""),"",D2142*E2142)</f>
        <v/>
      </c>
      <c r="I2142" s="8">
        <f>IF(OR(D2142="",E2142=""),"",E2142*(1+D2142/30))</f>
        <v/>
      </c>
      <c r="J2142">
        <f>IF(I2142="","",IF(I2142&gt;=MAXIFS($I$2:$I$5001,$B$2:$B$5001,B2142,$A$2:$A$5001,"&lt;="&amp;A2142),"PR",""))</f>
        <v/>
      </c>
    </row>
    <row r="2143">
      <c r="A2143" s="7" t="n"/>
      <c r="H2143" s="11">
        <f>IF(OR(D2143="",E2143=""),"",D2143*E2143)</f>
        <v/>
      </c>
      <c r="I2143" s="8">
        <f>IF(OR(D2143="",E2143=""),"",E2143*(1+D2143/30))</f>
        <v/>
      </c>
      <c r="J2143">
        <f>IF(I2143="","",IF(I2143&gt;=MAXIFS($I$2:$I$5001,$B$2:$B$5001,B2143,$A$2:$A$5001,"&lt;="&amp;A2143),"PR",""))</f>
        <v/>
      </c>
    </row>
    <row r="2144">
      <c r="A2144" s="7" t="n"/>
      <c r="H2144" s="11">
        <f>IF(OR(D2144="",E2144=""),"",D2144*E2144)</f>
        <v/>
      </c>
      <c r="I2144" s="8">
        <f>IF(OR(D2144="",E2144=""),"",E2144*(1+D2144/30))</f>
        <v/>
      </c>
      <c r="J2144">
        <f>IF(I2144="","",IF(I2144&gt;=MAXIFS($I$2:$I$5001,$B$2:$B$5001,B2144,$A$2:$A$5001,"&lt;="&amp;A2144),"PR",""))</f>
        <v/>
      </c>
    </row>
    <row r="2145">
      <c r="A2145" s="7" t="n"/>
      <c r="H2145" s="11">
        <f>IF(OR(D2145="",E2145=""),"",D2145*E2145)</f>
        <v/>
      </c>
      <c r="I2145" s="8">
        <f>IF(OR(D2145="",E2145=""),"",E2145*(1+D2145/30))</f>
        <v/>
      </c>
      <c r="J2145">
        <f>IF(I2145="","",IF(I2145&gt;=MAXIFS($I$2:$I$5001,$B$2:$B$5001,B2145,$A$2:$A$5001,"&lt;="&amp;A2145),"PR",""))</f>
        <v/>
      </c>
    </row>
    <row r="2146">
      <c r="A2146" s="7" t="n"/>
      <c r="H2146" s="11">
        <f>IF(OR(D2146="",E2146=""),"",D2146*E2146)</f>
        <v/>
      </c>
      <c r="I2146" s="8">
        <f>IF(OR(D2146="",E2146=""),"",E2146*(1+D2146/30))</f>
        <v/>
      </c>
      <c r="J2146">
        <f>IF(I2146="","",IF(I2146&gt;=MAXIFS($I$2:$I$5001,$B$2:$B$5001,B2146,$A$2:$A$5001,"&lt;="&amp;A2146),"PR",""))</f>
        <v/>
      </c>
    </row>
    <row r="2147">
      <c r="A2147" s="7" t="n"/>
      <c r="H2147" s="11">
        <f>IF(OR(D2147="",E2147=""),"",D2147*E2147)</f>
        <v/>
      </c>
      <c r="I2147" s="8">
        <f>IF(OR(D2147="",E2147=""),"",E2147*(1+D2147/30))</f>
        <v/>
      </c>
      <c r="J2147">
        <f>IF(I2147="","",IF(I2147&gt;=MAXIFS($I$2:$I$5001,$B$2:$B$5001,B2147,$A$2:$A$5001,"&lt;="&amp;A2147),"PR",""))</f>
        <v/>
      </c>
    </row>
    <row r="2148">
      <c r="A2148" s="7" t="n"/>
      <c r="H2148" s="11">
        <f>IF(OR(D2148="",E2148=""),"",D2148*E2148)</f>
        <v/>
      </c>
      <c r="I2148" s="8">
        <f>IF(OR(D2148="",E2148=""),"",E2148*(1+D2148/30))</f>
        <v/>
      </c>
      <c r="J2148">
        <f>IF(I2148="","",IF(I2148&gt;=MAXIFS($I$2:$I$5001,$B$2:$B$5001,B2148,$A$2:$A$5001,"&lt;="&amp;A2148),"PR",""))</f>
        <v/>
      </c>
    </row>
    <row r="2149">
      <c r="A2149" s="7" t="n"/>
      <c r="H2149" s="11">
        <f>IF(OR(D2149="",E2149=""),"",D2149*E2149)</f>
        <v/>
      </c>
      <c r="I2149" s="8">
        <f>IF(OR(D2149="",E2149=""),"",E2149*(1+D2149/30))</f>
        <v/>
      </c>
      <c r="J2149">
        <f>IF(I2149="","",IF(I2149&gt;=MAXIFS($I$2:$I$5001,$B$2:$B$5001,B2149,$A$2:$A$5001,"&lt;="&amp;A2149),"PR",""))</f>
        <v/>
      </c>
    </row>
    <row r="2150">
      <c r="A2150" s="7" t="n"/>
      <c r="H2150" s="11">
        <f>IF(OR(D2150="",E2150=""),"",D2150*E2150)</f>
        <v/>
      </c>
      <c r="I2150" s="8">
        <f>IF(OR(D2150="",E2150=""),"",E2150*(1+D2150/30))</f>
        <v/>
      </c>
      <c r="J2150">
        <f>IF(I2150="","",IF(I2150&gt;=MAXIFS($I$2:$I$5001,$B$2:$B$5001,B2150,$A$2:$A$5001,"&lt;="&amp;A2150),"PR",""))</f>
        <v/>
      </c>
    </row>
    <row r="2151">
      <c r="A2151" s="7" t="n"/>
      <c r="H2151" s="11">
        <f>IF(OR(D2151="",E2151=""),"",D2151*E2151)</f>
        <v/>
      </c>
      <c r="I2151" s="8">
        <f>IF(OR(D2151="",E2151=""),"",E2151*(1+D2151/30))</f>
        <v/>
      </c>
      <c r="J2151">
        <f>IF(I2151="","",IF(I2151&gt;=MAXIFS($I$2:$I$5001,$B$2:$B$5001,B2151,$A$2:$A$5001,"&lt;="&amp;A2151),"PR",""))</f>
        <v/>
      </c>
    </row>
    <row r="2152">
      <c r="A2152" s="7" t="n"/>
      <c r="H2152" s="11">
        <f>IF(OR(D2152="",E2152=""),"",D2152*E2152)</f>
        <v/>
      </c>
      <c r="I2152" s="8">
        <f>IF(OR(D2152="",E2152=""),"",E2152*(1+D2152/30))</f>
        <v/>
      </c>
      <c r="J2152">
        <f>IF(I2152="","",IF(I2152&gt;=MAXIFS($I$2:$I$5001,$B$2:$B$5001,B2152,$A$2:$A$5001,"&lt;="&amp;A2152),"PR",""))</f>
        <v/>
      </c>
    </row>
    <row r="2153">
      <c r="A2153" s="7" t="n"/>
      <c r="H2153" s="11">
        <f>IF(OR(D2153="",E2153=""),"",D2153*E2153)</f>
        <v/>
      </c>
      <c r="I2153" s="8">
        <f>IF(OR(D2153="",E2153=""),"",E2153*(1+D2153/30))</f>
        <v/>
      </c>
      <c r="J2153">
        <f>IF(I2153="","",IF(I2153&gt;=MAXIFS($I$2:$I$5001,$B$2:$B$5001,B2153,$A$2:$A$5001,"&lt;="&amp;A2153),"PR",""))</f>
        <v/>
      </c>
    </row>
    <row r="2154">
      <c r="A2154" s="7" t="n"/>
      <c r="H2154" s="11">
        <f>IF(OR(D2154="",E2154=""),"",D2154*E2154)</f>
        <v/>
      </c>
      <c r="I2154" s="8">
        <f>IF(OR(D2154="",E2154=""),"",E2154*(1+D2154/30))</f>
        <v/>
      </c>
      <c r="J2154">
        <f>IF(I2154="","",IF(I2154&gt;=MAXIFS($I$2:$I$5001,$B$2:$B$5001,B2154,$A$2:$A$5001,"&lt;="&amp;A2154),"PR",""))</f>
        <v/>
      </c>
    </row>
    <row r="2155">
      <c r="A2155" s="7" t="n"/>
      <c r="H2155" s="11">
        <f>IF(OR(D2155="",E2155=""),"",D2155*E2155)</f>
        <v/>
      </c>
      <c r="I2155" s="8">
        <f>IF(OR(D2155="",E2155=""),"",E2155*(1+D2155/30))</f>
        <v/>
      </c>
      <c r="J2155">
        <f>IF(I2155="","",IF(I2155&gt;=MAXIFS($I$2:$I$5001,$B$2:$B$5001,B2155,$A$2:$A$5001,"&lt;="&amp;A2155),"PR",""))</f>
        <v/>
      </c>
    </row>
    <row r="2156">
      <c r="A2156" s="7" t="n"/>
      <c r="H2156" s="11">
        <f>IF(OR(D2156="",E2156=""),"",D2156*E2156)</f>
        <v/>
      </c>
      <c r="I2156" s="8">
        <f>IF(OR(D2156="",E2156=""),"",E2156*(1+D2156/30))</f>
        <v/>
      </c>
      <c r="J2156">
        <f>IF(I2156="","",IF(I2156&gt;=MAXIFS($I$2:$I$5001,$B$2:$B$5001,B2156,$A$2:$A$5001,"&lt;="&amp;A2156),"PR",""))</f>
        <v/>
      </c>
    </row>
    <row r="2157">
      <c r="A2157" s="7" t="n"/>
      <c r="H2157" s="11">
        <f>IF(OR(D2157="",E2157=""),"",D2157*E2157)</f>
        <v/>
      </c>
      <c r="I2157" s="8">
        <f>IF(OR(D2157="",E2157=""),"",E2157*(1+D2157/30))</f>
        <v/>
      </c>
      <c r="J2157">
        <f>IF(I2157="","",IF(I2157&gt;=MAXIFS($I$2:$I$5001,$B$2:$B$5001,B2157,$A$2:$A$5001,"&lt;="&amp;A2157),"PR",""))</f>
        <v/>
      </c>
    </row>
    <row r="2158">
      <c r="A2158" s="7" t="n"/>
      <c r="H2158" s="11">
        <f>IF(OR(D2158="",E2158=""),"",D2158*E2158)</f>
        <v/>
      </c>
      <c r="I2158" s="8">
        <f>IF(OR(D2158="",E2158=""),"",E2158*(1+D2158/30))</f>
        <v/>
      </c>
      <c r="J2158">
        <f>IF(I2158="","",IF(I2158&gt;=MAXIFS($I$2:$I$5001,$B$2:$B$5001,B2158,$A$2:$A$5001,"&lt;="&amp;A2158),"PR",""))</f>
        <v/>
      </c>
    </row>
    <row r="2159">
      <c r="A2159" s="7" t="n"/>
      <c r="H2159" s="11">
        <f>IF(OR(D2159="",E2159=""),"",D2159*E2159)</f>
        <v/>
      </c>
      <c r="I2159" s="8">
        <f>IF(OR(D2159="",E2159=""),"",E2159*(1+D2159/30))</f>
        <v/>
      </c>
      <c r="J2159">
        <f>IF(I2159="","",IF(I2159&gt;=MAXIFS($I$2:$I$5001,$B$2:$B$5001,B2159,$A$2:$A$5001,"&lt;="&amp;A2159),"PR",""))</f>
        <v/>
      </c>
    </row>
    <row r="2160">
      <c r="A2160" s="7" t="n"/>
      <c r="H2160" s="11">
        <f>IF(OR(D2160="",E2160=""),"",D2160*E2160)</f>
        <v/>
      </c>
      <c r="I2160" s="8">
        <f>IF(OR(D2160="",E2160=""),"",E2160*(1+D2160/30))</f>
        <v/>
      </c>
      <c r="J2160">
        <f>IF(I2160="","",IF(I2160&gt;=MAXIFS($I$2:$I$5001,$B$2:$B$5001,B2160,$A$2:$A$5001,"&lt;="&amp;A2160),"PR",""))</f>
        <v/>
      </c>
    </row>
    <row r="2161">
      <c r="A2161" s="7" t="n"/>
      <c r="H2161" s="11">
        <f>IF(OR(D2161="",E2161=""),"",D2161*E2161)</f>
        <v/>
      </c>
      <c r="I2161" s="8">
        <f>IF(OR(D2161="",E2161=""),"",E2161*(1+D2161/30))</f>
        <v/>
      </c>
      <c r="J2161">
        <f>IF(I2161="","",IF(I2161&gt;=MAXIFS($I$2:$I$5001,$B$2:$B$5001,B2161,$A$2:$A$5001,"&lt;="&amp;A2161),"PR",""))</f>
        <v/>
      </c>
    </row>
    <row r="2162">
      <c r="A2162" s="7" t="n"/>
      <c r="H2162" s="11">
        <f>IF(OR(D2162="",E2162=""),"",D2162*E2162)</f>
        <v/>
      </c>
      <c r="I2162" s="8">
        <f>IF(OR(D2162="",E2162=""),"",E2162*(1+D2162/30))</f>
        <v/>
      </c>
      <c r="J2162">
        <f>IF(I2162="","",IF(I2162&gt;=MAXIFS($I$2:$I$5001,$B$2:$B$5001,B2162,$A$2:$A$5001,"&lt;="&amp;A2162),"PR",""))</f>
        <v/>
      </c>
    </row>
    <row r="2163">
      <c r="A2163" s="7" t="n"/>
      <c r="H2163" s="11">
        <f>IF(OR(D2163="",E2163=""),"",D2163*E2163)</f>
        <v/>
      </c>
      <c r="I2163" s="8">
        <f>IF(OR(D2163="",E2163=""),"",E2163*(1+D2163/30))</f>
        <v/>
      </c>
      <c r="J2163">
        <f>IF(I2163="","",IF(I2163&gt;=MAXIFS($I$2:$I$5001,$B$2:$B$5001,B2163,$A$2:$A$5001,"&lt;="&amp;A2163),"PR",""))</f>
        <v/>
      </c>
    </row>
    <row r="2164">
      <c r="A2164" s="7" t="n"/>
      <c r="H2164" s="11">
        <f>IF(OR(D2164="",E2164=""),"",D2164*E2164)</f>
        <v/>
      </c>
      <c r="I2164" s="8">
        <f>IF(OR(D2164="",E2164=""),"",E2164*(1+D2164/30))</f>
        <v/>
      </c>
      <c r="J2164">
        <f>IF(I2164="","",IF(I2164&gt;=MAXIFS($I$2:$I$5001,$B$2:$B$5001,B2164,$A$2:$A$5001,"&lt;="&amp;A2164),"PR",""))</f>
        <v/>
      </c>
    </row>
    <row r="2165">
      <c r="A2165" s="7" t="n"/>
      <c r="H2165" s="11">
        <f>IF(OR(D2165="",E2165=""),"",D2165*E2165)</f>
        <v/>
      </c>
      <c r="I2165" s="8">
        <f>IF(OR(D2165="",E2165=""),"",E2165*(1+D2165/30))</f>
        <v/>
      </c>
      <c r="J2165">
        <f>IF(I2165="","",IF(I2165&gt;=MAXIFS($I$2:$I$5001,$B$2:$B$5001,B2165,$A$2:$A$5001,"&lt;="&amp;A2165),"PR",""))</f>
        <v/>
      </c>
    </row>
    <row r="2166">
      <c r="A2166" s="7" t="n"/>
      <c r="H2166" s="11">
        <f>IF(OR(D2166="",E2166=""),"",D2166*E2166)</f>
        <v/>
      </c>
      <c r="I2166" s="8">
        <f>IF(OR(D2166="",E2166=""),"",E2166*(1+D2166/30))</f>
        <v/>
      </c>
      <c r="J2166">
        <f>IF(I2166="","",IF(I2166&gt;=MAXIFS($I$2:$I$5001,$B$2:$B$5001,B2166,$A$2:$A$5001,"&lt;="&amp;A2166),"PR",""))</f>
        <v/>
      </c>
    </row>
    <row r="2167">
      <c r="A2167" s="7" t="n"/>
      <c r="H2167" s="11">
        <f>IF(OR(D2167="",E2167=""),"",D2167*E2167)</f>
        <v/>
      </c>
      <c r="I2167" s="8">
        <f>IF(OR(D2167="",E2167=""),"",E2167*(1+D2167/30))</f>
        <v/>
      </c>
      <c r="J2167">
        <f>IF(I2167="","",IF(I2167&gt;=MAXIFS($I$2:$I$5001,$B$2:$B$5001,B2167,$A$2:$A$5001,"&lt;="&amp;A2167),"PR",""))</f>
        <v/>
      </c>
    </row>
    <row r="2168">
      <c r="A2168" s="7" t="n"/>
      <c r="H2168" s="11">
        <f>IF(OR(D2168="",E2168=""),"",D2168*E2168)</f>
        <v/>
      </c>
      <c r="I2168" s="8">
        <f>IF(OR(D2168="",E2168=""),"",E2168*(1+D2168/30))</f>
        <v/>
      </c>
      <c r="J2168">
        <f>IF(I2168="","",IF(I2168&gt;=MAXIFS($I$2:$I$5001,$B$2:$B$5001,B2168,$A$2:$A$5001,"&lt;="&amp;A2168),"PR",""))</f>
        <v/>
      </c>
    </row>
    <row r="2169">
      <c r="A2169" s="7" t="n"/>
      <c r="H2169" s="11">
        <f>IF(OR(D2169="",E2169=""),"",D2169*E2169)</f>
        <v/>
      </c>
      <c r="I2169" s="8">
        <f>IF(OR(D2169="",E2169=""),"",E2169*(1+D2169/30))</f>
        <v/>
      </c>
      <c r="J2169">
        <f>IF(I2169="","",IF(I2169&gt;=MAXIFS($I$2:$I$5001,$B$2:$B$5001,B2169,$A$2:$A$5001,"&lt;="&amp;A2169),"PR",""))</f>
        <v/>
      </c>
    </row>
    <row r="2170">
      <c r="A2170" s="7" t="n"/>
      <c r="H2170" s="11">
        <f>IF(OR(D2170="",E2170=""),"",D2170*E2170)</f>
        <v/>
      </c>
      <c r="I2170" s="8">
        <f>IF(OR(D2170="",E2170=""),"",E2170*(1+D2170/30))</f>
        <v/>
      </c>
      <c r="J2170">
        <f>IF(I2170="","",IF(I2170&gt;=MAXIFS($I$2:$I$5001,$B$2:$B$5001,B2170,$A$2:$A$5001,"&lt;="&amp;A2170),"PR",""))</f>
        <v/>
      </c>
    </row>
    <row r="2171">
      <c r="A2171" s="7" t="n"/>
      <c r="H2171" s="11">
        <f>IF(OR(D2171="",E2171=""),"",D2171*E2171)</f>
        <v/>
      </c>
      <c r="I2171" s="8">
        <f>IF(OR(D2171="",E2171=""),"",E2171*(1+D2171/30))</f>
        <v/>
      </c>
      <c r="J2171">
        <f>IF(I2171="","",IF(I2171&gt;=MAXIFS($I$2:$I$5001,$B$2:$B$5001,B2171,$A$2:$A$5001,"&lt;="&amp;A2171),"PR",""))</f>
        <v/>
      </c>
    </row>
    <row r="2172">
      <c r="A2172" s="7" t="n"/>
      <c r="H2172" s="11">
        <f>IF(OR(D2172="",E2172=""),"",D2172*E2172)</f>
        <v/>
      </c>
      <c r="I2172" s="8">
        <f>IF(OR(D2172="",E2172=""),"",E2172*(1+D2172/30))</f>
        <v/>
      </c>
      <c r="J2172">
        <f>IF(I2172="","",IF(I2172&gt;=MAXIFS($I$2:$I$5001,$B$2:$B$5001,B2172,$A$2:$A$5001,"&lt;="&amp;A2172),"PR",""))</f>
        <v/>
      </c>
    </row>
    <row r="2173">
      <c r="A2173" s="7" t="n"/>
      <c r="H2173" s="11">
        <f>IF(OR(D2173="",E2173=""),"",D2173*E2173)</f>
        <v/>
      </c>
      <c r="I2173" s="8">
        <f>IF(OR(D2173="",E2173=""),"",E2173*(1+D2173/30))</f>
        <v/>
      </c>
      <c r="J2173">
        <f>IF(I2173="","",IF(I2173&gt;=MAXIFS($I$2:$I$5001,$B$2:$B$5001,B2173,$A$2:$A$5001,"&lt;="&amp;A2173),"PR",""))</f>
        <v/>
      </c>
    </row>
    <row r="2174">
      <c r="A2174" s="7" t="n"/>
      <c r="H2174" s="11">
        <f>IF(OR(D2174="",E2174=""),"",D2174*E2174)</f>
        <v/>
      </c>
      <c r="I2174" s="8">
        <f>IF(OR(D2174="",E2174=""),"",E2174*(1+D2174/30))</f>
        <v/>
      </c>
      <c r="J2174">
        <f>IF(I2174="","",IF(I2174&gt;=MAXIFS($I$2:$I$5001,$B$2:$B$5001,B2174,$A$2:$A$5001,"&lt;="&amp;A2174),"PR",""))</f>
        <v/>
      </c>
    </row>
    <row r="2175">
      <c r="A2175" s="7" t="n"/>
      <c r="H2175" s="11">
        <f>IF(OR(D2175="",E2175=""),"",D2175*E2175)</f>
        <v/>
      </c>
      <c r="I2175" s="8">
        <f>IF(OR(D2175="",E2175=""),"",E2175*(1+D2175/30))</f>
        <v/>
      </c>
      <c r="J2175">
        <f>IF(I2175="","",IF(I2175&gt;=MAXIFS($I$2:$I$5001,$B$2:$B$5001,B2175,$A$2:$A$5001,"&lt;="&amp;A2175),"PR",""))</f>
        <v/>
      </c>
    </row>
    <row r="2176">
      <c r="A2176" s="7" t="n"/>
      <c r="H2176" s="11">
        <f>IF(OR(D2176="",E2176=""),"",D2176*E2176)</f>
        <v/>
      </c>
      <c r="I2176" s="8">
        <f>IF(OR(D2176="",E2176=""),"",E2176*(1+D2176/30))</f>
        <v/>
      </c>
      <c r="J2176">
        <f>IF(I2176="","",IF(I2176&gt;=MAXIFS($I$2:$I$5001,$B$2:$B$5001,B2176,$A$2:$A$5001,"&lt;="&amp;A2176),"PR",""))</f>
        <v/>
      </c>
    </row>
    <row r="2177">
      <c r="A2177" s="7" t="n"/>
      <c r="H2177" s="11">
        <f>IF(OR(D2177="",E2177=""),"",D2177*E2177)</f>
        <v/>
      </c>
      <c r="I2177" s="8">
        <f>IF(OR(D2177="",E2177=""),"",E2177*(1+D2177/30))</f>
        <v/>
      </c>
      <c r="J2177">
        <f>IF(I2177="","",IF(I2177&gt;=MAXIFS($I$2:$I$5001,$B$2:$B$5001,B2177,$A$2:$A$5001,"&lt;="&amp;A2177),"PR",""))</f>
        <v/>
      </c>
    </row>
    <row r="2178">
      <c r="A2178" s="7" t="n"/>
      <c r="H2178" s="11">
        <f>IF(OR(D2178="",E2178=""),"",D2178*E2178)</f>
        <v/>
      </c>
      <c r="I2178" s="8">
        <f>IF(OR(D2178="",E2178=""),"",E2178*(1+D2178/30))</f>
        <v/>
      </c>
      <c r="J2178">
        <f>IF(I2178="","",IF(I2178&gt;=MAXIFS($I$2:$I$5001,$B$2:$B$5001,B2178,$A$2:$A$5001,"&lt;="&amp;A2178),"PR",""))</f>
        <v/>
      </c>
    </row>
    <row r="2179">
      <c r="A2179" s="7" t="n"/>
      <c r="H2179" s="11">
        <f>IF(OR(D2179="",E2179=""),"",D2179*E2179)</f>
        <v/>
      </c>
      <c r="I2179" s="8">
        <f>IF(OR(D2179="",E2179=""),"",E2179*(1+D2179/30))</f>
        <v/>
      </c>
      <c r="J2179">
        <f>IF(I2179="","",IF(I2179&gt;=MAXIFS($I$2:$I$5001,$B$2:$B$5001,B2179,$A$2:$A$5001,"&lt;="&amp;A2179),"PR",""))</f>
        <v/>
      </c>
    </row>
    <row r="2180">
      <c r="A2180" s="7" t="n"/>
      <c r="H2180" s="11">
        <f>IF(OR(D2180="",E2180=""),"",D2180*E2180)</f>
        <v/>
      </c>
      <c r="I2180" s="8">
        <f>IF(OR(D2180="",E2180=""),"",E2180*(1+D2180/30))</f>
        <v/>
      </c>
      <c r="J2180">
        <f>IF(I2180="","",IF(I2180&gt;=MAXIFS($I$2:$I$5001,$B$2:$B$5001,B2180,$A$2:$A$5001,"&lt;="&amp;A2180),"PR",""))</f>
        <v/>
      </c>
    </row>
    <row r="2181">
      <c r="A2181" s="7" t="n"/>
      <c r="H2181" s="11">
        <f>IF(OR(D2181="",E2181=""),"",D2181*E2181)</f>
        <v/>
      </c>
      <c r="I2181" s="8">
        <f>IF(OR(D2181="",E2181=""),"",E2181*(1+D2181/30))</f>
        <v/>
      </c>
      <c r="J2181">
        <f>IF(I2181="","",IF(I2181&gt;=MAXIFS($I$2:$I$5001,$B$2:$B$5001,B2181,$A$2:$A$5001,"&lt;="&amp;A2181),"PR",""))</f>
        <v/>
      </c>
    </row>
    <row r="2182">
      <c r="A2182" s="7" t="n"/>
      <c r="H2182" s="11">
        <f>IF(OR(D2182="",E2182=""),"",D2182*E2182)</f>
        <v/>
      </c>
      <c r="I2182" s="8">
        <f>IF(OR(D2182="",E2182=""),"",E2182*(1+D2182/30))</f>
        <v/>
      </c>
      <c r="J2182">
        <f>IF(I2182="","",IF(I2182&gt;=MAXIFS($I$2:$I$5001,$B$2:$B$5001,B2182,$A$2:$A$5001,"&lt;="&amp;A2182),"PR",""))</f>
        <v/>
      </c>
    </row>
    <row r="2183">
      <c r="A2183" s="7" t="n"/>
      <c r="H2183" s="11">
        <f>IF(OR(D2183="",E2183=""),"",D2183*E2183)</f>
        <v/>
      </c>
      <c r="I2183" s="8">
        <f>IF(OR(D2183="",E2183=""),"",E2183*(1+D2183/30))</f>
        <v/>
      </c>
      <c r="J2183">
        <f>IF(I2183="","",IF(I2183&gt;=MAXIFS($I$2:$I$5001,$B$2:$B$5001,B2183,$A$2:$A$5001,"&lt;="&amp;A2183),"PR",""))</f>
        <v/>
      </c>
    </row>
    <row r="2184">
      <c r="A2184" s="7" t="n"/>
      <c r="H2184" s="11">
        <f>IF(OR(D2184="",E2184=""),"",D2184*E2184)</f>
        <v/>
      </c>
      <c r="I2184" s="8">
        <f>IF(OR(D2184="",E2184=""),"",E2184*(1+D2184/30))</f>
        <v/>
      </c>
      <c r="J2184">
        <f>IF(I2184="","",IF(I2184&gt;=MAXIFS($I$2:$I$5001,$B$2:$B$5001,B2184,$A$2:$A$5001,"&lt;="&amp;A2184),"PR",""))</f>
        <v/>
      </c>
    </row>
    <row r="2185">
      <c r="A2185" s="7" t="n"/>
      <c r="H2185" s="11">
        <f>IF(OR(D2185="",E2185=""),"",D2185*E2185)</f>
        <v/>
      </c>
      <c r="I2185" s="8">
        <f>IF(OR(D2185="",E2185=""),"",E2185*(1+D2185/30))</f>
        <v/>
      </c>
      <c r="J2185">
        <f>IF(I2185="","",IF(I2185&gt;=MAXIFS($I$2:$I$5001,$B$2:$B$5001,B2185,$A$2:$A$5001,"&lt;="&amp;A2185),"PR",""))</f>
        <v/>
      </c>
    </row>
    <row r="2186">
      <c r="A2186" s="7" t="n"/>
      <c r="H2186" s="11">
        <f>IF(OR(D2186="",E2186=""),"",D2186*E2186)</f>
        <v/>
      </c>
      <c r="I2186" s="8">
        <f>IF(OR(D2186="",E2186=""),"",E2186*(1+D2186/30))</f>
        <v/>
      </c>
      <c r="J2186">
        <f>IF(I2186="","",IF(I2186&gt;=MAXIFS($I$2:$I$5001,$B$2:$B$5001,B2186,$A$2:$A$5001,"&lt;="&amp;A2186),"PR",""))</f>
        <v/>
      </c>
    </row>
    <row r="2187">
      <c r="A2187" s="7" t="n"/>
      <c r="H2187" s="11">
        <f>IF(OR(D2187="",E2187=""),"",D2187*E2187)</f>
        <v/>
      </c>
      <c r="I2187" s="8">
        <f>IF(OR(D2187="",E2187=""),"",E2187*(1+D2187/30))</f>
        <v/>
      </c>
      <c r="J2187">
        <f>IF(I2187="","",IF(I2187&gt;=MAXIFS($I$2:$I$5001,$B$2:$B$5001,B2187,$A$2:$A$5001,"&lt;="&amp;A2187),"PR",""))</f>
        <v/>
      </c>
    </row>
    <row r="2188">
      <c r="A2188" s="7" t="n"/>
      <c r="H2188" s="11">
        <f>IF(OR(D2188="",E2188=""),"",D2188*E2188)</f>
        <v/>
      </c>
      <c r="I2188" s="8">
        <f>IF(OR(D2188="",E2188=""),"",E2188*(1+D2188/30))</f>
        <v/>
      </c>
      <c r="J2188">
        <f>IF(I2188="","",IF(I2188&gt;=MAXIFS($I$2:$I$5001,$B$2:$B$5001,B2188,$A$2:$A$5001,"&lt;="&amp;A2188),"PR",""))</f>
        <v/>
      </c>
    </row>
    <row r="2189">
      <c r="A2189" s="7" t="n"/>
      <c r="H2189" s="11">
        <f>IF(OR(D2189="",E2189=""),"",D2189*E2189)</f>
        <v/>
      </c>
      <c r="I2189" s="8">
        <f>IF(OR(D2189="",E2189=""),"",E2189*(1+D2189/30))</f>
        <v/>
      </c>
      <c r="J2189">
        <f>IF(I2189="","",IF(I2189&gt;=MAXIFS($I$2:$I$5001,$B$2:$B$5001,B2189,$A$2:$A$5001,"&lt;="&amp;A2189),"PR",""))</f>
        <v/>
      </c>
    </row>
    <row r="2190">
      <c r="A2190" s="7" t="n"/>
      <c r="H2190" s="11">
        <f>IF(OR(D2190="",E2190=""),"",D2190*E2190)</f>
        <v/>
      </c>
      <c r="I2190" s="8">
        <f>IF(OR(D2190="",E2190=""),"",E2190*(1+D2190/30))</f>
        <v/>
      </c>
      <c r="J2190">
        <f>IF(I2190="","",IF(I2190&gt;=MAXIFS($I$2:$I$5001,$B$2:$B$5001,B2190,$A$2:$A$5001,"&lt;="&amp;A2190),"PR",""))</f>
        <v/>
      </c>
    </row>
    <row r="2191">
      <c r="A2191" s="7" t="n"/>
      <c r="H2191" s="11">
        <f>IF(OR(D2191="",E2191=""),"",D2191*E2191)</f>
        <v/>
      </c>
      <c r="I2191" s="8">
        <f>IF(OR(D2191="",E2191=""),"",E2191*(1+D2191/30))</f>
        <v/>
      </c>
      <c r="J2191">
        <f>IF(I2191="","",IF(I2191&gt;=MAXIFS($I$2:$I$5001,$B$2:$B$5001,B2191,$A$2:$A$5001,"&lt;="&amp;A2191),"PR",""))</f>
        <v/>
      </c>
    </row>
    <row r="2192">
      <c r="A2192" s="7" t="n"/>
      <c r="H2192" s="11">
        <f>IF(OR(D2192="",E2192=""),"",D2192*E2192)</f>
        <v/>
      </c>
      <c r="I2192" s="8">
        <f>IF(OR(D2192="",E2192=""),"",E2192*(1+D2192/30))</f>
        <v/>
      </c>
      <c r="J2192">
        <f>IF(I2192="","",IF(I2192&gt;=MAXIFS($I$2:$I$5001,$B$2:$B$5001,B2192,$A$2:$A$5001,"&lt;="&amp;A2192),"PR",""))</f>
        <v/>
      </c>
    </row>
    <row r="2193">
      <c r="A2193" s="7" t="n"/>
      <c r="H2193" s="11">
        <f>IF(OR(D2193="",E2193=""),"",D2193*E2193)</f>
        <v/>
      </c>
      <c r="I2193" s="8">
        <f>IF(OR(D2193="",E2193=""),"",E2193*(1+D2193/30))</f>
        <v/>
      </c>
      <c r="J2193">
        <f>IF(I2193="","",IF(I2193&gt;=MAXIFS($I$2:$I$5001,$B$2:$B$5001,B2193,$A$2:$A$5001,"&lt;="&amp;A2193),"PR",""))</f>
        <v/>
      </c>
    </row>
    <row r="2194">
      <c r="A2194" s="7" t="n"/>
      <c r="H2194" s="11">
        <f>IF(OR(D2194="",E2194=""),"",D2194*E2194)</f>
        <v/>
      </c>
      <c r="I2194" s="8">
        <f>IF(OR(D2194="",E2194=""),"",E2194*(1+D2194/30))</f>
        <v/>
      </c>
      <c r="J2194">
        <f>IF(I2194="","",IF(I2194&gt;=MAXIFS($I$2:$I$5001,$B$2:$B$5001,B2194,$A$2:$A$5001,"&lt;="&amp;A2194),"PR",""))</f>
        <v/>
      </c>
    </row>
    <row r="2195">
      <c r="A2195" s="7" t="n"/>
      <c r="H2195" s="11">
        <f>IF(OR(D2195="",E2195=""),"",D2195*E2195)</f>
        <v/>
      </c>
      <c r="I2195" s="8">
        <f>IF(OR(D2195="",E2195=""),"",E2195*(1+D2195/30))</f>
        <v/>
      </c>
      <c r="J2195">
        <f>IF(I2195="","",IF(I2195&gt;=MAXIFS($I$2:$I$5001,$B$2:$B$5001,B2195,$A$2:$A$5001,"&lt;="&amp;A2195),"PR",""))</f>
        <v/>
      </c>
    </row>
    <row r="2196">
      <c r="A2196" s="7" t="n"/>
      <c r="H2196" s="11">
        <f>IF(OR(D2196="",E2196=""),"",D2196*E2196)</f>
        <v/>
      </c>
      <c r="I2196" s="8">
        <f>IF(OR(D2196="",E2196=""),"",E2196*(1+D2196/30))</f>
        <v/>
      </c>
      <c r="J2196">
        <f>IF(I2196="","",IF(I2196&gt;=MAXIFS($I$2:$I$5001,$B$2:$B$5001,B2196,$A$2:$A$5001,"&lt;="&amp;A2196),"PR",""))</f>
        <v/>
      </c>
    </row>
    <row r="2197">
      <c r="A2197" s="7" t="n"/>
      <c r="H2197" s="11">
        <f>IF(OR(D2197="",E2197=""),"",D2197*E2197)</f>
        <v/>
      </c>
      <c r="I2197" s="8">
        <f>IF(OR(D2197="",E2197=""),"",E2197*(1+D2197/30))</f>
        <v/>
      </c>
      <c r="J2197">
        <f>IF(I2197="","",IF(I2197&gt;=MAXIFS($I$2:$I$5001,$B$2:$B$5001,B2197,$A$2:$A$5001,"&lt;="&amp;A2197),"PR",""))</f>
        <v/>
      </c>
    </row>
    <row r="2198">
      <c r="A2198" s="7" t="n"/>
      <c r="H2198" s="11">
        <f>IF(OR(D2198="",E2198=""),"",D2198*E2198)</f>
        <v/>
      </c>
      <c r="I2198" s="8">
        <f>IF(OR(D2198="",E2198=""),"",E2198*(1+D2198/30))</f>
        <v/>
      </c>
      <c r="J2198">
        <f>IF(I2198="","",IF(I2198&gt;=MAXIFS($I$2:$I$5001,$B$2:$B$5001,B2198,$A$2:$A$5001,"&lt;="&amp;A2198),"PR",""))</f>
        <v/>
      </c>
    </row>
    <row r="2199">
      <c r="A2199" s="7" t="n"/>
      <c r="H2199" s="11">
        <f>IF(OR(D2199="",E2199=""),"",D2199*E2199)</f>
        <v/>
      </c>
      <c r="I2199" s="8">
        <f>IF(OR(D2199="",E2199=""),"",E2199*(1+D2199/30))</f>
        <v/>
      </c>
      <c r="J2199">
        <f>IF(I2199="","",IF(I2199&gt;=MAXIFS($I$2:$I$5001,$B$2:$B$5001,B2199,$A$2:$A$5001,"&lt;="&amp;A2199),"PR",""))</f>
        <v/>
      </c>
    </row>
    <row r="2200">
      <c r="A2200" s="7" t="n"/>
      <c r="H2200" s="11">
        <f>IF(OR(D2200="",E2200=""),"",D2200*E2200)</f>
        <v/>
      </c>
      <c r="I2200" s="8">
        <f>IF(OR(D2200="",E2200=""),"",E2200*(1+D2200/30))</f>
        <v/>
      </c>
      <c r="J2200">
        <f>IF(I2200="","",IF(I2200&gt;=MAXIFS($I$2:$I$5001,$B$2:$B$5001,B2200,$A$2:$A$5001,"&lt;="&amp;A2200),"PR",""))</f>
        <v/>
      </c>
    </row>
    <row r="2201">
      <c r="A2201" s="7" t="n"/>
      <c r="H2201" s="11">
        <f>IF(OR(D2201="",E2201=""),"",D2201*E2201)</f>
        <v/>
      </c>
      <c r="I2201" s="8">
        <f>IF(OR(D2201="",E2201=""),"",E2201*(1+D2201/30))</f>
        <v/>
      </c>
      <c r="J2201">
        <f>IF(I2201="","",IF(I2201&gt;=MAXIFS($I$2:$I$5001,$B$2:$B$5001,B2201,$A$2:$A$5001,"&lt;="&amp;A2201),"PR",""))</f>
        <v/>
      </c>
    </row>
    <row r="2202">
      <c r="A2202" s="7" t="n"/>
      <c r="H2202" s="11">
        <f>IF(OR(D2202="",E2202=""),"",D2202*E2202)</f>
        <v/>
      </c>
      <c r="I2202" s="8">
        <f>IF(OR(D2202="",E2202=""),"",E2202*(1+D2202/30))</f>
        <v/>
      </c>
      <c r="J2202">
        <f>IF(I2202="","",IF(I2202&gt;=MAXIFS($I$2:$I$5001,$B$2:$B$5001,B2202,$A$2:$A$5001,"&lt;="&amp;A2202),"PR",""))</f>
        <v/>
      </c>
    </row>
    <row r="2203">
      <c r="A2203" s="7" t="n"/>
      <c r="H2203" s="11">
        <f>IF(OR(D2203="",E2203=""),"",D2203*E2203)</f>
        <v/>
      </c>
      <c r="I2203" s="8">
        <f>IF(OR(D2203="",E2203=""),"",E2203*(1+D2203/30))</f>
        <v/>
      </c>
      <c r="J2203">
        <f>IF(I2203="","",IF(I2203&gt;=MAXIFS($I$2:$I$5001,$B$2:$B$5001,B2203,$A$2:$A$5001,"&lt;="&amp;A2203),"PR",""))</f>
        <v/>
      </c>
    </row>
    <row r="2204">
      <c r="A2204" s="7" t="n"/>
      <c r="H2204" s="11">
        <f>IF(OR(D2204="",E2204=""),"",D2204*E2204)</f>
        <v/>
      </c>
      <c r="I2204" s="8">
        <f>IF(OR(D2204="",E2204=""),"",E2204*(1+D2204/30))</f>
        <v/>
      </c>
      <c r="J2204">
        <f>IF(I2204="","",IF(I2204&gt;=MAXIFS($I$2:$I$5001,$B$2:$B$5001,B2204,$A$2:$A$5001,"&lt;="&amp;A2204),"PR",""))</f>
        <v/>
      </c>
    </row>
    <row r="2205">
      <c r="A2205" s="7" t="n"/>
      <c r="H2205" s="11">
        <f>IF(OR(D2205="",E2205=""),"",D2205*E2205)</f>
        <v/>
      </c>
      <c r="I2205" s="8">
        <f>IF(OR(D2205="",E2205=""),"",E2205*(1+D2205/30))</f>
        <v/>
      </c>
      <c r="J2205">
        <f>IF(I2205="","",IF(I2205&gt;=MAXIFS($I$2:$I$5001,$B$2:$B$5001,B2205,$A$2:$A$5001,"&lt;="&amp;A2205),"PR",""))</f>
        <v/>
      </c>
    </row>
    <row r="2206">
      <c r="A2206" s="7" t="n"/>
      <c r="H2206" s="11">
        <f>IF(OR(D2206="",E2206=""),"",D2206*E2206)</f>
        <v/>
      </c>
      <c r="I2206" s="8">
        <f>IF(OR(D2206="",E2206=""),"",E2206*(1+D2206/30))</f>
        <v/>
      </c>
      <c r="J2206">
        <f>IF(I2206="","",IF(I2206&gt;=MAXIFS($I$2:$I$5001,$B$2:$B$5001,B2206,$A$2:$A$5001,"&lt;="&amp;A2206),"PR",""))</f>
        <v/>
      </c>
    </row>
    <row r="2207">
      <c r="A2207" s="7" t="n"/>
      <c r="H2207" s="11">
        <f>IF(OR(D2207="",E2207=""),"",D2207*E2207)</f>
        <v/>
      </c>
      <c r="I2207" s="8">
        <f>IF(OR(D2207="",E2207=""),"",E2207*(1+D2207/30))</f>
        <v/>
      </c>
      <c r="J2207">
        <f>IF(I2207="","",IF(I2207&gt;=MAXIFS($I$2:$I$5001,$B$2:$B$5001,B2207,$A$2:$A$5001,"&lt;="&amp;A2207),"PR",""))</f>
        <v/>
      </c>
    </row>
    <row r="2208">
      <c r="A2208" s="7" t="n"/>
      <c r="H2208" s="11">
        <f>IF(OR(D2208="",E2208=""),"",D2208*E2208)</f>
        <v/>
      </c>
      <c r="I2208" s="8">
        <f>IF(OR(D2208="",E2208=""),"",E2208*(1+D2208/30))</f>
        <v/>
      </c>
      <c r="J2208">
        <f>IF(I2208="","",IF(I2208&gt;=MAXIFS($I$2:$I$5001,$B$2:$B$5001,B2208,$A$2:$A$5001,"&lt;="&amp;A2208),"PR",""))</f>
        <v/>
      </c>
    </row>
    <row r="2209">
      <c r="A2209" s="7" t="n"/>
      <c r="H2209" s="11">
        <f>IF(OR(D2209="",E2209=""),"",D2209*E2209)</f>
        <v/>
      </c>
      <c r="I2209" s="8">
        <f>IF(OR(D2209="",E2209=""),"",E2209*(1+D2209/30))</f>
        <v/>
      </c>
      <c r="J2209">
        <f>IF(I2209="","",IF(I2209&gt;=MAXIFS($I$2:$I$5001,$B$2:$B$5001,B2209,$A$2:$A$5001,"&lt;="&amp;A2209),"PR",""))</f>
        <v/>
      </c>
    </row>
    <row r="2210">
      <c r="A2210" s="7" t="n"/>
      <c r="H2210" s="11">
        <f>IF(OR(D2210="",E2210=""),"",D2210*E2210)</f>
        <v/>
      </c>
      <c r="I2210" s="8">
        <f>IF(OR(D2210="",E2210=""),"",E2210*(1+D2210/30))</f>
        <v/>
      </c>
      <c r="J2210">
        <f>IF(I2210="","",IF(I2210&gt;=MAXIFS($I$2:$I$5001,$B$2:$B$5001,B2210,$A$2:$A$5001,"&lt;="&amp;A2210),"PR",""))</f>
        <v/>
      </c>
    </row>
    <row r="2211">
      <c r="A2211" s="7" t="n"/>
      <c r="H2211" s="11">
        <f>IF(OR(D2211="",E2211=""),"",D2211*E2211)</f>
        <v/>
      </c>
      <c r="I2211" s="8">
        <f>IF(OR(D2211="",E2211=""),"",E2211*(1+D2211/30))</f>
        <v/>
      </c>
      <c r="J2211">
        <f>IF(I2211="","",IF(I2211&gt;=MAXIFS($I$2:$I$5001,$B$2:$B$5001,B2211,$A$2:$A$5001,"&lt;="&amp;A2211),"PR",""))</f>
        <v/>
      </c>
    </row>
    <row r="2212">
      <c r="A2212" s="7" t="n"/>
      <c r="H2212" s="11">
        <f>IF(OR(D2212="",E2212=""),"",D2212*E2212)</f>
        <v/>
      </c>
      <c r="I2212" s="8">
        <f>IF(OR(D2212="",E2212=""),"",E2212*(1+D2212/30))</f>
        <v/>
      </c>
      <c r="J2212">
        <f>IF(I2212="","",IF(I2212&gt;=MAXIFS($I$2:$I$5001,$B$2:$B$5001,B2212,$A$2:$A$5001,"&lt;="&amp;A2212),"PR",""))</f>
        <v/>
      </c>
    </row>
    <row r="2213">
      <c r="A2213" s="7" t="n"/>
      <c r="H2213" s="11">
        <f>IF(OR(D2213="",E2213=""),"",D2213*E2213)</f>
        <v/>
      </c>
      <c r="I2213" s="8">
        <f>IF(OR(D2213="",E2213=""),"",E2213*(1+D2213/30))</f>
        <v/>
      </c>
      <c r="J2213">
        <f>IF(I2213="","",IF(I2213&gt;=MAXIFS($I$2:$I$5001,$B$2:$B$5001,B2213,$A$2:$A$5001,"&lt;="&amp;A2213),"PR",""))</f>
        <v/>
      </c>
    </row>
    <row r="2214">
      <c r="A2214" s="7" t="n"/>
      <c r="H2214" s="11">
        <f>IF(OR(D2214="",E2214=""),"",D2214*E2214)</f>
        <v/>
      </c>
      <c r="I2214" s="8">
        <f>IF(OR(D2214="",E2214=""),"",E2214*(1+D2214/30))</f>
        <v/>
      </c>
      <c r="J2214">
        <f>IF(I2214="","",IF(I2214&gt;=MAXIFS($I$2:$I$5001,$B$2:$B$5001,B2214,$A$2:$A$5001,"&lt;="&amp;A2214),"PR",""))</f>
        <v/>
      </c>
    </row>
    <row r="2215">
      <c r="A2215" s="7" t="n"/>
      <c r="H2215" s="11">
        <f>IF(OR(D2215="",E2215=""),"",D2215*E2215)</f>
        <v/>
      </c>
      <c r="I2215" s="8">
        <f>IF(OR(D2215="",E2215=""),"",E2215*(1+D2215/30))</f>
        <v/>
      </c>
      <c r="J2215">
        <f>IF(I2215="","",IF(I2215&gt;=MAXIFS($I$2:$I$5001,$B$2:$B$5001,B2215,$A$2:$A$5001,"&lt;="&amp;A2215),"PR",""))</f>
        <v/>
      </c>
    </row>
    <row r="2216">
      <c r="A2216" s="7" t="n"/>
      <c r="H2216" s="11">
        <f>IF(OR(D2216="",E2216=""),"",D2216*E2216)</f>
        <v/>
      </c>
      <c r="I2216" s="8">
        <f>IF(OR(D2216="",E2216=""),"",E2216*(1+D2216/30))</f>
        <v/>
      </c>
      <c r="J2216">
        <f>IF(I2216="","",IF(I2216&gt;=MAXIFS($I$2:$I$5001,$B$2:$B$5001,B2216,$A$2:$A$5001,"&lt;="&amp;A2216),"PR",""))</f>
        <v/>
      </c>
    </row>
    <row r="2217">
      <c r="A2217" s="7" t="n"/>
      <c r="H2217" s="11">
        <f>IF(OR(D2217="",E2217=""),"",D2217*E2217)</f>
        <v/>
      </c>
      <c r="I2217" s="8">
        <f>IF(OR(D2217="",E2217=""),"",E2217*(1+D2217/30))</f>
        <v/>
      </c>
      <c r="J2217">
        <f>IF(I2217="","",IF(I2217&gt;=MAXIFS($I$2:$I$5001,$B$2:$B$5001,B2217,$A$2:$A$5001,"&lt;="&amp;A2217),"PR",""))</f>
        <v/>
      </c>
    </row>
    <row r="2218">
      <c r="A2218" s="7" t="n"/>
      <c r="H2218" s="11">
        <f>IF(OR(D2218="",E2218=""),"",D2218*E2218)</f>
        <v/>
      </c>
      <c r="I2218" s="8">
        <f>IF(OR(D2218="",E2218=""),"",E2218*(1+D2218/30))</f>
        <v/>
      </c>
      <c r="J2218">
        <f>IF(I2218="","",IF(I2218&gt;=MAXIFS($I$2:$I$5001,$B$2:$B$5001,B2218,$A$2:$A$5001,"&lt;="&amp;A2218),"PR",""))</f>
        <v/>
      </c>
    </row>
    <row r="2219">
      <c r="A2219" s="7" t="n"/>
      <c r="H2219" s="11">
        <f>IF(OR(D2219="",E2219=""),"",D2219*E2219)</f>
        <v/>
      </c>
      <c r="I2219" s="8">
        <f>IF(OR(D2219="",E2219=""),"",E2219*(1+D2219/30))</f>
        <v/>
      </c>
      <c r="J2219">
        <f>IF(I2219="","",IF(I2219&gt;=MAXIFS($I$2:$I$5001,$B$2:$B$5001,B2219,$A$2:$A$5001,"&lt;="&amp;A2219),"PR",""))</f>
        <v/>
      </c>
    </row>
    <row r="2220">
      <c r="A2220" s="7" t="n"/>
      <c r="H2220" s="11">
        <f>IF(OR(D2220="",E2220=""),"",D2220*E2220)</f>
        <v/>
      </c>
      <c r="I2220" s="8">
        <f>IF(OR(D2220="",E2220=""),"",E2220*(1+D2220/30))</f>
        <v/>
      </c>
      <c r="J2220">
        <f>IF(I2220="","",IF(I2220&gt;=MAXIFS($I$2:$I$5001,$B$2:$B$5001,B2220,$A$2:$A$5001,"&lt;="&amp;A2220),"PR",""))</f>
        <v/>
      </c>
    </row>
    <row r="2221">
      <c r="A2221" s="7" t="n"/>
      <c r="H2221" s="11">
        <f>IF(OR(D2221="",E2221=""),"",D2221*E2221)</f>
        <v/>
      </c>
      <c r="I2221" s="8">
        <f>IF(OR(D2221="",E2221=""),"",E2221*(1+D2221/30))</f>
        <v/>
      </c>
      <c r="J2221">
        <f>IF(I2221="","",IF(I2221&gt;=MAXIFS($I$2:$I$5001,$B$2:$B$5001,B2221,$A$2:$A$5001,"&lt;="&amp;A2221),"PR",""))</f>
        <v/>
      </c>
    </row>
    <row r="2222">
      <c r="A2222" s="7" t="n"/>
      <c r="H2222" s="11">
        <f>IF(OR(D2222="",E2222=""),"",D2222*E2222)</f>
        <v/>
      </c>
      <c r="I2222" s="8">
        <f>IF(OR(D2222="",E2222=""),"",E2222*(1+D2222/30))</f>
        <v/>
      </c>
      <c r="J2222">
        <f>IF(I2222="","",IF(I2222&gt;=MAXIFS($I$2:$I$5001,$B$2:$B$5001,B2222,$A$2:$A$5001,"&lt;="&amp;A2222),"PR",""))</f>
        <v/>
      </c>
    </row>
    <row r="2223">
      <c r="A2223" s="7" t="n"/>
      <c r="H2223" s="11">
        <f>IF(OR(D2223="",E2223=""),"",D2223*E2223)</f>
        <v/>
      </c>
      <c r="I2223" s="8">
        <f>IF(OR(D2223="",E2223=""),"",E2223*(1+D2223/30))</f>
        <v/>
      </c>
      <c r="J2223">
        <f>IF(I2223="","",IF(I2223&gt;=MAXIFS($I$2:$I$5001,$B$2:$B$5001,B2223,$A$2:$A$5001,"&lt;="&amp;A2223),"PR",""))</f>
        <v/>
      </c>
    </row>
    <row r="2224">
      <c r="A2224" s="7" t="n"/>
      <c r="H2224" s="11">
        <f>IF(OR(D2224="",E2224=""),"",D2224*E2224)</f>
        <v/>
      </c>
      <c r="I2224" s="8">
        <f>IF(OR(D2224="",E2224=""),"",E2224*(1+D2224/30))</f>
        <v/>
      </c>
      <c r="J2224">
        <f>IF(I2224="","",IF(I2224&gt;=MAXIFS($I$2:$I$5001,$B$2:$B$5001,B2224,$A$2:$A$5001,"&lt;="&amp;A2224),"PR",""))</f>
        <v/>
      </c>
    </row>
    <row r="2225">
      <c r="A2225" s="7" t="n"/>
      <c r="H2225" s="11">
        <f>IF(OR(D2225="",E2225=""),"",D2225*E2225)</f>
        <v/>
      </c>
      <c r="I2225" s="8">
        <f>IF(OR(D2225="",E2225=""),"",E2225*(1+D2225/30))</f>
        <v/>
      </c>
      <c r="J2225">
        <f>IF(I2225="","",IF(I2225&gt;=MAXIFS($I$2:$I$5001,$B$2:$B$5001,B2225,$A$2:$A$5001,"&lt;="&amp;A2225),"PR",""))</f>
        <v/>
      </c>
    </row>
    <row r="2226">
      <c r="A2226" s="7" t="n"/>
      <c r="H2226" s="11">
        <f>IF(OR(D2226="",E2226=""),"",D2226*E2226)</f>
        <v/>
      </c>
      <c r="I2226" s="8">
        <f>IF(OR(D2226="",E2226=""),"",E2226*(1+D2226/30))</f>
        <v/>
      </c>
      <c r="J2226">
        <f>IF(I2226="","",IF(I2226&gt;=MAXIFS($I$2:$I$5001,$B$2:$B$5001,B2226,$A$2:$A$5001,"&lt;="&amp;A2226),"PR",""))</f>
        <v/>
      </c>
    </row>
    <row r="2227">
      <c r="A2227" s="7" t="n"/>
      <c r="H2227" s="11">
        <f>IF(OR(D2227="",E2227=""),"",D2227*E2227)</f>
        <v/>
      </c>
      <c r="I2227" s="8">
        <f>IF(OR(D2227="",E2227=""),"",E2227*(1+D2227/30))</f>
        <v/>
      </c>
      <c r="J2227">
        <f>IF(I2227="","",IF(I2227&gt;=MAXIFS($I$2:$I$5001,$B$2:$B$5001,B2227,$A$2:$A$5001,"&lt;="&amp;A2227),"PR",""))</f>
        <v/>
      </c>
    </row>
    <row r="2228">
      <c r="A2228" s="7" t="n"/>
      <c r="H2228" s="11">
        <f>IF(OR(D2228="",E2228=""),"",D2228*E2228)</f>
        <v/>
      </c>
      <c r="I2228" s="8">
        <f>IF(OR(D2228="",E2228=""),"",E2228*(1+D2228/30))</f>
        <v/>
      </c>
      <c r="J2228">
        <f>IF(I2228="","",IF(I2228&gt;=MAXIFS($I$2:$I$5001,$B$2:$B$5001,B2228,$A$2:$A$5001,"&lt;="&amp;A2228),"PR",""))</f>
        <v/>
      </c>
    </row>
    <row r="2229">
      <c r="A2229" s="7" t="n"/>
      <c r="H2229" s="11">
        <f>IF(OR(D2229="",E2229=""),"",D2229*E2229)</f>
        <v/>
      </c>
      <c r="I2229" s="8">
        <f>IF(OR(D2229="",E2229=""),"",E2229*(1+D2229/30))</f>
        <v/>
      </c>
      <c r="J2229">
        <f>IF(I2229="","",IF(I2229&gt;=MAXIFS($I$2:$I$5001,$B$2:$B$5001,B2229,$A$2:$A$5001,"&lt;="&amp;A2229),"PR",""))</f>
        <v/>
      </c>
    </row>
    <row r="2230">
      <c r="A2230" s="7" t="n"/>
      <c r="H2230" s="11">
        <f>IF(OR(D2230="",E2230=""),"",D2230*E2230)</f>
        <v/>
      </c>
      <c r="I2230" s="8">
        <f>IF(OR(D2230="",E2230=""),"",E2230*(1+D2230/30))</f>
        <v/>
      </c>
      <c r="J2230">
        <f>IF(I2230="","",IF(I2230&gt;=MAXIFS($I$2:$I$5001,$B$2:$B$5001,B2230,$A$2:$A$5001,"&lt;="&amp;A2230),"PR",""))</f>
        <v/>
      </c>
    </row>
    <row r="2231">
      <c r="A2231" s="7" t="n"/>
      <c r="H2231" s="11">
        <f>IF(OR(D2231="",E2231=""),"",D2231*E2231)</f>
        <v/>
      </c>
      <c r="I2231" s="8">
        <f>IF(OR(D2231="",E2231=""),"",E2231*(1+D2231/30))</f>
        <v/>
      </c>
      <c r="J2231">
        <f>IF(I2231="","",IF(I2231&gt;=MAXIFS($I$2:$I$5001,$B$2:$B$5001,B2231,$A$2:$A$5001,"&lt;="&amp;A2231),"PR",""))</f>
        <v/>
      </c>
    </row>
    <row r="2232">
      <c r="A2232" s="7" t="n"/>
      <c r="H2232" s="11">
        <f>IF(OR(D2232="",E2232=""),"",D2232*E2232)</f>
        <v/>
      </c>
      <c r="I2232" s="8">
        <f>IF(OR(D2232="",E2232=""),"",E2232*(1+D2232/30))</f>
        <v/>
      </c>
      <c r="J2232">
        <f>IF(I2232="","",IF(I2232&gt;=MAXIFS($I$2:$I$5001,$B$2:$B$5001,B2232,$A$2:$A$5001,"&lt;="&amp;A2232),"PR",""))</f>
        <v/>
      </c>
    </row>
    <row r="2233">
      <c r="A2233" s="7" t="n"/>
      <c r="H2233" s="11">
        <f>IF(OR(D2233="",E2233=""),"",D2233*E2233)</f>
        <v/>
      </c>
      <c r="I2233" s="8">
        <f>IF(OR(D2233="",E2233=""),"",E2233*(1+D2233/30))</f>
        <v/>
      </c>
      <c r="J2233">
        <f>IF(I2233="","",IF(I2233&gt;=MAXIFS($I$2:$I$5001,$B$2:$B$5001,B2233,$A$2:$A$5001,"&lt;="&amp;A2233),"PR",""))</f>
        <v/>
      </c>
    </row>
    <row r="2234">
      <c r="A2234" s="7" t="n"/>
      <c r="H2234" s="11">
        <f>IF(OR(D2234="",E2234=""),"",D2234*E2234)</f>
        <v/>
      </c>
      <c r="I2234" s="8">
        <f>IF(OR(D2234="",E2234=""),"",E2234*(1+D2234/30))</f>
        <v/>
      </c>
      <c r="J2234">
        <f>IF(I2234="","",IF(I2234&gt;=MAXIFS($I$2:$I$5001,$B$2:$B$5001,B2234,$A$2:$A$5001,"&lt;="&amp;A2234),"PR",""))</f>
        <v/>
      </c>
    </row>
    <row r="2235">
      <c r="A2235" s="7" t="n"/>
      <c r="H2235" s="11">
        <f>IF(OR(D2235="",E2235=""),"",D2235*E2235)</f>
        <v/>
      </c>
      <c r="I2235" s="8">
        <f>IF(OR(D2235="",E2235=""),"",E2235*(1+D2235/30))</f>
        <v/>
      </c>
      <c r="J2235">
        <f>IF(I2235="","",IF(I2235&gt;=MAXIFS($I$2:$I$5001,$B$2:$B$5001,B2235,$A$2:$A$5001,"&lt;="&amp;A2235),"PR",""))</f>
        <v/>
      </c>
    </row>
    <row r="2236">
      <c r="A2236" s="7" t="n"/>
      <c r="H2236" s="11">
        <f>IF(OR(D2236="",E2236=""),"",D2236*E2236)</f>
        <v/>
      </c>
      <c r="I2236" s="8">
        <f>IF(OR(D2236="",E2236=""),"",E2236*(1+D2236/30))</f>
        <v/>
      </c>
      <c r="J2236">
        <f>IF(I2236="","",IF(I2236&gt;=MAXIFS($I$2:$I$5001,$B$2:$B$5001,B2236,$A$2:$A$5001,"&lt;="&amp;A2236),"PR",""))</f>
        <v/>
      </c>
    </row>
    <row r="2237">
      <c r="A2237" s="7" t="n"/>
      <c r="H2237" s="11">
        <f>IF(OR(D2237="",E2237=""),"",D2237*E2237)</f>
        <v/>
      </c>
      <c r="I2237" s="8">
        <f>IF(OR(D2237="",E2237=""),"",E2237*(1+D2237/30))</f>
        <v/>
      </c>
      <c r="J2237">
        <f>IF(I2237="","",IF(I2237&gt;=MAXIFS($I$2:$I$5001,$B$2:$B$5001,B2237,$A$2:$A$5001,"&lt;="&amp;A2237),"PR",""))</f>
        <v/>
      </c>
    </row>
    <row r="2238">
      <c r="A2238" s="7" t="n"/>
      <c r="H2238" s="11">
        <f>IF(OR(D2238="",E2238=""),"",D2238*E2238)</f>
        <v/>
      </c>
      <c r="I2238" s="8">
        <f>IF(OR(D2238="",E2238=""),"",E2238*(1+D2238/30))</f>
        <v/>
      </c>
      <c r="J2238">
        <f>IF(I2238="","",IF(I2238&gt;=MAXIFS($I$2:$I$5001,$B$2:$B$5001,B2238,$A$2:$A$5001,"&lt;="&amp;A2238),"PR",""))</f>
        <v/>
      </c>
    </row>
    <row r="2239">
      <c r="A2239" s="7" t="n"/>
      <c r="H2239" s="11">
        <f>IF(OR(D2239="",E2239=""),"",D2239*E2239)</f>
        <v/>
      </c>
      <c r="I2239" s="8">
        <f>IF(OR(D2239="",E2239=""),"",E2239*(1+D2239/30))</f>
        <v/>
      </c>
      <c r="J2239">
        <f>IF(I2239="","",IF(I2239&gt;=MAXIFS($I$2:$I$5001,$B$2:$B$5001,B2239,$A$2:$A$5001,"&lt;="&amp;A2239),"PR",""))</f>
        <v/>
      </c>
    </row>
    <row r="2240">
      <c r="A2240" s="7" t="n"/>
      <c r="H2240" s="11">
        <f>IF(OR(D2240="",E2240=""),"",D2240*E2240)</f>
        <v/>
      </c>
      <c r="I2240" s="8">
        <f>IF(OR(D2240="",E2240=""),"",E2240*(1+D2240/30))</f>
        <v/>
      </c>
      <c r="J2240">
        <f>IF(I2240="","",IF(I2240&gt;=MAXIFS($I$2:$I$5001,$B$2:$B$5001,B2240,$A$2:$A$5001,"&lt;="&amp;A2240),"PR",""))</f>
        <v/>
      </c>
    </row>
    <row r="2241">
      <c r="A2241" s="7" t="n"/>
      <c r="H2241" s="11">
        <f>IF(OR(D2241="",E2241=""),"",D2241*E2241)</f>
        <v/>
      </c>
      <c r="I2241" s="8">
        <f>IF(OR(D2241="",E2241=""),"",E2241*(1+D2241/30))</f>
        <v/>
      </c>
      <c r="J2241">
        <f>IF(I2241="","",IF(I2241&gt;=MAXIFS($I$2:$I$5001,$B$2:$B$5001,B2241,$A$2:$A$5001,"&lt;="&amp;A2241),"PR",""))</f>
        <v/>
      </c>
    </row>
    <row r="2242">
      <c r="A2242" s="7" t="n"/>
      <c r="H2242" s="11">
        <f>IF(OR(D2242="",E2242=""),"",D2242*E2242)</f>
        <v/>
      </c>
      <c r="I2242" s="8">
        <f>IF(OR(D2242="",E2242=""),"",E2242*(1+D2242/30))</f>
        <v/>
      </c>
      <c r="J2242">
        <f>IF(I2242="","",IF(I2242&gt;=MAXIFS($I$2:$I$5001,$B$2:$B$5001,B2242,$A$2:$A$5001,"&lt;="&amp;A2242),"PR",""))</f>
        <v/>
      </c>
    </row>
    <row r="2243">
      <c r="A2243" s="7" t="n"/>
      <c r="H2243" s="11">
        <f>IF(OR(D2243="",E2243=""),"",D2243*E2243)</f>
        <v/>
      </c>
      <c r="I2243" s="8">
        <f>IF(OR(D2243="",E2243=""),"",E2243*(1+D2243/30))</f>
        <v/>
      </c>
      <c r="J2243">
        <f>IF(I2243="","",IF(I2243&gt;=MAXIFS($I$2:$I$5001,$B$2:$B$5001,B2243,$A$2:$A$5001,"&lt;="&amp;A2243),"PR",""))</f>
        <v/>
      </c>
    </row>
    <row r="2244">
      <c r="A2244" s="7" t="n"/>
      <c r="H2244" s="11">
        <f>IF(OR(D2244="",E2244=""),"",D2244*E2244)</f>
        <v/>
      </c>
      <c r="I2244" s="8">
        <f>IF(OR(D2244="",E2244=""),"",E2244*(1+D2244/30))</f>
        <v/>
      </c>
      <c r="J2244">
        <f>IF(I2244="","",IF(I2244&gt;=MAXIFS($I$2:$I$5001,$B$2:$B$5001,B2244,$A$2:$A$5001,"&lt;="&amp;A2244),"PR",""))</f>
        <v/>
      </c>
    </row>
    <row r="2245">
      <c r="A2245" s="7" t="n"/>
      <c r="H2245" s="11">
        <f>IF(OR(D2245="",E2245=""),"",D2245*E2245)</f>
        <v/>
      </c>
      <c r="I2245" s="8">
        <f>IF(OR(D2245="",E2245=""),"",E2245*(1+D2245/30))</f>
        <v/>
      </c>
      <c r="J2245">
        <f>IF(I2245="","",IF(I2245&gt;=MAXIFS($I$2:$I$5001,$B$2:$B$5001,B2245,$A$2:$A$5001,"&lt;="&amp;A2245),"PR",""))</f>
        <v/>
      </c>
    </row>
    <row r="2246">
      <c r="A2246" s="7" t="n"/>
      <c r="H2246" s="11">
        <f>IF(OR(D2246="",E2246=""),"",D2246*E2246)</f>
        <v/>
      </c>
      <c r="I2246" s="8">
        <f>IF(OR(D2246="",E2246=""),"",E2246*(1+D2246/30))</f>
        <v/>
      </c>
      <c r="J2246">
        <f>IF(I2246="","",IF(I2246&gt;=MAXIFS($I$2:$I$5001,$B$2:$B$5001,B2246,$A$2:$A$5001,"&lt;="&amp;A2246),"PR",""))</f>
        <v/>
      </c>
    </row>
    <row r="2247">
      <c r="A2247" s="7" t="n"/>
      <c r="H2247" s="11">
        <f>IF(OR(D2247="",E2247=""),"",D2247*E2247)</f>
        <v/>
      </c>
      <c r="I2247" s="8">
        <f>IF(OR(D2247="",E2247=""),"",E2247*(1+D2247/30))</f>
        <v/>
      </c>
      <c r="J2247">
        <f>IF(I2247="","",IF(I2247&gt;=MAXIFS($I$2:$I$5001,$B$2:$B$5001,B2247,$A$2:$A$5001,"&lt;="&amp;A2247),"PR",""))</f>
        <v/>
      </c>
    </row>
    <row r="2248">
      <c r="A2248" s="7" t="n"/>
      <c r="H2248" s="11">
        <f>IF(OR(D2248="",E2248=""),"",D2248*E2248)</f>
        <v/>
      </c>
      <c r="I2248" s="8">
        <f>IF(OR(D2248="",E2248=""),"",E2248*(1+D2248/30))</f>
        <v/>
      </c>
      <c r="J2248">
        <f>IF(I2248="","",IF(I2248&gt;=MAXIFS($I$2:$I$5001,$B$2:$B$5001,B2248,$A$2:$A$5001,"&lt;="&amp;A2248),"PR",""))</f>
        <v/>
      </c>
    </row>
    <row r="2249">
      <c r="A2249" s="7" t="n"/>
      <c r="H2249" s="11">
        <f>IF(OR(D2249="",E2249=""),"",D2249*E2249)</f>
        <v/>
      </c>
      <c r="I2249" s="8">
        <f>IF(OR(D2249="",E2249=""),"",E2249*(1+D2249/30))</f>
        <v/>
      </c>
      <c r="J2249">
        <f>IF(I2249="","",IF(I2249&gt;=MAXIFS($I$2:$I$5001,$B$2:$B$5001,B2249,$A$2:$A$5001,"&lt;="&amp;A2249),"PR",""))</f>
        <v/>
      </c>
    </row>
    <row r="2250">
      <c r="A2250" s="7" t="n"/>
      <c r="H2250" s="11">
        <f>IF(OR(D2250="",E2250=""),"",D2250*E2250)</f>
        <v/>
      </c>
      <c r="I2250" s="8">
        <f>IF(OR(D2250="",E2250=""),"",E2250*(1+D2250/30))</f>
        <v/>
      </c>
      <c r="J2250">
        <f>IF(I2250="","",IF(I2250&gt;=MAXIFS($I$2:$I$5001,$B$2:$B$5001,B2250,$A$2:$A$5001,"&lt;="&amp;A2250),"PR",""))</f>
        <v/>
      </c>
    </row>
    <row r="2251">
      <c r="A2251" s="7" t="n"/>
      <c r="H2251" s="11">
        <f>IF(OR(D2251="",E2251=""),"",D2251*E2251)</f>
        <v/>
      </c>
      <c r="I2251" s="8">
        <f>IF(OR(D2251="",E2251=""),"",E2251*(1+D2251/30))</f>
        <v/>
      </c>
      <c r="J2251">
        <f>IF(I2251="","",IF(I2251&gt;=MAXIFS($I$2:$I$5001,$B$2:$B$5001,B2251,$A$2:$A$5001,"&lt;="&amp;A2251),"PR",""))</f>
        <v/>
      </c>
    </row>
    <row r="2252">
      <c r="A2252" s="7" t="n"/>
      <c r="H2252" s="11">
        <f>IF(OR(D2252="",E2252=""),"",D2252*E2252)</f>
        <v/>
      </c>
      <c r="I2252" s="8">
        <f>IF(OR(D2252="",E2252=""),"",E2252*(1+D2252/30))</f>
        <v/>
      </c>
      <c r="J2252">
        <f>IF(I2252="","",IF(I2252&gt;=MAXIFS($I$2:$I$5001,$B$2:$B$5001,B2252,$A$2:$A$5001,"&lt;="&amp;A2252),"PR",""))</f>
        <v/>
      </c>
    </row>
    <row r="2253">
      <c r="A2253" s="7" t="n"/>
      <c r="H2253" s="11">
        <f>IF(OR(D2253="",E2253=""),"",D2253*E2253)</f>
        <v/>
      </c>
      <c r="I2253" s="8">
        <f>IF(OR(D2253="",E2253=""),"",E2253*(1+D2253/30))</f>
        <v/>
      </c>
      <c r="J2253">
        <f>IF(I2253="","",IF(I2253&gt;=MAXIFS($I$2:$I$5001,$B$2:$B$5001,B2253,$A$2:$A$5001,"&lt;="&amp;A2253),"PR",""))</f>
        <v/>
      </c>
    </row>
    <row r="2254">
      <c r="A2254" s="7" t="n"/>
      <c r="H2254" s="11">
        <f>IF(OR(D2254="",E2254=""),"",D2254*E2254)</f>
        <v/>
      </c>
      <c r="I2254" s="8">
        <f>IF(OR(D2254="",E2254=""),"",E2254*(1+D2254/30))</f>
        <v/>
      </c>
      <c r="J2254">
        <f>IF(I2254="","",IF(I2254&gt;=MAXIFS($I$2:$I$5001,$B$2:$B$5001,B2254,$A$2:$A$5001,"&lt;="&amp;A2254),"PR",""))</f>
        <v/>
      </c>
    </row>
    <row r="2255">
      <c r="A2255" s="7" t="n"/>
      <c r="H2255" s="11">
        <f>IF(OR(D2255="",E2255=""),"",D2255*E2255)</f>
        <v/>
      </c>
      <c r="I2255" s="8">
        <f>IF(OR(D2255="",E2255=""),"",E2255*(1+D2255/30))</f>
        <v/>
      </c>
      <c r="J2255">
        <f>IF(I2255="","",IF(I2255&gt;=MAXIFS($I$2:$I$5001,$B$2:$B$5001,B2255,$A$2:$A$5001,"&lt;="&amp;A2255),"PR",""))</f>
        <v/>
      </c>
    </row>
    <row r="2256">
      <c r="A2256" s="7" t="n"/>
      <c r="H2256" s="11">
        <f>IF(OR(D2256="",E2256=""),"",D2256*E2256)</f>
        <v/>
      </c>
      <c r="I2256" s="8">
        <f>IF(OR(D2256="",E2256=""),"",E2256*(1+D2256/30))</f>
        <v/>
      </c>
      <c r="J2256">
        <f>IF(I2256="","",IF(I2256&gt;=MAXIFS($I$2:$I$5001,$B$2:$B$5001,B2256,$A$2:$A$5001,"&lt;="&amp;A2256),"PR",""))</f>
        <v/>
      </c>
    </row>
    <row r="2257">
      <c r="A2257" s="7" t="n"/>
      <c r="H2257" s="11">
        <f>IF(OR(D2257="",E2257=""),"",D2257*E2257)</f>
        <v/>
      </c>
      <c r="I2257" s="8">
        <f>IF(OR(D2257="",E2257=""),"",E2257*(1+D2257/30))</f>
        <v/>
      </c>
      <c r="J2257">
        <f>IF(I2257="","",IF(I2257&gt;=MAXIFS($I$2:$I$5001,$B$2:$B$5001,B2257,$A$2:$A$5001,"&lt;="&amp;A2257),"PR",""))</f>
        <v/>
      </c>
    </row>
    <row r="2258">
      <c r="A2258" s="7" t="n"/>
      <c r="H2258" s="11">
        <f>IF(OR(D2258="",E2258=""),"",D2258*E2258)</f>
        <v/>
      </c>
      <c r="I2258" s="8">
        <f>IF(OR(D2258="",E2258=""),"",E2258*(1+D2258/30))</f>
        <v/>
      </c>
      <c r="J2258">
        <f>IF(I2258="","",IF(I2258&gt;=MAXIFS($I$2:$I$5001,$B$2:$B$5001,B2258,$A$2:$A$5001,"&lt;="&amp;A2258),"PR",""))</f>
        <v/>
      </c>
    </row>
    <row r="2259">
      <c r="A2259" s="7" t="n"/>
      <c r="H2259" s="11">
        <f>IF(OR(D2259="",E2259=""),"",D2259*E2259)</f>
        <v/>
      </c>
      <c r="I2259" s="8">
        <f>IF(OR(D2259="",E2259=""),"",E2259*(1+D2259/30))</f>
        <v/>
      </c>
      <c r="J2259">
        <f>IF(I2259="","",IF(I2259&gt;=MAXIFS($I$2:$I$5001,$B$2:$B$5001,B2259,$A$2:$A$5001,"&lt;="&amp;A2259),"PR",""))</f>
        <v/>
      </c>
    </row>
    <row r="2260">
      <c r="A2260" s="7" t="n"/>
      <c r="H2260" s="11">
        <f>IF(OR(D2260="",E2260=""),"",D2260*E2260)</f>
        <v/>
      </c>
      <c r="I2260" s="8">
        <f>IF(OR(D2260="",E2260=""),"",E2260*(1+D2260/30))</f>
        <v/>
      </c>
      <c r="J2260">
        <f>IF(I2260="","",IF(I2260&gt;=MAXIFS($I$2:$I$5001,$B$2:$B$5001,B2260,$A$2:$A$5001,"&lt;="&amp;A2260),"PR",""))</f>
        <v/>
      </c>
    </row>
    <row r="2261">
      <c r="A2261" s="7" t="n"/>
      <c r="H2261" s="11">
        <f>IF(OR(D2261="",E2261=""),"",D2261*E2261)</f>
        <v/>
      </c>
      <c r="I2261" s="8">
        <f>IF(OR(D2261="",E2261=""),"",E2261*(1+D2261/30))</f>
        <v/>
      </c>
      <c r="J2261">
        <f>IF(I2261="","",IF(I2261&gt;=MAXIFS($I$2:$I$5001,$B$2:$B$5001,B2261,$A$2:$A$5001,"&lt;="&amp;A2261),"PR",""))</f>
        <v/>
      </c>
    </row>
    <row r="2262">
      <c r="A2262" s="7" t="n"/>
      <c r="H2262" s="11">
        <f>IF(OR(D2262="",E2262=""),"",D2262*E2262)</f>
        <v/>
      </c>
      <c r="I2262" s="8">
        <f>IF(OR(D2262="",E2262=""),"",E2262*(1+D2262/30))</f>
        <v/>
      </c>
      <c r="J2262">
        <f>IF(I2262="","",IF(I2262&gt;=MAXIFS($I$2:$I$5001,$B$2:$B$5001,B2262,$A$2:$A$5001,"&lt;="&amp;A2262),"PR",""))</f>
        <v/>
      </c>
    </row>
    <row r="2263">
      <c r="A2263" s="7" t="n"/>
      <c r="H2263" s="11">
        <f>IF(OR(D2263="",E2263=""),"",D2263*E2263)</f>
        <v/>
      </c>
      <c r="I2263" s="8">
        <f>IF(OR(D2263="",E2263=""),"",E2263*(1+D2263/30))</f>
        <v/>
      </c>
      <c r="J2263">
        <f>IF(I2263="","",IF(I2263&gt;=MAXIFS($I$2:$I$5001,$B$2:$B$5001,B2263,$A$2:$A$5001,"&lt;="&amp;A2263),"PR",""))</f>
        <v/>
      </c>
    </row>
    <row r="2264">
      <c r="A2264" s="7" t="n"/>
      <c r="H2264" s="11">
        <f>IF(OR(D2264="",E2264=""),"",D2264*E2264)</f>
        <v/>
      </c>
      <c r="I2264" s="8">
        <f>IF(OR(D2264="",E2264=""),"",E2264*(1+D2264/30))</f>
        <v/>
      </c>
      <c r="J2264">
        <f>IF(I2264="","",IF(I2264&gt;=MAXIFS($I$2:$I$5001,$B$2:$B$5001,B2264,$A$2:$A$5001,"&lt;="&amp;A2264),"PR",""))</f>
        <v/>
      </c>
    </row>
    <row r="2265">
      <c r="A2265" s="7" t="n"/>
      <c r="H2265" s="11">
        <f>IF(OR(D2265="",E2265=""),"",D2265*E2265)</f>
        <v/>
      </c>
      <c r="I2265" s="8">
        <f>IF(OR(D2265="",E2265=""),"",E2265*(1+D2265/30))</f>
        <v/>
      </c>
      <c r="J2265">
        <f>IF(I2265="","",IF(I2265&gt;=MAXIFS($I$2:$I$5001,$B$2:$B$5001,B2265,$A$2:$A$5001,"&lt;="&amp;A2265),"PR",""))</f>
        <v/>
      </c>
    </row>
    <row r="2266">
      <c r="A2266" s="7" t="n"/>
      <c r="H2266" s="11">
        <f>IF(OR(D2266="",E2266=""),"",D2266*E2266)</f>
        <v/>
      </c>
      <c r="I2266" s="8">
        <f>IF(OR(D2266="",E2266=""),"",E2266*(1+D2266/30))</f>
        <v/>
      </c>
      <c r="J2266">
        <f>IF(I2266="","",IF(I2266&gt;=MAXIFS($I$2:$I$5001,$B$2:$B$5001,B2266,$A$2:$A$5001,"&lt;="&amp;A2266),"PR",""))</f>
        <v/>
      </c>
    </row>
    <row r="2267">
      <c r="A2267" s="7" t="n"/>
      <c r="H2267" s="11">
        <f>IF(OR(D2267="",E2267=""),"",D2267*E2267)</f>
        <v/>
      </c>
      <c r="I2267" s="8">
        <f>IF(OR(D2267="",E2267=""),"",E2267*(1+D2267/30))</f>
        <v/>
      </c>
      <c r="J2267">
        <f>IF(I2267="","",IF(I2267&gt;=MAXIFS($I$2:$I$5001,$B$2:$B$5001,B2267,$A$2:$A$5001,"&lt;="&amp;A2267),"PR",""))</f>
        <v/>
      </c>
    </row>
    <row r="2268">
      <c r="A2268" s="7" t="n"/>
      <c r="H2268" s="11">
        <f>IF(OR(D2268="",E2268=""),"",D2268*E2268)</f>
        <v/>
      </c>
      <c r="I2268" s="8">
        <f>IF(OR(D2268="",E2268=""),"",E2268*(1+D2268/30))</f>
        <v/>
      </c>
      <c r="J2268">
        <f>IF(I2268="","",IF(I2268&gt;=MAXIFS($I$2:$I$5001,$B$2:$B$5001,B2268,$A$2:$A$5001,"&lt;="&amp;A2268),"PR",""))</f>
        <v/>
      </c>
    </row>
    <row r="2269">
      <c r="A2269" s="7" t="n"/>
      <c r="H2269" s="11">
        <f>IF(OR(D2269="",E2269=""),"",D2269*E2269)</f>
        <v/>
      </c>
      <c r="I2269" s="8">
        <f>IF(OR(D2269="",E2269=""),"",E2269*(1+D2269/30))</f>
        <v/>
      </c>
      <c r="J2269">
        <f>IF(I2269="","",IF(I2269&gt;=MAXIFS($I$2:$I$5001,$B$2:$B$5001,B2269,$A$2:$A$5001,"&lt;="&amp;A2269),"PR",""))</f>
        <v/>
      </c>
    </row>
    <row r="2270">
      <c r="A2270" s="7" t="n"/>
      <c r="H2270" s="11">
        <f>IF(OR(D2270="",E2270=""),"",D2270*E2270)</f>
        <v/>
      </c>
      <c r="I2270" s="8">
        <f>IF(OR(D2270="",E2270=""),"",E2270*(1+D2270/30))</f>
        <v/>
      </c>
      <c r="J2270">
        <f>IF(I2270="","",IF(I2270&gt;=MAXIFS($I$2:$I$5001,$B$2:$B$5001,B2270,$A$2:$A$5001,"&lt;="&amp;A2270),"PR",""))</f>
        <v/>
      </c>
    </row>
    <row r="2271">
      <c r="A2271" s="7" t="n"/>
      <c r="H2271" s="11">
        <f>IF(OR(D2271="",E2271=""),"",D2271*E2271)</f>
        <v/>
      </c>
      <c r="I2271" s="8">
        <f>IF(OR(D2271="",E2271=""),"",E2271*(1+D2271/30))</f>
        <v/>
      </c>
      <c r="J2271">
        <f>IF(I2271="","",IF(I2271&gt;=MAXIFS($I$2:$I$5001,$B$2:$B$5001,B2271,$A$2:$A$5001,"&lt;="&amp;A2271),"PR",""))</f>
        <v/>
      </c>
    </row>
    <row r="2272">
      <c r="A2272" s="7" t="n"/>
      <c r="H2272" s="11">
        <f>IF(OR(D2272="",E2272=""),"",D2272*E2272)</f>
        <v/>
      </c>
      <c r="I2272" s="8">
        <f>IF(OR(D2272="",E2272=""),"",E2272*(1+D2272/30))</f>
        <v/>
      </c>
      <c r="J2272">
        <f>IF(I2272="","",IF(I2272&gt;=MAXIFS($I$2:$I$5001,$B$2:$B$5001,B2272,$A$2:$A$5001,"&lt;="&amp;A2272),"PR",""))</f>
        <v/>
      </c>
    </row>
    <row r="2273">
      <c r="A2273" s="7" t="n"/>
      <c r="H2273" s="11">
        <f>IF(OR(D2273="",E2273=""),"",D2273*E2273)</f>
        <v/>
      </c>
      <c r="I2273" s="8">
        <f>IF(OR(D2273="",E2273=""),"",E2273*(1+D2273/30))</f>
        <v/>
      </c>
      <c r="J2273">
        <f>IF(I2273="","",IF(I2273&gt;=MAXIFS($I$2:$I$5001,$B$2:$B$5001,B2273,$A$2:$A$5001,"&lt;="&amp;A2273),"PR",""))</f>
        <v/>
      </c>
    </row>
    <row r="2274">
      <c r="A2274" s="7" t="n"/>
      <c r="H2274" s="11">
        <f>IF(OR(D2274="",E2274=""),"",D2274*E2274)</f>
        <v/>
      </c>
      <c r="I2274" s="8">
        <f>IF(OR(D2274="",E2274=""),"",E2274*(1+D2274/30))</f>
        <v/>
      </c>
      <c r="J2274">
        <f>IF(I2274="","",IF(I2274&gt;=MAXIFS($I$2:$I$5001,$B$2:$B$5001,B2274,$A$2:$A$5001,"&lt;="&amp;A2274),"PR",""))</f>
        <v/>
      </c>
    </row>
    <row r="2275">
      <c r="A2275" s="7" t="n"/>
      <c r="H2275" s="11">
        <f>IF(OR(D2275="",E2275=""),"",D2275*E2275)</f>
        <v/>
      </c>
      <c r="I2275" s="8">
        <f>IF(OR(D2275="",E2275=""),"",E2275*(1+D2275/30))</f>
        <v/>
      </c>
      <c r="J2275">
        <f>IF(I2275="","",IF(I2275&gt;=MAXIFS($I$2:$I$5001,$B$2:$B$5001,B2275,$A$2:$A$5001,"&lt;="&amp;A2275),"PR",""))</f>
        <v/>
      </c>
    </row>
    <row r="2276">
      <c r="A2276" s="7" t="n"/>
      <c r="H2276" s="11">
        <f>IF(OR(D2276="",E2276=""),"",D2276*E2276)</f>
        <v/>
      </c>
      <c r="I2276" s="8">
        <f>IF(OR(D2276="",E2276=""),"",E2276*(1+D2276/30))</f>
        <v/>
      </c>
      <c r="J2276">
        <f>IF(I2276="","",IF(I2276&gt;=MAXIFS($I$2:$I$5001,$B$2:$B$5001,B2276,$A$2:$A$5001,"&lt;="&amp;A2276),"PR",""))</f>
        <v/>
      </c>
    </row>
    <row r="2277">
      <c r="A2277" s="7" t="n"/>
      <c r="H2277" s="11">
        <f>IF(OR(D2277="",E2277=""),"",D2277*E2277)</f>
        <v/>
      </c>
      <c r="I2277" s="8">
        <f>IF(OR(D2277="",E2277=""),"",E2277*(1+D2277/30))</f>
        <v/>
      </c>
      <c r="J2277">
        <f>IF(I2277="","",IF(I2277&gt;=MAXIFS($I$2:$I$5001,$B$2:$B$5001,B2277,$A$2:$A$5001,"&lt;="&amp;A2277),"PR",""))</f>
        <v/>
      </c>
    </row>
    <row r="2278">
      <c r="A2278" s="7" t="n"/>
      <c r="H2278" s="11">
        <f>IF(OR(D2278="",E2278=""),"",D2278*E2278)</f>
        <v/>
      </c>
      <c r="I2278" s="8">
        <f>IF(OR(D2278="",E2278=""),"",E2278*(1+D2278/30))</f>
        <v/>
      </c>
      <c r="J2278">
        <f>IF(I2278="","",IF(I2278&gt;=MAXIFS($I$2:$I$5001,$B$2:$B$5001,B2278,$A$2:$A$5001,"&lt;="&amp;A2278),"PR",""))</f>
        <v/>
      </c>
    </row>
    <row r="2279">
      <c r="A2279" s="7" t="n"/>
      <c r="H2279" s="11">
        <f>IF(OR(D2279="",E2279=""),"",D2279*E2279)</f>
        <v/>
      </c>
      <c r="I2279" s="8">
        <f>IF(OR(D2279="",E2279=""),"",E2279*(1+D2279/30))</f>
        <v/>
      </c>
      <c r="J2279">
        <f>IF(I2279="","",IF(I2279&gt;=MAXIFS($I$2:$I$5001,$B$2:$B$5001,B2279,$A$2:$A$5001,"&lt;="&amp;A2279),"PR",""))</f>
        <v/>
      </c>
    </row>
    <row r="2280">
      <c r="A2280" s="7" t="n"/>
      <c r="H2280" s="11">
        <f>IF(OR(D2280="",E2280=""),"",D2280*E2280)</f>
        <v/>
      </c>
      <c r="I2280" s="8">
        <f>IF(OR(D2280="",E2280=""),"",E2280*(1+D2280/30))</f>
        <v/>
      </c>
      <c r="J2280">
        <f>IF(I2280="","",IF(I2280&gt;=MAXIFS($I$2:$I$5001,$B$2:$B$5001,B2280,$A$2:$A$5001,"&lt;="&amp;A2280),"PR",""))</f>
        <v/>
      </c>
    </row>
    <row r="2281">
      <c r="A2281" s="7" t="n"/>
      <c r="H2281" s="11">
        <f>IF(OR(D2281="",E2281=""),"",D2281*E2281)</f>
        <v/>
      </c>
      <c r="I2281" s="8">
        <f>IF(OR(D2281="",E2281=""),"",E2281*(1+D2281/30))</f>
        <v/>
      </c>
      <c r="J2281">
        <f>IF(I2281="","",IF(I2281&gt;=MAXIFS($I$2:$I$5001,$B$2:$B$5001,B2281,$A$2:$A$5001,"&lt;="&amp;A2281),"PR",""))</f>
        <v/>
      </c>
    </row>
    <row r="2282">
      <c r="A2282" s="7" t="n"/>
      <c r="H2282" s="11">
        <f>IF(OR(D2282="",E2282=""),"",D2282*E2282)</f>
        <v/>
      </c>
      <c r="I2282" s="8">
        <f>IF(OR(D2282="",E2282=""),"",E2282*(1+D2282/30))</f>
        <v/>
      </c>
      <c r="J2282">
        <f>IF(I2282="","",IF(I2282&gt;=MAXIFS($I$2:$I$5001,$B$2:$B$5001,B2282,$A$2:$A$5001,"&lt;="&amp;A2282),"PR",""))</f>
        <v/>
      </c>
    </row>
    <row r="2283">
      <c r="A2283" s="7" t="n"/>
      <c r="H2283" s="11">
        <f>IF(OR(D2283="",E2283=""),"",D2283*E2283)</f>
        <v/>
      </c>
      <c r="I2283" s="8">
        <f>IF(OR(D2283="",E2283=""),"",E2283*(1+D2283/30))</f>
        <v/>
      </c>
      <c r="J2283">
        <f>IF(I2283="","",IF(I2283&gt;=MAXIFS($I$2:$I$5001,$B$2:$B$5001,B2283,$A$2:$A$5001,"&lt;="&amp;A2283),"PR",""))</f>
        <v/>
      </c>
    </row>
    <row r="2284">
      <c r="A2284" s="7" t="n"/>
      <c r="H2284" s="11">
        <f>IF(OR(D2284="",E2284=""),"",D2284*E2284)</f>
        <v/>
      </c>
      <c r="I2284" s="8">
        <f>IF(OR(D2284="",E2284=""),"",E2284*(1+D2284/30))</f>
        <v/>
      </c>
      <c r="J2284">
        <f>IF(I2284="","",IF(I2284&gt;=MAXIFS($I$2:$I$5001,$B$2:$B$5001,B2284,$A$2:$A$5001,"&lt;="&amp;A2284),"PR",""))</f>
        <v/>
      </c>
    </row>
    <row r="2285">
      <c r="A2285" s="7" t="n"/>
      <c r="H2285" s="11">
        <f>IF(OR(D2285="",E2285=""),"",D2285*E2285)</f>
        <v/>
      </c>
      <c r="I2285" s="8">
        <f>IF(OR(D2285="",E2285=""),"",E2285*(1+D2285/30))</f>
        <v/>
      </c>
      <c r="J2285">
        <f>IF(I2285="","",IF(I2285&gt;=MAXIFS($I$2:$I$5001,$B$2:$B$5001,B2285,$A$2:$A$5001,"&lt;="&amp;A2285),"PR",""))</f>
        <v/>
      </c>
    </row>
    <row r="2286">
      <c r="A2286" s="7" t="n"/>
      <c r="H2286" s="11">
        <f>IF(OR(D2286="",E2286=""),"",D2286*E2286)</f>
        <v/>
      </c>
      <c r="I2286" s="8">
        <f>IF(OR(D2286="",E2286=""),"",E2286*(1+D2286/30))</f>
        <v/>
      </c>
      <c r="J2286">
        <f>IF(I2286="","",IF(I2286&gt;=MAXIFS($I$2:$I$5001,$B$2:$B$5001,B2286,$A$2:$A$5001,"&lt;="&amp;A2286),"PR",""))</f>
        <v/>
      </c>
    </row>
    <row r="2287">
      <c r="A2287" s="7" t="n"/>
      <c r="H2287" s="11">
        <f>IF(OR(D2287="",E2287=""),"",D2287*E2287)</f>
        <v/>
      </c>
      <c r="I2287" s="8">
        <f>IF(OR(D2287="",E2287=""),"",E2287*(1+D2287/30))</f>
        <v/>
      </c>
      <c r="J2287">
        <f>IF(I2287="","",IF(I2287&gt;=MAXIFS($I$2:$I$5001,$B$2:$B$5001,B2287,$A$2:$A$5001,"&lt;="&amp;A2287),"PR",""))</f>
        <v/>
      </c>
    </row>
    <row r="2288">
      <c r="A2288" s="7" t="n"/>
      <c r="H2288" s="11">
        <f>IF(OR(D2288="",E2288=""),"",D2288*E2288)</f>
        <v/>
      </c>
      <c r="I2288" s="8">
        <f>IF(OR(D2288="",E2288=""),"",E2288*(1+D2288/30))</f>
        <v/>
      </c>
      <c r="J2288">
        <f>IF(I2288="","",IF(I2288&gt;=MAXIFS($I$2:$I$5001,$B$2:$B$5001,B2288,$A$2:$A$5001,"&lt;="&amp;A2288),"PR",""))</f>
        <v/>
      </c>
    </row>
    <row r="2289">
      <c r="A2289" s="7" t="n"/>
      <c r="H2289" s="11">
        <f>IF(OR(D2289="",E2289=""),"",D2289*E2289)</f>
        <v/>
      </c>
      <c r="I2289" s="8">
        <f>IF(OR(D2289="",E2289=""),"",E2289*(1+D2289/30))</f>
        <v/>
      </c>
      <c r="J2289">
        <f>IF(I2289="","",IF(I2289&gt;=MAXIFS($I$2:$I$5001,$B$2:$B$5001,B2289,$A$2:$A$5001,"&lt;="&amp;A2289),"PR",""))</f>
        <v/>
      </c>
    </row>
    <row r="2290">
      <c r="A2290" s="7" t="n"/>
      <c r="H2290" s="11">
        <f>IF(OR(D2290="",E2290=""),"",D2290*E2290)</f>
        <v/>
      </c>
      <c r="I2290" s="8">
        <f>IF(OR(D2290="",E2290=""),"",E2290*(1+D2290/30))</f>
        <v/>
      </c>
      <c r="J2290">
        <f>IF(I2290="","",IF(I2290&gt;=MAXIFS($I$2:$I$5001,$B$2:$B$5001,B2290,$A$2:$A$5001,"&lt;="&amp;A2290),"PR",""))</f>
        <v/>
      </c>
    </row>
    <row r="2291">
      <c r="A2291" s="7" t="n"/>
      <c r="H2291" s="11">
        <f>IF(OR(D2291="",E2291=""),"",D2291*E2291)</f>
        <v/>
      </c>
      <c r="I2291" s="8">
        <f>IF(OR(D2291="",E2291=""),"",E2291*(1+D2291/30))</f>
        <v/>
      </c>
      <c r="J2291">
        <f>IF(I2291="","",IF(I2291&gt;=MAXIFS($I$2:$I$5001,$B$2:$B$5001,B2291,$A$2:$A$5001,"&lt;="&amp;A2291),"PR",""))</f>
        <v/>
      </c>
    </row>
    <row r="2292">
      <c r="A2292" s="7" t="n"/>
      <c r="H2292" s="11">
        <f>IF(OR(D2292="",E2292=""),"",D2292*E2292)</f>
        <v/>
      </c>
      <c r="I2292" s="8">
        <f>IF(OR(D2292="",E2292=""),"",E2292*(1+D2292/30))</f>
        <v/>
      </c>
      <c r="J2292">
        <f>IF(I2292="","",IF(I2292&gt;=MAXIFS($I$2:$I$5001,$B$2:$B$5001,B2292,$A$2:$A$5001,"&lt;="&amp;A2292),"PR",""))</f>
        <v/>
      </c>
    </row>
    <row r="2293">
      <c r="A2293" s="7" t="n"/>
      <c r="H2293" s="11">
        <f>IF(OR(D2293="",E2293=""),"",D2293*E2293)</f>
        <v/>
      </c>
      <c r="I2293" s="8">
        <f>IF(OR(D2293="",E2293=""),"",E2293*(1+D2293/30))</f>
        <v/>
      </c>
      <c r="J2293">
        <f>IF(I2293="","",IF(I2293&gt;=MAXIFS($I$2:$I$5001,$B$2:$B$5001,B2293,$A$2:$A$5001,"&lt;="&amp;A2293),"PR",""))</f>
        <v/>
      </c>
    </row>
    <row r="2294">
      <c r="A2294" s="7" t="n"/>
      <c r="H2294" s="11">
        <f>IF(OR(D2294="",E2294=""),"",D2294*E2294)</f>
        <v/>
      </c>
      <c r="I2294" s="8">
        <f>IF(OR(D2294="",E2294=""),"",E2294*(1+D2294/30))</f>
        <v/>
      </c>
      <c r="J2294">
        <f>IF(I2294="","",IF(I2294&gt;=MAXIFS($I$2:$I$5001,$B$2:$B$5001,B2294,$A$2:$A$5001,"&lt;="&amp;A2294),"PR",""))</f>
        <v/>
      </c>
    </row>
    <row r="2295">
      <c r="A2295" s="7" t="n"/>
      <c r="H2295" s="11">
        <f>IF(OR(D2295="",E2295=""),"",D2295*E2295)</f>
        <v/>
      </c>
      <c r="I2295" s="8">
        <f>IF(OR(D2295="",E2295=""),"",E2295*(1+D2295/30))</f>
        <v/>
      </c>
      <c r="J2295">
        <f>IF(I2295="","",IF(I2295&gt;=MAXIFS($I$2:$I$5001,$B$2:$B$5001,B2295,$A$2:$A$5001,"&lt;="&amp;A2295),"PR",""))</f>
        <v/>
      </c>
    </row>
    <row r="2296">
      <c r="A2296" s="7" t="n"/>
      <c r="H2296" s="11">
        <f>IF(OR(D2296="",E2296=""),"",D2296*E2296)</f>
        <v/>
      </c>
      <c r="I2296" s="8">
        <f>IF(OR(D2296="",E2296=""),"",E2296*(1+D2296/30))</f>
        <v/>
      </c>
      <c r="J2296">
        <f>IF(I2296="","",IF(I2296&gt;=MAXIFS($I$2:$I$5001,$B$2:$B$5001,B2296,$A$2:$A$5001,"&lt;="&amp;A2296),"PR",""))</f>
        <v/>
      </c>
    </row>
    <row r="2297">
      <c r="A2297" s="7" t="n"/>
      <c r="H2297" s="11">
        <f>IF(OR(D2297="",E2297=""),"",D2297*E2297)</f>
        <v/>
      </c>
      <c r="I2297" s="8">
        <f>IF(OR(D2297="",E2297=""),"",E2297*(1+D2297/30))</f>
        <v/>
      </c>
      <c r="J2297">
        <f>IF(I2297="","",IF(I2297&gt;=MAXIFS($I$2:$I$5001,$B$2:$B$5001,B2297,$A$2:$A$5001,"&lt;="&amp;A2297),"PR",""))</f>
        <v/>
      </c>
    </row>
    <row r="2298">
      <c r="A2298" s="7" t="n"/>
      <c r="H2298" s="11">
        <f>IF(OR(D2298="",E2298=""),"",D2298*E2298)</f>
        <v/>
      </c>
      <c r="I2298" s="8">
        <f>IF(OR(D2298="",E2298=""),"",E2298*(1+D2298/30))</f>
        <v/>
      </c>
      <c r="J2298">
        <f>IF(I2298="","",IF(I2298&gt;=MAXIFS($I$2:$I$5001,$B$2:$B$5001,B2298,$A$2:$A$5001,"&lt;="&amp;A2298),"PR",""))</f>
        <v/>
      </c>
    </row>
    <row r="2299">
      <c r="A2299" s="7" t="n"/>
      <c r="H2299" s="11">
        <f>IF(OR(D2299="",E2299=""),"",D2299*E2299)</f>
        <v/>
      </c>
      <c r="I2299" s="8">
        <f>IF(OR(D2299="",E2299=""),"",E2299*(1+D2299/30))</f>
        <v/>
      </c>
      <c r="J2299">
        <f>IF(I2299="","",IF(I2299&gt;=MAXIFS($I$2:$I$5001,$B$2:$B$5001,B2299,$A$2:$A$5001,"&lt;="&amp;A2299),"PR",""))</f>
        <v/>
      </c>
    </row>
    <row r="2300">
      <c r="A2300" s="7" t="n"/>
      <c r="H2300" s="11">
        <f>IF(OR(D2300="",E2300=""),"",D2300*E2300)</f>
        <v/>
      </c>
      <c r="I2300" s="8">
        <f>IF(OR(D2300="",E2300=""),"",E2300*(1+D2300/30))</f>
        <v/>
      </c>
      <c r="J2300">
        <f>IF(I2300="","",IF(I2300&gt;=MAXIFS($I$2:$I$5001,$B$2:$B$5001,B2300,$A$2:$A$5001,"&lt;="&amp;A2300),"PR",""))</f>
        <v/>
      </c>
    </row>
    <row r="2301">
      <c r="A2301" s="7" t="n"/>
      <c r="H2301" s="11">
        <f>IF(OR(D2301="",E2301=""),"",D2301*E2301)</f>
        <v/>
      </c>
      <c r="I2301" s="8">
        <f>IF(OR(D2301="",E2301=""),"",E2301*(1+D2301/30))</f>
        <v/>
      </c>
      <c r="J2301">
        <f>IF(I2301="","",IF(I2301&gt;=MAXIFS($I$2:$I$5001,$B$2:$B$5001,B2301,$A$2:$A$5001,"&lt;="&amp;A2301),"PR",""))</f>
        <v/>
      </c>
    </row>
    <row r="2302">
      <c r="A2302" s="7" t="n"/>
      <c r="H2302" s="11">
        <f>IF(OR(D2302="",E2302=""),"",D2302*E2302)</f>
        <v/>
      </c>
      <c r="I2302" s="8">
        <f>IF(OR(D2302="",E2302=""),"",E2302*(1+D2302/30))</f>
        <v/>
      </c>
      <c r="J2302">
        <f>IF(I2302="","",IF(I2302&gt;=MAXIFS($I$2:$I$5001,$B$2:$B$5001,B2302,$A$2:$A$5001,"&lt;="&amp;A2302),"PR",""))</f>
        <v/>
      </c>
    </row>
    <row r="2303">
      <c r="A2303" s="7" t="n"/>
      <c r="H2303" s="11">
        <f>IF(OR(D2303="",E2303=""),"",D2303*E2303)</f>
        <v/>
      </c>
      <c r="I2303" s="8">
        <f>IF(OR(D2303="",E2303=""),"",E2303*(1+D2303/30))</f>
        <v/>
      </c>
      <c r="J2303">
        <f>IF(I2303="","",IF(I2303&gt;=MAXIFS($I$2:$I$5001,$B$2:$B$5001,B2303,$A$2:$A$5001,"&lt;="&amp;A2303),"PR",""))</f>
        <v/>
      </c>
    </row>
    <row r="2304">
      <c r="A2304" s="7" t="n"/>
      <c r="H2304" s="11">
        <f>IF(OR(D2304="",E2304=""),"",D2304*E2304)</f>
        <v/>
      </c>
      <c r="I2304" s="8">
        <f>IF(OR(D2304="",E2304=""),"",E2304*(1+D2304/30))</f>
        <v/>
      </c>
      <c r="J2304">
        <f>IF(I2304="","",IF(I2304&gt;=MAXIFS($I$2:$I$5001,$B$2:$B$5001,B2304,$A$2:$A$5001,"&lt;="&amp;A2304),"PR",""))</f>
        <v/>
      </c>
    </row>
    <row r="2305">
      <c r="A2305" s="7" t="n"/>
      <c r="H2305" s="11">
        <f>IF(OR(D2305="",E2305=""),"",D2305*E2305)</f>
        <v/>
      </c>
      <c r="I2305" s="8">
        <f>IF(OR(D2305="",E2305=""),"",E2305*(1+D2305/30))</f>
        <v/>
      </c>
      <c r="J2305">
        <f>IF(I2305="","",IF(I2305&gt;=MAXIFS($I$2:$I$5001,$B$2:$B$5001,B2305,$A$2:$A$5001,"&lt;="&amp;A2305),"PR",""))</f>
        <v/>
      </c>
    </row>
    <row r="2306">
      <c r="A2306" s="7" t="n"/>
      <c r="H2306" s="11">
        <f>IF(OR(D2306="",E2306=""),"",D2306*E2306)</f>
        <v/>
      </c>
      <c r="I2306" s="8">
        <f>IF(OR(D2306="",E2306=""),"",E2306*(1+D2306/30))</f>
        <v/>
      </c>
      <c r="J2306">
        <f>IF(I2306="","",IF(I2306&gt;=MAXIFS($I$2:$I$5001,$B$2:$B$5001,B2306,$A$2:$A$5001,"&lt;="&amp;A2306),"PR",""))</f>
        <v/>
      </c>
    </row>
    <row r="2307">
      <c r="A2307" s="7" t="n"/>
      <c r="H2307" s="11">
        <f>IF(OR(D2307="",E2307=""),"",D2307*E2307)</f>
        <v/>
      </c>
      <c r="I2307" s="8">
        <f>IF(OR(D2307="",E2307=""),"",E2307*(1+D2307/30))</f>
        <v/>
      </c>
      <c r="J2307">
        <f>IF(I2307="","",IF(I2307&gt;=MAXIFS($I$2:$I$5001,$B$2:$B$5001,B2307,$A$2:$A$5001,"&lt;="&amp;A2307),"PR",""))</f>
        <v/>
      </c>
    </row>
    <row r="2308">
      <c r="A2308" s="7" t="n"/>
      <c r="H2308" s="11">
        <f>IF(OR(D2308="",E2308=""),"",D2308*E2308)</f>
        <v/>
      </c>
      <c r="I2308" s="8">
        <f>IF(OR(D2308="",E2308=""),"",E2308*(1+D2308/30))</f>
        <v/>
      </c>
      <c r="J2308">
        <f>IF(I2308="","",IF(I2308&gt;=MAXIFS($I$2:$I$5001,$B$2:$B$5001,B2308,$A$2:$A$5001,"&lt;="&amp;A2308),"PR",""))</f>
        <v/>
      </c>
    </row>
    <row r="2309">
      <c r="A2309" s="7" t="n"/>
      <c r="H2309" s="11">
        <f>IF(OR(D2309="",E2309=""),"",D2309*E2309)</f>
        <v/>
      </c>
      <c r="I2309" s="8">
        <f>IF(OR(D2309="",E2309=""),"",E2309*(1+D2309/30))</f>
        <v/>
      </c>
      <c r="J2309">
        <f>IF(I2309="","",IF(I2309&gt;=MAXIFS($I$2:$I$5001,$B$2:$B$5001,B2309,$A$2:$A$5001,"&lt;="&amp;A2309),"PR",""))</f>
        <v/>
      </c>
    </row>
    <row r="2310">
      <c r="A2310" s="7" t="n"/>
      <c r="H2310" s="11">
        <f>IF(OR(D2310="",E2310=""),"",D2310*E2310)</f>
        <v/>
      </c>
      <c r="I2310" s="8">
        <f>IF(OR(D2310="",E2310=""),"",E2310*(1+D2310/30))</f>
        <v/>
      </c>
      <c r="J2310">
        <f>IF(I2310="","",IF(I2310&gt;=MAXIFS($I$2:$I$5001,$B$2:$B$5001,B2310,$A$2:$A$5001,"&lt;="&amp;A2310),"PR",""))</f>
        <v/>
      </c>
    </row>
    <row r="2311">
      <c r="A2311" s="7" t="n"/>
      <c r="H2311" s="11">
        <f>IF(OR(D2311="",E2311=""),"",D2311*E2311)</f>
        <v/>
      </c>
      <c r="I2311" s="8">
        <f>IF(OR(D2311="",E2311=""),"",E2311*(1+D2311/30))</f>
        <v/>
      </c>
      <c r="J2311">
        <f>IF(I2311="","",IF(I2311&gt;=MAXIFS($I$2:$I$5001,$B$2:$B$5001,B2311,$A$2:$A$5001,"&lt;="&amp;A2311),"PR",""))</f>
        <v/>
      </c>
    </row>
    <row r="2312">
      <c r="A2312" s="7" t="n"/>
      <c r="H2312" s="11">
        <f>IF(OR(D2312="",E2312=""),"",D2312*E2312)</f>
        <v/>
      </c>
      <c r="I2312" s="8">
        <f>IF(OR(D2312="",E2312=""),"",E2312*(1+D2312/30))</f>
        <v/>
      </c>
      <c r="J2312">
        <f>IF(I2312="","",IF(I2312&gt;=MAXIFS($I$2:$I$5001,$B$2:$B$5001,B2312,$A$2:$A$5001,"&lt;="&amp;A2312),"PR",""))</f>
        <v/>
      </c>
    </row>
    <row r="2313">
      <c r="A2313" s="7" t="n"/>
      <c r="H2313" s="11">
        <f>IF(OR(D2313="",E2313=""),"",D2313*E2313)</f>
        <v/>
      </c>
      <c r="I2313" s="8">
        <f>IF(OR(D2313="",E2313=""),"",E2313*(1+D2313/30))</f>
        <v/>
      </c>
      <c r="J2313">
        <f>IF(I2313="","",IF(I2313&gt;=MAXIFS($I$2:$I$5001,$B$2:$B$5001,B2313,$A$2:$A$5001,"&lt;="&amp;A2313),"PR",""))</f>
        <v/>
      </c>
    </row>
    <row r="2314">
      <c r="A2314" s="7" t="n"/>
      <c r="H2314" s="11">
        <f>IF(OR(D2314="",E2314=""),"",D2314*E2314)</f>
        <v/>
      </c>
      <c r="I2314" s="8">
        <f>IF(OR(D2314="",E2314=""),"",E2314*(1+D2314/30))</f>
        <v/>
      </c>
      <c r="J2314">
        <f>IF(I2314="","",IF(I2314&gt;=MAXIFS($I$2:$I$5001,$B$2:$B$5001,B2314,$A$2:$A$5001,"&lt;="&amp;A2314),"PR",""))</f>
        <v/>
      </c>
    </row>
    <row r="2315">
      <c r="A2315" s="7" t="n"/>
      <c r="H2315" s="11">
        <f>IF(OR(D2315="",E2315=""),"",D2315*E2315)</f>
        <v/>
      </c>
      <c r="I2315" s="8">
        <f>IF(OR(D2315="",E2315=""),"",E2315*(1+D2315/30))</f>
        <v/>
      </c>
      <c r="J2315">
        <f>IF(I2315="","",IF(I2315&gt;=MAXIFS($I$2:$I$5001,$B$2:$B$5001,B2315,$A$2:$A$5001,"&lt;="&amp;A2315),"PR",""))</f>
        <v/>
      </c>
    </row>
    <row r="2316">
      <c r="A2316" s="7" t="n"/>
      <c r="H2316" s="11">
        <f>IF(OR(D2316="",E2316=""),"",D2316*E2316)</f>
        <v/>
      </c>
      <c r="I2316" s="8">
        <f>IF(OR(D2316="",E2316=""),"",E2316*(1+D2316/30))</f>
        <v/>
      </c>
      <c r="J2316">
        <f>IF(I2316="","",IF(I2316&gt;=MAXIFS($I$2:$I$5001,$B$2:$B$5001,B2316,$A$2:$A$5001,"&lt;="&amp;A2316),"PR",""))</f>
        <v/>
      </c>
    </row>
    <row r="2317">
      <c r="A2317" s="7" t="n"/>
      <c r="H2317" s="11">
        <f>IF(OR(D2317="",E2317=""),"",D2317*E2317)</f>
        <v/>
      </c>
      <c r="I2317" s="8">
        <f>IF(OR(D2317="",E2317=""),"",E2317*(1+D2317/30))</f>
        <v/>
      </c>
      <c r="J2317">
        <f>IF(I2317="","",IF(I2317&gt;=MAXIFS($I$2:$I$5001,$B$2:$B$5001,B2317,$A$2:$A$5001,"&lt;="&amp;A2317),"PR",""))</f>
        <v/>
      </c>
    </row>
    <row r="2318">
      <c r="A2318" s="7" t="n"/>
      <c r="H2318" s="11">
        <f>IF(OR(D2318="",E2318=""),"",D2318*E2318)</f>
        <v/>
      </c>
      <c r="I2318" s="8">
        <f>IF(OR(D2318="",E2318=""),"",E2318*(1+D2318/30))</f>
        <v/>
      </c>
      <c r="J2318">
        <f>IF(I2318="","",IF(I2318&gt;=MAXIFS($I$2:$I$5001,$B$2:$B$5001,B2318,$A$2:$A$5001,"&lt;="&amp;A2318),"PR",""))</f>
        <v/>
      </c>
    </row>
    <row r="2319">
      <c r="A2319" s="7" t="n"/>
      <c r="H2319" s="11">
        <f>IF(OR(D2319="",E2319=""),"",D2319*E2319)</f>
        <v/>
      </c>
      <c r="I2319" s="8">
        <f>IF(OR(D2319="",E2319=""),"",E2319*(1+D2319/30))</f>
        <v/>
      </c>
      <c r="J2319">
        <f>IF(I2319="","",IF(I2319&gt;=MAXIFS($I$2:$I$5001,$B$2:$B$5001,B2319,$A$2:$A$5001,"&lt;="&amp;A2319),"PR",""))</f>
        <v/>
      </c>
    </row>
    <row r="2320">
      <c r="A2320" s="7" t="n"/>
      <c r="H2320" s="11">
        <f>IF(OR(D2320="",E2320=""),"",D2320*E2320)</f>
        <v/>
      </c>
      <c r="I2320" s="8">
        <f>IF(OR(D2320="",E2320=""),"",E2320*(1+D2320/30))</f>
        <v/>
      </c>
      <c r="J2320">
        <f>IF(I2320="","",IF(I2320&gt;=MAXIFS($I$2:$I$5001,$B$2:$B$5001,B2320,$A$2:$A$5001,"&lt;="&amp;A2320),"PR",""))</f>
        <v/>
      </c>
    </row>
    <row r="2321">
      <c r="A2321" s="7" t="n"/>
      <c r="H2321" s="11">
        <f>IF(OR(D2321="",E2321=""),"",D2321*E2321)</f>
        <v/>
      </c>
      <c r="I2321" s="8">
        <f>IF(OR(D2321="",E2321=""),"",E2321*(1+D2321/30))</f>
        <v/>
      </c>
      <c r="J2321">
        <f>IF(I2321="","",IF(I2321&gt;=MAXIFS($I$2:$I$5001,$B$2:$B$5001,B2321,$A$2:$A$5001,"&lt;="&amp;A2321),"PR",""))</f>
        <v/>
      </c>
    </row>
    <row r="2322">
      <c r="A2322" s="7" t="n"/>
      <c r="H2322" s="11">
        <f>IF(OR(D2322="",E2322=""),"",D2322*E2322)</f>
        <v/>
      </c>
      <c r="I2322" s="8">
        <f>IF(OR(D2322="",E2322=""),"",E2322*(1+D2322/30))</f>
        <v/>
      </c>
      <c r="J2322">
        <f>IF(I2322="","",IF(I2322&gt;=MAXIFS($I$2:$I$5001,$B$2:$B$5001,B2322,$A$2:$A$5001,"&lt;="&amp;A2322),"PR",""))</f>
        <v/>
      </c>
    </row>
    <row r="2323">
      <c r="A2323" s="7" t="n"/>
      <c r="H2323" s="11">
        <f>IF(OR(D2323="",E2323=""),"",D2323*E2323)</f>
        <v/>
      </c>
      <c r="I2323" s="8">
        <f>IF(OR(D2323="",E2323=""),"",E2323*(1+D2323/30))</f>
        <v/>
      </c>
      <c r="J2323">
        <f>IF(I2323="","",IF(I2323&gt;=MAXIFS($I$2:$I$5001,$B$2:$B$5001,B2323,$A$2:$A$5001,"&lt;="&amp;A2323),"PR",""))</f>
        <v/>
      </c>
    </row>
    <row r="2324">
      <c r="A2324" s="7" t="n"/>
      <c r="H2324" s="11">
        <f>IF(OR(D2324="",E2324=""),"",D2324*E2324)</f>
        <v/>
      </c>
      <c r="I2324" s="8">
        <f>IF(OR(D2324="",E2324=""),"",E2324*(1+D2324/30))</f>
        <v/>
      </c>
      <c r="J2324">
        <f>IF(I2324="","",IF(I2324&gt;=MAXIFS($I$2:$I$5001,$B$2:$B$5001,B2324,$A$2:$A$5001,"&lt;="&amp;A2324),"PR",""))</f>
        <v/>
      </c>
    </row>
    <row r="2325">
      <c r="A2325" s="7" t="n"/>
      <c r="H2325" s="11">
        <f>IF(OR(D2325="",E2325=""),"",D2325*E2325)</f>
        <v/>
      </c>
      <c r="I2325" s="8">
        <f>IF(OR(D2325="",E2325=""),"",E2325*(1+D2325/30))</f>
        <v/>
      </c>
      <c r="J2325">
        <f>IF(I2325="","",IF(I2325&gt;=MAXIFS($I$2:$I$5001,$B$2:$B$5001,B2325,$A$2:$A$5001,"&lt;="&amp;A2325),"PR",""))</f>
        <v/>
      </c>
    </row>
    <row r="2326">
      <c r="A2326" s="7" t="n"/>
      <c r="H2326" s="11">
        <f>IF(OR(D2326="",E2326=""),"",D2326*E2326)</f>
        <v/>
      </c>
      <c r="I2326" s="8">
        <f>IF(OR(D2326="",E2326=""),"",E2326*(1+D2326/30))</f>
        <v/>
      </c>
      <c r="J2326">
        <f>IF(I2326="","",IF(I2326&gt;=MAXIFS($I$2:$I$5001,$B$2:$B$5001,B2326,$A$2:$A$5001,"&lt;="&amp;A2326),"PR",""))</f>
        <v/>
      </c>
    </row>
    <row r="2327">
      <c r="A2327" s="7" t="n"/>
      <c r="H2327" s="11">
        <f>IF(OR(D2327="",E2327=""),"",D2327*E2327)</f>
        <v/>
      </c>
      <c r="I2327" s="8">
        <f>IF(OR(D2327="",E2327=""),"",E2327*(1+D2327/30))</f>
        <v/>
      </c>
      <c r="J2327">
        <f>IF(I2327="","",IF(I2327&gt;=MAXIFS($I$2:$I$5001,$B$2:$B$5001,B2327,$A$2:$A$5001,"&lt;="&amp;A2327),"PR",""))</f>
        <v/>
      </c>
    </row>
    <row r="2328">
      <c r="A2328" s="7" t="n"/>
      <c r="H2328" s="11">
        <f>IF(OR(D2328="",E2328=""),"",D2328*E2328)</f>
        <v/>
      </c>
      <c r="I2328" s="8">
        <f>IF(OR(D2328="",E2328=""),"",E2328*(1+D2328/30))</f>
        <v/>
      </c>
      <c r="J2328">
        <f>IF(I2328="","",IF(I2328&gt;=MAXIFS($I$2:$I$5001,$B$2:$B$5001,B2328,$A$2:$A$5001,"&lt;="&amp;A2328),"PR",""))</f>
        <v/>
      </c>
    </row>
    <row r="2329">
      <c r="A2329" s="7" t="n"/>
      <c r="H2329" s="11">
        <f>IF(OR(D2329="",E2329=""),"",D2329*E2329)</f>
        <v/>
      </c>
      <c r="I2329" s="8">
        <f>IF(OR(D2329="",E2329=""),"",E2329*(1+D2329/30))</f>
        <v/>
      </c>
      <c r="J2329">
        <f>IF(I2329="","",IF(I2329&gt;=MAXIFS($I$2:$I$5001,$B$2:$B$5001,B2329,$A$2:$A$5001,"&lt;="&amp;A2329),"PR",""))</f>
        <v/>
      </c>
    </row>
    <row r="2330">
      <c r="A2330" s="7" t="n"/>
      <c r="H2330" s="11">
        <f>IF(OR(D2330="",E2330=""),"",D2330*E2330)</f>
        <v/>
      </c>
      <c r="I2330" s="8">
        <f>IF(OR(D2330="",E2330=""),"",E2330*(1+D2330/30))</f>
        <v/>
      </c>
      <c r="J2330">
        <f>IF(I2330="","",IF(I2330&gt;=MAXIFS($I$2:$I$5001,$B$2:$B$5001,B2330,$A$2:$A$5001,"&lt;="&amp;A2330),"PR",""))</f>
        <v/>
      </c>
    </row>
    <row r="2331">
      <c r="A2331" s="7" t="n"/>
      <c r="H2331" s="11">
        <f>IF(OR(D2331="",E2331=""),"",D2331*E2331)</f>
        <v/>
      </c>
      <c r="I2331" s="8">
        <f>IF(OR(D2331="",E2331=""),"",E2331*(1+D2331/30))</f>
        <v/>
      </c>
      <c r="J2331">
        <f>IF(I2331="","",IF(I2331&gt;=MAXIFS($I$2:$I$5001,$B$2:$B$5001,B2331,$A$2:$A$5001,"&lt;="&amp;A2331),"PR",""))</f>
        <v/>
      </c>
    </row>
    <row r="2332">
      <c r="A2332" s="7" t="n"/>
      <c r="H2332" s="11">
        <f>IF(OR(D2332="",E2332=""),"",D2332*E2332)</f>
        <v/>
      </c>
      <c r="I2332" s="8">
        <f>IF(OR(D2332="",E2332=""),"",E2332*(1+D2332/30))</f>
        <v/>
      </c>
      <c r="J2332">
        <f>IF(I2332="","",IF(I2332&gt;=MAXIFS($I$2:$I$5001,$B$2:$B$5001,B2332,$A$2:$A$5001,"&lt;="&amp;A2332),"PR",""))</f>
        <v/>
      </c>
    </row>
    <row r="2333">
      <c r="A2333" s="7" t="n"/>
      <c r="H2333" s="11">
        <f>IF(OR(D2333="",E2333=""),"",D2333*E2333)</f>
        <v/>
      </c>
      <c r="I2333" s="8">
        <f>IF(OR(D2333="",E2333=""),"",E2333*(1+D2333/30))</f>
        <v/>
      </c>
      <c r="J2333">
        <f>IF(I2333="","",IF(I2333&gt;=MAXIFS($I$2:$I$5001,$B$2:$B$5001,B2333,$A$2:$A$5001,"&lt;="&amp;A2333),"PR",""))</f>
        <v/>
      </c>
    </row>
    <row r="2334">
      <c r="A2334" s="7" t="n"/>
      <c r="H2334" s="11">
        <f>IF(OR(D2334="",E2334=""),"",D2334*E2334)</f>
        <v/>
      </c>
      <c r="I2334" s="8">
        <f>IF(OR(D2334="",E2334=""),"",E2334*(1+D2334/30))</f>
        <v/>
      </c>
      <c r="J2334">
        <f>IF(I2334="","",IF(I2334&gt;=MAXIFS($I$2:$I$5001,$B$2:$B$5001,B2334,$A$2:$A$5001,"&lt;="&amp;A2334),"PR",""))</f>
        <v/>
      </c>
    </row>
    <row r="2335">
      <c r="A2335" s="7" t="n"/>
      <c r="H2335" s="11">
        <f>IF(OR(D2335="",E2335=""),"",D2335*E2335)</f>
        <v/>
      </c>
      <c r="I2335" s="8">
        <f>IF(OR(D2335="",E2335=""),"",E2335*(1+D2335/30))</f>
        <v/>
      </c>
      <c r="J2335">
        <f>IF(I2335="","",IF(I2335&gt;=MAXIFS($I$2:$I$5001,$B$2:$B$5001,B2335,$A$2:$A$5001,"&lt;="&amp;A2335),"PR",""))</f>
        <v/>
      </c>
    </row>
    <row r="2336">
      <c r="A2336" s="7" t="n"/>
      <c r="H2336" s="11">
        <f>IF(OR(D2336="",E2336=""),"",D2336*E2336)</f>
        <v/>
      </c>
      <c r="I2336" s="8">
        <f>IF(OR(D2336="",E2336=""),"",E2336*(1+D2336/30))</f>
        <v/>
      </c>
      <c r="J2336">
        <f>IF(I2336="","",IF(I2336&gt;=MAXIFS($I$2:$I$5001,$B$2:$B$5001,B2336,$A$2:$A$5001,"&lt;="&amp;A2336),"PR",""))</f>
        <v/>
      </c>
    </row>
    <row r="2337">
      <c r="A2337" s="7" t="n"/>
      <c r="H2337" s="11">
        <f>IF(OR(D2337="",E2337=""),"",D2337*E2337)</f>
        <v/>
      </c>
      <c r="I2337" s="8">
        <f>IF(OR(D2337="",E2337=""),"",E2337*(1+D2337/30))</f>
        <v/>
      </c>
      <c r="J2337">
        <f>IF(I2337="","",IF(I2337&gt;=MAXIFS($I$2:$I$5001,$B$2:$B$5001,B2337,$A$2:$A$5001,"&lt;="&amp;A2337),"PR",""))</f>
        <v/>
      </c>
    </row>
    <row r="2338">
      <c r="A2338" s="7" t="n"/>
      <c r="H2338" s="11">
        <f>IF(OR(D2338="",E2338=""),"",D2338*E2338)</f>
        <v/>
      </c>
      <c r="I2338" s="8">
        <f>IF(OR(D2338="",E2338=""),"",E2338*(1+D2338/30))</f>
        <v/>
      </c>
      <c r="J2338">
        <f>IF(I2338="","",IF(I2338&gt;=MAXIFS($I$2:$I$5001,$B$2:$B$5001,B2338,$A$2:$A$5001,"&lt;="&amp;A2338),"PR",""))</f>
        <v/>
      </c>
    </row>
    <row r="2339">
      <c r="A2339" s="7" t="n"/>
      <c r="H2339" s="11">
        <f>IF(OR(D2339="",E2339=""),"",D2339*E2339)</f>
        <v/>
      </c>
      <c r="I2339" s="8">
        <f>IF(OR(D2339="",E2339=""),"",E2339*(1+D2339/30))</f>
        <v/>
      </c>
      <c r="J2339">
        <f>IF(I2339="","",IF(I2339&gt;=MAXIFS($I$2:$I$5001,$B$2:$B$5001,B2339,$A$2:$A$5001,"&lt;="&amp;A2339),"PR",""))</f>
        <v/>
      </c>
    </row>
    <row r="2340">
      <c r="A2340" s="7" t="n"/>
      <c r="H2340" s="11">
        <f>IF(OR(D2340="",E2340=""),"",D2340*E2340)</f>
        <v/>
      </c>
      <c r="I2340" s="8">
        <f>IF(OR(D2340="",E2340=""),"",E2340*(1+D2340/30))</f>
        <v/>
      </c>
      <c r="J2340">
        <f>IF(I2340="","",IF(I2340&gt;=MAXIFS($I$2:$I$5001,$B$2:$B$5001,B2340,$A$2:$A$5001,"&lt;="&amp;A2340),"PR",""))</f>
        <v/>
      </c>
    </row>
    <row r="2341">
      <c r="A2341" s="7" t="n"/>
      <c r="H2341" s="11">
        <f>IF(OR(D2341="",E2341=""),"",D2341*E2341)</f>
        <v/>
      </c>
      <c r="I2341" s="8">
        <f>IF(OR(D2341="",E2341=""),"",E2341*(1+D2341/30))</f>
        <v/>
      </c>
      <c r="J2341">
        <f>IF(I2341="","",IF(I2341&gt;=MAXIFS($I$2:$I$5001,$B$2:$B$5001,B2341,$A$2:$A$5001,"&lt;="&amp;A2341),"PR",""))</f>
        <v/>
      </c>
    </row>
    <row r="2342">
      <c r="A2342" s="7" t="n"/>
      <c r="H2342" s="11">
        <f>IF(OR(D2342="",E2342=""),"",D2342*E2342)</f>
        <v/>
      </c>
      <c r="I2342" s="8">
        <f>IF(OR(D2342="",E2342=""),"",E2342*(1+D2342/30))</f>
        <v/>
      </c>
      <c r="J2342">
        <f>IF(I2342="","",IF(I2342&gt;=MAXIFS($I$2:$I$5001,$B$2:$B$5001,B2342,$A$2:$A$5001,"&lt;="&amp;A2342),"PR",""))</f>
        <v/>
      </c>
    </row>
    <row r="2343">
      <c r="A2343" s="7" t="n"/>
      <c r="H2343" s="11">
        <f>IF(OR(D2343="",E2343=""),"",D2343*E2343)</f>
        <v/>
      </c>
      <c r="I2343" s="8">
        <f>IF(OR(D2343="",E2343=""),"",E2343*(1+D2343/30))</f>
        <v/>
      </c>
      <c r="J2343">
        <f>IF(I2343="","",IF(I2343&gt;=MAXIFS($I$2:$I$5001,$B$2:$B$5001,B2343,$A$2:$A$5001,"&lt;="&amp;A2343),"PR",""))</f>
        <v/>
      </c>
    </row>
    <row r="2344">
      <c r="A2344" s="7" t="n"/>
      <c r="H2344" s="11">
        <f>IF(OR(D2344="",E2344=""),"",D2344*E2344)</f>
        <v/>
      </c>
      <c r="I2344" s="8">
        <f>IF(OR(D2344="",E2344=""),"",E2344*(1+D2344/30))</f>
        <v/>
      </c>
      <c r="J2344">
        <f>IF(I2344="","",IF(I2344&gt;=MAXIFS($I$2:$I$5001,$B$2:$B$5001,B2344,$A$2:$A$5001,"&lt;="&amp;A2344),"PR",""))</f>
        <v/>
      </c>
    </row>
    <row r="2345">
      <c r="A2345" s="7" t="n"/>
      <c r="H2345" s="11">
        <f>IF(OR(D2345="",E2345=""),"",D2345*E2345)</f>
        <v/>
      </c>
      <c r="I2345" s="8">
        <f>IF(OR(D2345="",E2345=""),"",E2345*(1+D2345/30))</f>
        <v/>
      </c>
      <c r="J2345">
        <f>IF(I2345="","",IF(I2345&gt;=MAXIFS($I$2:$I$5001,$B$2:$B$5001,B2345,$A$2:$A$5001,"&lt;="&amp;A2345),"PR",""))</f>
        <v/>
      </c>
    </row>
    <row r="2346">
      <c r="A2346" s="7" t="n"/>
      <c r="H2346" s="11">
        <f>IF(OR(D2346="",E2346=""),"",D2346*E2346)</f>
        <v/>
      </c>
      <c r="I2346" s="8">
        <f>IF(OR(D2346="",E2346=""),"",E2346*(1+D2346/30))</f>
        <v/>
      </c>
      <c r="J2346">
        <f>IF(I2346="","",IF(I2346&gt;=MAXIFS($I$2:$I$5001,$B$2:$B$5001,B2346,$A$2:$A$5001,"&lt;="&amp;A2346),"PR",""))</f>
        <v/>
      </c>
    </row>
    <row r="2347">
      <c r="A2347" s="7" t="n"/>
      <c r="H2347" s="11">
        <f>IF(OR(D2347="",E2347=""),"",D2347*E2347)</f>
        <v/>
      </c>
      <c r="I2347" s="8">
        <f>IF(OR(D2347="",E2347=""),"",E2347*(1+D2347/30))</f>
        <v/>
      </c>
      <c r="J2347">
        <f>IF(I2347="","",IF(I2347&gt;=MAXIFS($I$2:$I$5001,$B$2:$B$5001,B2347,$A$2:$A$5001,"&lt;="&amp;A2347),"PR",""))</f>
        <v/>
      </c>
    </row>
    <row r="2348">
      <c r="A2348" s="7" t="n"/>
      <c r="H2348" s="11">
        <f>IF(OR(D2348="",E2348=""),"",D2348*E2348)</f>
        <v/>
      </c>
      <c r="I2348" s="8">
        <f>IF(OR(D2348="",E2348=""),"",E2348*(1+D2348/30))</f>
        <v/>
      </c>
      <c r="J2348">
        <f>IF(I2348="","",IF(I2348&gt;=MAXIFS($I$2:$I$5001,$B$2:$B$5001,B2348,$A$2:$A$5001,"&lt;="&amp;A2348),"PR",""))</f>
        <v/>
      </c>
    </row>
    <row r="2349">
      <c r="A2349" s="7" t="n"/>
      <c r="H2349" s="11">
        <f>IF(OR(D2349="",E2349=""),"",D2349*E2349)</f>
        <v/>
      </c>
      <c r="I2349" s="8">
        <f>IF(OR(D2349="",E2349=""),"",E2349*(1+D2349/30))</f>
        <v/>
      </c>
      <c r="J2349">
        <f>IF(I2349="","",IF(I2349&gt;=MAXIFS($I$2:$I$5001,$B$2:$B$5001,B2349,$A$2:$A$5001,"&lt;="&amp;A2349),"PR",""))</f>
        <v/>
      </c>
    </row>
    <row r="2350">
      <c r="A2350" s="7" t="n"/>
      <c r="H2350" s="11">
        <f>IF(OR(D2350="",E2350=""),"",D2350*E2350)</f>
        <v/>
      </c>
      <c r="I2350" s="8">
        <f>IF(OR(D2350="",E2350=""),"",E2350*(1+D2350/30))</f>
        <v/>
      </c>
      <c r="J2350">
        <f>IF(I2350="","",IF(I2350&gt;=MAXIFS($I$2:$I$5001,$B$2:$B$5001,B2350,$A$2:$A$5001,"&lt;="&amp;A2350),"PR",""))</f>
        <v/>
      </c>
    </row>
    <row r="2351">
      <c r="A2351" s="7" t="n"/>
      <c r="H2351" s="11">
        <f>IF(OR(D2351="",E2351=""),"",D2351*E2351)</f>
        <v/>
      </c>
      <c r="I2351" s="8">
        <f>IF(OR(D2351="",E2351=""),"",E2351*(1+D2351/30))</f>
        <v/>
      </c>
      <c r="J2351">
        <f>IF(I2351="","",IF(I2351&gt;=MAXIFS($I$2:$I$5001,$B$2:$B$5001,B2351,$A$2:$A$5001,"&lt;="&amp;A2351),"PR",""))</f>
        <v/>
      </c>
    </row>
    <row r="2352">
      <c r="A2352" s="7" t="n"/>
      <c r="H2352" s="11">
        <f>IF(OR(D2352="",E2352=""),"",D2352*E2352)</f>
        <v/>
      </c>
      <c r="I2352" s="8">
        <f>IF(OR(D2352="",E2352=""),"",E2352*(1+D2352/30))</f>
        <v/>
      </c>
      <c r="J2352">
        <f>IF(I2352="","",IF(I2352&gt;=MAXIFS($I$2:$I$5001,$B$2:$B$5001,B2352,$A$2:$A$5001,"&lt;="&amp;A2352),"PR",""))</f>
        <v/>
      </c>
    </row>
    <row r="2353">
      <c r="A2353" s="7" t="n"/>
      <c r="H2353" s="11">
        <f>IF(OR(D2353="",E2353=""),"",D2353*E2353)</f>
        <v/>
      </c>
      <c r="I2353" s="8">
        <f>IF(OR(D2353="",E2353=""),"",E2353*(1+D2353/30))</f>
        <v/>
      </c>
      <c r="J2353">
        <f>IF(I2353="","",IF(I2353&gt;=MAXIFS($I$2:$I$5001,$B$2:$B$5001,B2353,$A$2:$A$5001,"&lt;="&amp;A2353),"PR",""))</f>
        <v/>
      </c>
    </row>
    <row r="2354">
      <c r="A2354" s="7" t="n"/>
      <c r="H2354" s="11">
        <f>IF(OR(D2354="",E2354=""),"",D2354*E2354)</f>
        <v/>
      </c>
      <c r="I2354" s="8">
        <f>IF(OR(D2354="",E2354=""),"",E2354*(1+D2354/30))</f>
        <v/>
      </c>
      <c r="J2354">
        <f>IF(I2354="","",IF(I2354&gt;=MAXIFS($I$2:$I$5001,$B$2:$B$5001,B2354,$A$2:$A$5001,"&lt;="&amp;A2354),"PR",""))</f>
        <v/>
      </c>
    </row>
    <row r="2355">
      <c r="A2355" s="7" t="n"/>
      <c r="H2355" s="11">
        <f>IF(OR(D2355="",E2355=""),"",D2355*E2355)</f>
        <v/>
      </c>
      <c r="I2355" s="8">
        <f>IF(OR(D2355="",E2355=""),"",E2355*(1+D2355/30))</f>
        <v/>
      </c>
      <c r="J2355">
        <f>IF(I2355="","",IF(I2355&gt;=MAXIFS($I$2:$I$5001,$B$2:$B$5001,B2355,$A$2:$A$5001,"&lt;="&amp;A2355),"PR",""))</f>
        <v/>
      </c>
    </row>
    <row r="2356">
      <c r="A2356" s="7" t="n"/>
      <c r="H2356" s="11">
        <f>IF(OR(D2356="",E2356=""),"",D2356*E2356)</f>
        <v/>
      </c>
      <c r="I2356" s="8">
        <f>IF(OR(D2356="",E2356=""),"",E2356*(1+D2356/30))</f>
        <v/>
      </c>
      <c r="J2356">
        <f>IF(I2356="","",IF(I2356&gt;=MAXIFS($I$2:$I$5001,$B$2:$B$5001,B2356,$A$2:$A$5001,"&lt;="&amp;A2356),"PR",""))</f>
        <v/>
      </c>
    </row>
    <row r="2357">
      <c r="A2357" s="7" t="n"/>
      <c r="H2357" s="11">
        <f>IF(OR(D2357="",E2357=""),"",D2357*E2357)</f>
        <v/>
      </c>
      <c r="I2357" s="8">
        <f>IF(OR(D2357="",E2357=""),"",E2357*(1+D2357/30))</f>
        <v/>
      </c>
      <c r="J2357">
        <f>IF(I2357="","",IF(I2357&gt;=MAXIFS($I$2:$I$5001,$B$2:$B$5001,B2357,$A$2:$A$5001,"&lt;="&amp;A2357),"PR",""))</f>
        <v/>
      </c>
    </row>
    <row r="2358">
      <c r="A2358" s="7" t="n"/>
      <c r="H2358" s="11">
        <f>IF(OR(D2358="",E2358=""),"",D2358*E2358)</f>
        <v/>
      </c>
      <c r="I2358" s="8">
        <f>IF(OR(D2358="",E2358=""),"",E2358*(1+D2358/30))</f>
        <v/>
      </c>
      <c r="J2358">
        <f>IF(I2358="","",IF(I2358&gt;=MAXIFS($I$2:$I$5001,$B$2:$B$5001,B2358,$A$2:$A$5001,"&lt;="&amp;A2358),"PR",""))</f>
        <v/>
      </c>
    </row>
    <row r="2359">
      <c r="A2359" s="7" t="n"/>
      <c r="H2359" s="11">
        <f>IF(OR(D2359="",E2359=""),"",D2359*E2359)</f>
        <v/>
      </c>
      <c r="I2359" s="8">
        <f>IF(OR(D2359="",E2359=""),"",E2359*(1+D2359/30))</f>
        <v/>
      </c>
      <c r="J2359">
        <f>IF(I2359="","",IF(I2359&gt;=MAXIFS($I$2:$I$5001,$B$2:$B$5001,B2359,$A$2:$A$5001,"&lt;="&amp;A2359),"PR",""))</f>
        <v/>
      </c>
    </row>
    <row r="2360">
      <c r="A2360" s="7" t="n"/>
      <c r="H2360" s="11">
        <f>IF(OR(D2360="",E2360=""),"",D2360*E2360)</f>
        <v/>
      </c>
      <c r="I2360" s="8">
        <f>IF(OR(D2360="",E2360=""),"",E2360*(1+D2360/30))</f>
        <v/>
      </c>
      <c r="J2360">
        <f>IF(I2360="","",IF(I2360&gt;=MAXIFS($I$2:$I$5001,$B$2:$B$5001,B2360,$A$2:$A$5001,"&lt;="&amp;A2360),"PR",""))</f>
        <v/>
      </c>
    </row>
    <row r="2361">
      <c r="A2361" s="7" t="n"/>
      <c r="H2361" s="11">
        <f>IF(OR(D2361="",E2361=""),"",D2361*E2361)</f>
        <v/>
      </c>
      <c r="I2361" s="8">
        <f>IF(OR(D2361="",E2361=""),"",E2361*(1+D2361/30))</f>
        <v/>
      </c>
      <c r="J2361">
        <f>IF(I2361="","",IF(I2361&gt;=MAXIFS($I$2:$I$5001,$B$2:$B$5001,B2361,$A$2:$A$5001,"&lt;="&amp;A2361),"PR",""))</f>
        <v/>
      </c>
    </row>
    <row r="2362">
      <c r="A2362" s="7" t="n"/>
      <c r="H2362" s="11">
        <f>IF(OR(D2362="",E2362=""),"",D2362*E2362)</f>
        <v/>
      </c>
      <c r="I2362" s="8">
        <f>IF(OR(D2362="",E2362=""),"",E2362*(1+D2362/30))</f>
        <v/>
      </c>
      <c r="J2362">
        <f>IF(I2362="","",IF(I2362&gt;=MAXIFS($I$2:$I$5001,$B$2:$B$5001,B2362,$A$2:$A$5001,"&lt;="&amp;A2362),"PR",""))</f>
        <v/>
      </c>
    </row>
    <row r="2363">
      <c r="A2363" s="7" t="n"/>
      <c r="H2363" s="11">
        <f>IF(OR(D2363="",E2363=""),"",D2363*E2363)</f>
        <v/>
      </c>
      <c r="I2363" s="8">
        <f>IF(OR(D2363="",E2363=""),"",E2363*(1+D2363/30))</f>
        <v/>
      </c>
      <c r="J2363">
        <f>IF(I2363="","",IF(I2363&gt;=MAXIFS($I$2:$I$5001,$B$2:$B$5001,B2363,$A$2:$A$5001,"&lt;="&amp;A2363),"PR",""))</f>
        <v/>
      </c>
    </row>
    <row r="2364">
      <c r="A2364" s="7" t="n"/>
      <c r="H2364" s="11">
        <f>IF(OR(D2364="",E2364=""),"",D2364*E2364)</f>
        <v/>
      </c>
      <c r="I2364" s="8">
        <f>IF(OR(D2364="",E2364=""),"",E2364*(1+D2364/30))</f>
        <v/>
      </c>
      <c r="J2364">
        <f>IF(I2364="","",IF(I2364&gt;=MAXIFS($I$2:$I$5001,$B$2:$B$5001,B2364,$A$2:$A$5001,"&lt;="&amp;A2364),"PR",""))</f>
        <v/>
      </c>
    </row>
    <row r="2365">
      <c r="A2365" s="7" t="n"/>
      <c r="H2365" s="11">
        <f>IF(OR(D2365="",E2365=""),"",D2365*E2365)</f>
        <v/>
      </c>
      <c r="I2365" s="8">
        <f>IF(OR(D2365="",E2365=""),"",E2365*(1+D2365/30))</f>
        <v/>
      </c>
      <c r="J2365">
        <f>IF(I2365="","",IF(I2365&gt;=MAXIFS($I$2:$I$5001,$B$2:$B$5001,B2365,$A$2:$A$5001,"&lt;="&amp;A2365),"PR",""))</f>
        <v/>
      </c>
    </row>
    <row r="2366">
      <c r="A2366" s="7" t="n"/>
      <c r="H2366" s="11">
        <f>IF(OR(D2366="",E2366=""),"",D2366*E2366)</f>
        <v/>
      </c>
      <c r="I2366" s="8">
        <f>IF(OR(D2366="",E2366=""),"",E2366*(1+D2366/30))</f>
        <v/>
      </c>
      <c r="J2366">
        <f>IF(I2366="","",IF(I2366&gt;=MAXIFS($I$2:$I$5001,$B$2:$B$5001,B2366,$A$2:$A$5001,"&lt;="&amp;A2366),"PR",""))</f>
        <v/>
      </c>
    </row>
    <row r="2367">
      <c r="A2367" s="7" t="n"/>
      <c r="H2367" s="11">
        <f>IF(OR(D2367="",E2367=""),"",D2367*E2367)</f>
        <v/>
      </c>
      <c r="I2367" s="8">
        <f>IF(OR(D2367="",E2367=""),"",E2367*(1+D2367/30))</f>
        <v/>
      </c>
      <c r="J2367">
        <f>IF(I2367="","",IF(I2367&gt;=MAXIFS($I$2:$I$5001,$B$2:$B$5001,B2367,$A$2:$A$5001,"&lt;="&amp;A2367),"PR",""))</f>
        <v/>
      </c>
    </row>
    <row r="2368">
      <c r="A2368" s="7" t="n"/>
      <c r="H2368" s="11">
        <f>IF(OR(D2368="",E2368=""),"",D2368*E2368)</f>
        <v/>
      </c>
      <c r="I2368" s="8">
        <f>IF(OR(D2368="",E2368=""),"",E2368*(1+D2368/30))</f>
        <v/>
      </c>
      <c r="J2368">
        <f>IF(I2368="","",IF(I2368&gt;=MAXIFS($I$2:$I$5001,$B$2:$B$5001,B2368,$A$2:$A$5001,"&lt;="&amp;A2368),"PR",""))</f>
        <v/>
      </c>
    </row>
    <row r="2369">
      <c r="A2369" s="7" t="n"/>
      <c r="H2369" s="11">
        <f>IF(OR(D2369="",E2369=""),"",D2369*E2369)</f>
        <v/>
      </c>
      <c r="I2369" s="8">
        <f>IF(OR(D2369="",E2369=""),"",E2369*(1+D2369/30))</f>
        <v/>
      </c>
      <c r="J2369">
        <f>IF(I2369="","",IF(I2369&gt;=MAXIFS($I$2:$I$5001,$B$2:$B$5001,B2369,$A$2:$A$5001,"&lt;="&amp;A2369),"PR",""))</f>
        <v/>
      </c>
    </row>
    <row r="2370">
      <c r="A2370" s="7" t="n"/>
      <c r="H2370" s="11">
        <f>IF(OR(D2370="",E2370=""),"",D2370*E2370)</f>
        <v/>
      </c>
      <c r="I2370" s="8">
        <f>IF(OR(D2370="",E2370=""),"",E2370*(1+D2370/30))</f>
        <v/>
      </c>
      <c r="J2370">
        <f>IF(I2370="","",IF(I2370&gt;=MAXIFS($I$2:$I$5001,$B$2:$B$5001,B2370,$A$2:$A$5001,"&lt;="&amp;A2370),"PR",""))</f>
        <v/>
      </c>
    </row>
    <row r="2371">
      <c r="A2371" s="7" t="n"/>
      <c r="H2371" s="11">
        <f>IF(OR(D2371="",E2371=""),"",D2371*E2371)</f>
        <v/>
      </c>
      <c r="I2371" s="8">
        <f>IF(OR(D2371="",E2371=""),"",E2371*(1+D2371/30))</f>
        <v/>
      </c>
      <c r="J2371">
        <f>IF(I2371="","",IF(I2371&gt;=MAXIFS($I$2:$I$5001,$B$2:$B$5001,B2371,$A$2:$A$5001,"&lt;="&amp;A2371),"PR",""))</f>
        <v/>
      </c>
    </row>
    <row r="2372">
      <c r="A2372" s="7" t="n"/>
      <c r="H2372" s="11">
        <f>IF(OR(D2372="",E2372=""),"",D2372*E2372)</f>
        <v/>
      </c>
      <c r="I2372" s="8">
        <f>IF(OR(D2372="",E2372=""),"",E2372*(1+D2372/30))</f>
        <v/>
      </c>
      <c r="J2372">
        <f>IF(I2372="","",IF(I2372&gt;=MAXIFS($I$2:$I$5001,$B$2:$B$5001,B2372,$A$2:$A$5001,"&lt;="&amp;A2372),"PR",""))</f>
        <v/>
      </c>
    </row>
    <row r="2373">
      <c r="A2373" s="7" t="n"/>
      <c r="H2373" s="11">
        <f>IF(OR(D2373="",E2373=""),"",D2373*E2373)</f>
        <v/>
      </c>
      <c r="I2373" s="8">
        <f>IF(OR(D2373="",E2373=""),"",E2373*(1+D2373/30))</f>
        <v/>
      </c>
      <c r="J2373">
        <f>IF(I2373="","",IF(I2373&gt;=MAXIFS($I$2:$I$5001,$B$2:$B$5001,B2373,$A$2:$A$5001,"&lt;="&amp;A2373),"PR",""))</f>
        <v/>
      </c>
    </row>
    <row r="2374">
      <c r="A2374" s="7" t="n"/>
      <c r="H2374" s="11">
        <f>IF(OR(D2374="",E2374=""),"",D2374*E2374)</f>
        <v/>
      </c>
      <c r="I2374" s="8">
        <f>IF(OR(D2374="",E2374=""),"",E2374*(1+D2374/30))</f>
        <v/>
      </c>
      <c r="J2374">
        <f>IF(I2374="","",IF(I2374&gt;=MAXIFS($I$2:$I$5001,$B$2:$B$5001,B2374,$A$2:$A$5001,"&lt;="&amp;A2374),"PR",""))</f>
        <v/>
      </c>
    </row>
    <row r="2375">
      <c r="A2375" s="7" t="n"/>
      <c r="H2375" s="11">
        <f>IF(OR(D2375="",E2375=""),"",D2375*E2375)</f>
        <v/>
      </c>
      <c r="I2375" s="8">
        <f>IF(OR(D2375="",E2375=""),"",E2375*(1+D2375/30))</f>
        <v/>
      </c>
      <c r="J2375">
        <f>IF(I2375="","",IF(I2375&gt;=MAXIFS($I$2:$I$5001,$B$2:$B$5001,B2375,$A$2:$A$5001,"&lt;="&amp;A2375),"PR",""))</f>
        <v/>
      </c>
    </row>
    <row r="2376">
      <c r="A2376" s="7" t="n"/>
      <c r="H2376" s="11">
        <f>IF(OR(D2376="",E2376=""),"",D2376*E2376)</f>
        <v/>
      </c>
      <c r="I2376" s="8">
        <f>IF(OR(D2376="",E2376=""),"",E2376*(1+D2376/30))</f>
        <v/>
      </c>
      <c r="J2376">
        <f>IF(I2376="","",IF(I2376&gt;=MAXIFS($I$2:$I$5001,$B$2:$B$5001,B2376,$A$2:$A$5001,"&lt;="&amp;A2376),"PR",""))</f>
        <v/>
      </c>
    </row>
    <row r="2377">
      <c r="A2377" s="7" t="n"/>
      <c r="H2377" s="11">
        <f>IF(OR(D2377="",E2377=""),"",D2377*E2377)</f>
        <v/>
      </c>
      <c r="I2377" s="8">
        <f>IF(OR(D2377="",E2377=""),"",E2377*(1+D2377/30))</f>
        <v/>
      </c>
      <c r="J2377">
        <f>IF(I2377="","",IF(I2377&gt;=MAXIFS($I$2:$I$5001,$B$2:$B$5001,B2377,$A$2:$A$5001,"&lt;="&amp;A2377),"PR",""))</f>
        <v/>
      </c>
    </row>
    <row r="2378">
      <c r="A2378" s="7" t="n"/>
      <c r="H2378" s="11">
        <f>IF(OR(D2378="",E2378=""),"",D2378*E2378)</f>
        <v/>
      </c>
      <c r="I2378" s="8">
        <f>IF(OR(D2378="",E2378=""),"",E2378*(1+D2378/30))</f>
        <v/>
      </c>
      <c r="J2378">
        <f>IF(I2378="","",IF(I2378&gt;=MAXIFS($I$2:$I$5001,$B$2:$B$5001,B2378,$A$2:$A$5001,"&lt;="&amp;A2378),"PR",""))</f>
        <v/>
      </c>
    </row>
    <row r="2379">
      <c r="A2379" s="7" t="n"/>
      <c r="H2379" s="11">
        <f>IF(OR(D2379="",E2379=""),"",D2379*E2379)</f>
        <v/>
      </c>
      <c r="I2379" s="8">
        <f>IF(OR(D2379="",E2379=""),"",E2379*(1+D2379/30))</f>
        <v/>
      </c>
      <c r="J2379">
        <f>IF(I2379="","",IF(I2379&gt;=MAXIFS($I$2:$I$5001,$B$2:$B$5001,B2379,$A$2:$A$5001,"&lt;="&amp;A2379),"PR",""))</f>
        <v/>
      </c>
    </row>
    <row r="2380">
      <c r="A2380" s="7" t="n"/>
      <c r="H2380" s="11">
        <f>IF(OR(D2380="",E2380=""),"",D2380*E2380)</f>
        <v/>
      </c>
      <c r="I2380" s="8">
        <f>IF(OR(D2380="",E2380=""),"",E2380*(1+D2380/30))</f>
        <v/>
      </c>
      <c r="J2380">
        <f>IF(I2380="","",IF(I2380&gt;=MAXIFS($I$2:$I$5001,$B$2:$B$5001,B2380,$A$2:$A$5001,"&lt;="&amp;A2380),"PR",""))</f>
        <v/>
      </c>
    </row>
    <row r="2381">
      <c r="A2381" s="7" t="n"/>
      <c r="H2381" s="11">
        <f>IF(OR(D2381="",E2381=""),"",D2381*E2381)</f>
        <v/>
      </c>
      <c r="I2381" s="8">
        <f>IF(OR(D2381="",E2381=""),"",E2381*(1+D2381/30))</f>
        <v/>
      </c>
      <c r="J2381">
        <f>IF(I2381="","",IF(I2381&gt;=MAXIFS($I$2:$I$5001,$B$2:$B$5001,B2381,$A$2:$A$5001,"&lt;="&amp;A2381),"PR",""))</f>
        <v/>
      </c>
    </row>
    <row r="2382">
      <c r="A2382" s="7" t="n"/>
      <c r="H2382" s="11">
        <f>IF(OR(D2382="",E2382=""),"",D2382*E2382)</f>
        <v/>
      </c>
      <c r="I2382" s="8">
        <f>IF(OR(D2382="",E2382=""),"",E2382*(1+D2382/30))</f>
        <v/>
      </c>
      <c r="J2382">
        <f>IF(I2382="","",IF(I2382&gt;=MAXIFS($I$2:$I$5001,$B$2:$B$5001,B2382,$A$2:$A$5001,"&lt;="&amp;A2382),"PR",""))</f>
        <v/>
      </c>
    </row>
    <row r="2383">
      <c r="A2383" s="7" t="n"/>
      <c r="H2383" s="11">
        <f>IF(OR(D2383="",E2383=""),"",D2383*E2383)</f>
        <v/>
      </c>
      <c r="I2383" s="8">
        <f>IF(OR(D2383="",E2383=""),"",E2383*(1+D2383/30))</f>
        <v/>
      </c>
      <c r="J2383">
        <f>IF(I2383="","",IF(I2383&gt;=MAXIFS($I$2:$I$5001,$B$2:$B$5001,B2383,$A$2:$A$5001,"&lt;="&amp;A2383),"PR",""))</f>
        <v/>
      </c>
    </row>
    <row r="2384">
      <c r="A2384" s="7" t="n"/>
      <c r="H2384" s="11">
        <f>IF(OR(D2384="",E2384=""),"",D2384*E2384)</f>
        <v/>
      </c>
      <c r="I2384" s="8">
        <f>IF(OR(D2384="",E2384=""),"",E2384*(1+D2384/30))</f>
        <v/>
      </c>
      <c r="J2384">
        <f>IF(I2384="","",IF(I2384&gt;=MAXIFS($I$2:$I$5001,$B$2:$B$5001,B2384,$A$2:$A$5001,"&lt;="&amp;A2384),"PR",""))</f>
        <v/>
      </c>
    </row>
    <row r="2385">
      <c r="A2385" s="7" t="n"/>
      <c r="H2385" s="11">
        <f>IF(OR(D2385="",E2385=""),"",D2385*E2385)</f>
        <v/>
      </c>
      <c r="I2385" s="8">
        <f>IF(OR(D2385="",E2385=""),"",E2385*(1+D2385/30))</f>
        <v/>
      </c>
      <c r="J2385">
        <f>IF(I2385="","",IF(I2385&gt;=MAXIFS($I$2:$I$5001,$B$2:$B$5001,B2385,$A$2:$A$5001,"&lt;="&amp;A2385),"PR",""))</f>
        <v/>
      </c>
    </row>
    <row r="2386">
      <c r="A2386" s="7" t="n"/>
      <c r="H2386" s="11">
        <f>IF(OR(D2386="",E2386=""),"",D2386*E2386)</f>
        <v/>
      </c>
      <c r="I2386" s="8">
        <f>IF(OR(D2386="",E2386=""),"",E2386*(1+D2386/30))</f>
        <v/>
      </c>
      <c r="J2386">
        <f>IF(I2386="","",IF(I2386&gt;=MAXIFS($I$2:$I$5001,$B$2:$B$5001,B2386,$A$2:$A$5001,"&lt;="&amp;A2386),"PR",""))</f>
        <v/>
      </c>
    </row>
    <row r="2387">
      <c r="A2387" s="7" t="n"/>
      <c r="H2387" s="11">
        <f>IF(OR(D2387="",E2387=""),"",D2387*E2387)</f>
        <v/>
      </c>
      <c r="I2387" s="8">
        <f>IF(OR(D2387="",E2387=""),"",E2387*(1+D2387/30))</f>
        <v/>
      </c>
      <c r="J2387">
        <f>IF(I2387="","",IF(I2387&gt;=MAXIFS($I$2:$I$5001,$B$2:$B$5001,B2387,$A$2:$A$5001,"&lt;="&amp;A2387),"PR",""))</f>
        <v/>
      </c>
    </row>
    <row r="2388">
      <c r="A2388" s="7" t="n"/>
      <c r="H2388" s="11">
        <f>IF(OR(D2388="",E2388=""),"",D2388*E2388)</f>
        <v/>
      </c>
      <c r="I2388" s="8">
        <f>IF(OR(D2388="",E2388=""),"",E2388*(1+D2388/30))</f>
        <v/>
      </c>
      <c r="J2388">
        <f>IF(I2388="","",IF(I2388&gt;=MAXIFS($I$2:$I$5001,$B$2:$B$5001,B2388,$A$2:$A$5001,"&lt;="&amp;A2388),"PR",""))</f>
        <v/>
      </c>
    </row>
    <row r="2389">
      <c r="A2389" s="7" t="n"/>
      <c r="H2389" s="11">
        <f>IF(OR(D2389="",E2389=""),"",D2389*E2389)</f>
        <v/>
      </c>
      <c r="I2389" s="8">
        <f>IF(OR(D2389="",E2389=""),"",E2389*(1+D2389/30))</f>
        <v/>
      </c>
      <c r="J2389">
        <f>IF(I2389="","",IF(I2389&gt;=MAXIFS($I$2:$I$5001,$B$2:$B$5001,B2389,$A$2:$A$5001,"&lt;="&amp;A2389),"PR",""))</f>
        <v/>
      </c>
    </row>
    <row r="2390">
      <c r="A2390" s="7" t="n"/>
      <c r="H2390" s="11">
        <f>IF(OR(D2390="",E2390=""),"",D2390*E2390)</f>
        <v/>
      </c>
      <c r="I2390" s="8">
        <f>IF(OR(D2390="",E2390=""),"",E2390*(1+D2390/30))</f>
        <v/>
      </c>
      <c r="J2390">
        <f>IF(I2390="","",IF(I2390&gt;=MAXIFS($I$2:$I$5001,$B$2:$B$5001,B2390,$A$2:$A$5001,"&lt;="&amp;A2390),"PR",""))</f>
        <v/>
      </c>
    </row>
    <row r="2391">
      <c r="A2391" s="7" t="n"/>
      <c r="H2391" s="11">
        <f>IF(OR(D2391="",E2391=""),"",D2391*E2391)</f>
        <v/>
      </c>
      <c r="I2391" s="8">
        <f>IF(OR(D2391="",E2391=""),"",E2391*(1+D2391/30))</f>
        <v/>
      </c>
      <c r="J2391">
        <f>IF(I2391="","",IF(I2391&gt;=MAXIFS($I$2:$I$5001,$B$2:$B$5001,B2391,$A$2:$A$5001,"&lt;="&amp;A2391),"PR",""))</f>
        <v/>
      </c>
    </row>
    <row r="2392">
      <c r="A2392" s="7" t="n"/>
      <c r="H2392" s="11">
        <f>IF(OR(D2392="",E2392=""),"",D2392*E2392)</f>
        <v/>
      </c>
      <c r="I2392" s="8">
        <f>IF(OR(D2392="",E2392=""),"",E2392*(1+D2392/30))</f>
        <v/>
      </c>
      <c r="J2392">
        <f>IF(I2392="","",IF(I2392&gt;=MAXIFS($I$2:$I$5001,$B$2:$B$5001,B2392,$A$2:$A$5001,"&lt;="&amp;A2392),"PR",""))</f>
        <v/>
      </c>
    </row>
    <row r="2393">
      <c r="A2393" s="7" t="n"/>
      <c r="H2393" s="11">
        <f>IF(OR(D2393="",E2393=""),"",D2393*E2393)</f>
        <v/>
      </c>
      <c r="I2393" s="8">
        <f>IF(OR(D2393="",E2393=""),"",E2393*(1+D2393/30))</f>
        <v/>
      </c>
      <c r="J2393">
        <f>IF(I2393="","",IF(I2393&gt;=MAXIFS($I$2:$I$5001,$B$2:$B$5001,B2393,$A$2:$A$5001,"&lt;="&amp;A2393),"PR",""))</f>
        <v/>
      </c>
    </row>
    <row r="2394">
      <c r="A2394" s="7" t="n"/>
      <c r="H2394" s="11">
        <f>IF(OR(D2394="",E2394=""),"",D2394*E2394)</f>
        <v/>
      </c>
      <c r="I2394" s="8">
        <f>IF(OR(D2394="",E2394=""),"",E2394*(1+D2394/30))</f>
        <v/>
      </c>
      <c r="J2394">
        <f>IF(I2394="","",IF(I2394&gt;=MAXIFS($I$2:$I$5001,$B$2:$B$5001,B2394,$A$2:$A$5001,"&lt;="&amp;A2394),"PR",""))</f>
        <v/>
      </c>
    </row>
    <row r="2395">
      <c r="A2395" s="7" t="n"/>
      <c r="H2395" s="11">
        <f>IF(OR(D2395="",E2395=""),"",D2395*E2395)</f>
        <v/>
      </c>
      <c r="I2395" s="8">
        <f>IF(OR(D2395="",E2395=""),"",E2395*(1+D2395/30))</f>
        <v/>
      </c>
      <c r="J2395">
        <f>IF(I2395="","",IF(I2395&gt;=MAXIFS($I$2:$I$5001,$B$2:$B$5001,B2395,$A$2:$A$5001,"&lt;="&amp;A2395),"PR",""))</f>
        <v/>
      </c>
    </row>
    <row r="2396">
      <c r="A2396" s="7" t="n"/>
      <c r="H2396" s="11">
        <f>IF(OR(D2396="",E2396=""),"",D2396*E2396)</f>
        <v/>
      </c>
      <c r="I2396" s="8">
        <f>IF(OR(D2396="",E2396=""),"",E2396*(1+D2396/30))</f>
        <v/>
      </c>
      <c r="J2396">
        <f>IF(I2396="","",IF(I2396&gt;=MAXIFS($I$2:$I$5001,$B$2:$B$5001,B2396,$A$2:$A$5001,"&lt;="&amp;A2396),"PR",""))</f>
        <v/>
      </c>
    </row>
    <row r="2397">
      <c r="A2397" s="7" t="n"/>
      <c r="H2397" s="11">
        <f>IF(OR(D2397="",E2397=""),"",D2397*E2397)</f>
        <v/>
      </c>
      <c r="I2397" s="8">
        <f>IF(OR(D2397="",E2397=""),"",E2397*(1+D2397/30))</f>
        <v/>
      </c>
      <c r="J2397">
        <f>IF(I2397="","",IF(I2397&gt;=MAXIFS($I$2:$I$5001,$B$2:$B$5001,B2397,$A$2:$A$5001,"&lt;="&amp;A2397),"PR",""))</f>
        <v/>
      </c>
    </row>
    <row r="2398">
      <c r="A2398" s="7" t="n"/>
      <c r="H2398" s="11">
        <f>IF(OR(D2398="",E2398=""),"",D2398*E2398)</f>
        <v/>
      </c>
      <c r="I2398" s="8">
        <f>IF(OR(D2398="",E2398=""),"",E2398*(1+D2398/30))</f>
        <v/>
      </c>
      <c r="J2398">
        <f>IF(I2398="","",IF(I2398&gt;=MAXIFS($I$2:$I$5001,$B$2:$B$5001,B2398,$A$2:$A$5001,"&lt;="&amp;A2398),"PR",""))</f>
        <v/>
      </c>
    </row>
    <row r="2399">
      <c r="A2399" s="7" t="n"/>
      <c r="H2399" s="11">
        <f>IF(OR(D2399="",E2399=""),"",D2399*E2399)</f>
        <v/>
      </c>
      <c r="I2399" s="8">
        <f>IF(OR(D2399="",E2399=""),"",E2399*(1+D2399/30))</f>
        <v/>
      </c>
      <c r="J2399">
        <f>IF(I2399="","",IF(I2399&gt;=MAXIFS($I$2:$I$5001,$B$2:$B$5001,B2399,$A$2:$A$5001,"&lt;="&amp;A2399),"PR",""))</f>
        <v/>
      </c>
    </row>
    <row r="2400">
      <c r="A2400" s="7" t="n"/>
      <c r="H2400" s="11">
        <f>IF(OR(D2400="",E2400=""),"",D2400*E2400)</f>
        <v/>
      </c>
      <c r="I2400" s="8">
        <f>IF(OR(D2400="",E2400=""),"",E2400*(1+D2400/30))</f>
        <v/>
      </c>
      <c r="J2400">
        <f>IF(I2400="","",IF(I2400&gt;=MAXIFS($I$2:$I$5001,$B$2:$B$5001,B2400,$A$2:$A$5001,"&lt;="&amp;A2400),"PR",""))</f>
        <v/>
      </c>
    </row>
    <row r="2401">
      <c r="A2401" s="7" t="n"/>
      <c r="H2401" s="11">
        <f>IF(OR(D2401="",E2401=""),"",D2401*E2401)</f>
        <v/>
      </c>
      <c r="I2401" s="8">
        <f>IF(OR(D2401="",E2401=""),"",E2401*(1+D2401/30))</f>
        <v/>
      </c>
      <c r="J2401">
        <f>IF(I2401="","",IF(I2401&gt;=MAXIFS($I$2:$I$5001,$B$2:$B$5001,B2401,$A$2:$A$5001,"&lt;="&amp;A2401),"PR",""))</f>
        <v/>
      </c>
    </row>
    <row r="2402">
      <c r="A2402" s="7" t="n"/>
      <c r="H2402" s="11">
        <f>IF(OR(D2402="",E2402=""),"",D2402*E2402)</f>
        <v/>
      </c>
      <c r="I2402" s="8">
        <f>IF(OR(D2402="",E2402=""),"",E2402*(1+D2402/30))</f>
        <v/>
      </c>
      <c r="J2402">
        <f>IF(I2402="","",IF(I2402&gt;=MAXIFS($I$2:$I$5001,$B$2:$B$5001,B2402,$A$2:$A$5001,"&lt;="&amp;A2402),"PR",""))</f>
        <v/>
      </c>
    </row>
    <row r="2403">
      <c r="A2403" s="7" t="n"/>
      <c r="H2403" s="11">
        <f>IF(OR(D2403="",E2403=""),"",D2403*E2403)</f>
        <v/>
      </c>
      <c r="I2403" s="8">
        <f>IF(OR(D2403="",E2403=""),"",E2403*(1+D2403/30))</f>
        <v/>
      </c>
      <c r="J2403">
        <f>IF(I2403="","",IF(I2403&gt;=MAXIFS($I$2:$I$5001,$B$2:$B$5001,B2403,$A$2:$A$5001,"&lt;="&amp;A2403),"PR",""))</f>
        <v/>
      </c>
    </row>
    <row r="2404">
      <c r="A2404" s="7" t="n"/>
      <c r="H2404" s="11">
        <f>IF(OR(D2404="",E2404=""),"",D2404*E2404)</f>
        <v/>
      </c>
      <c r="I2404" s="8">
        <f>IF(OR(D2404="",E2404=""),"",E2404*(1+D2404/30))</f>
        <v/>
      </c>
      <c r="J2404">
        <f>IF(I2404="","",IF(I2404&gt;=MAXIFS($I$2:$I$5001,$B$2:$B$5001,B2404,$A$2:$A$5001,"&lt;="&amp;A2404),"PR",""))</f>
        <v/>
      </c>
    </row>
    <row r="2405">
      <c r="A2405" s="7" t="n"/>
      <c r="H2405" s="11">
        <f>IF(OR(D2405="",E2405=""),"",D2405*E2405)</f>
        <v/>
      </c>
      <c r="I2405" s="8">
        <f>IF(OR(D2405="",E2405=""),"",E2405*(1+D2405/30))</f>
        <v/>
      </c>
      <c r="J2405">
        <f>IF(I2405="","",IF(I2405&gt;=MAXIFS($I$2:$I$5001,$B$2:$B$5001,B2405,$A$2:$A$5001,"&lt;="&amp;A2405),"PR",""))</f>
        <v/>
      </c>
    </row>
    <row r="2406">
      <c r="A2406" s="7" t="n"/>
      <c r="H2406" s="11">
        <f>IF(OR(D2406="",E2406=""),"",D2406*E2406)</f>
        <v/>
      </c>
      <c r="I2406" s="8">
        <f>IF(OR(D2406="",E2406=""),"",E2406*(1+D2406/30))</f>
        <v/>
      </c>
      <c r="J2406">
        <f>IF(I2406="","",IF(I2406&gt;=MAXIFS($I$2:$I$5001,$B$2:$B$5001,B2406,$A$2:$A$5001,"&lt;="&amp;A2406),"PR",""))</f>
        <v/>
      </c>
    </row>
    <row r="2407">
      <c r="A2407" s="7" t="n"/>
      <c r="H2407" s="11">
        <f>IF(OR(D2407="",E2407=""),"",D2407*E2407)</f>
        <v/>
      </c>
      <c r="I2407" s="8">
        <f>IF(OR(D2407="",E2407=""),"",E2407*(1+D2407/30))</f>
        <v/>
      </c>
      <c r="J2407">
        <f>IF(I2407="","",IF(I2407&gt;=MAXIFS($I$2:$I$5001,$B$2:$B$5001,B2407,$A$2:$A$5001,"&lt;="&amp;A2407),"PR",""))</f>
        <v/>
      </c>
    </row>
    <row r="2408">
      <c r="A2408" s="7" t="n"/>
      <c r="H2408" s="11">
        <f>IF(OR(D2408="",E2408=""),"",D2408*E2408)</f>
        <v/>
      </c>
      <c r="I2408" s="8">
        <f>IF(OR(D2408="",E2408=""),"",E2408*(1+D2408/30))</f>
        <v/>
      </c>
      <c r="J2408">
        <f>IF(I2408="","",IF(I2408&gt;=MAXIFS($I$2:$I$5001,$B$2:$B$5001,B2408,$A$2:$A$5001,"&lt;="&amp;A2408),"PR",""))</f>
        <v/>
      </c>
    </row>
    <row r="2409">
      <c r="A2409" s="7" t="n"/>
      <c r="H2409" s="11">
        <f>IF(OR(D2409="",E2409=""),"",D2409*E2409)</f>
        <v/>
      </c>
      <c r="I2409" s="8">
        <f>IF(OR(D2409="",E2409=""),"",E2409*(1+D2409/30))</f>
        <v/>
      </c>
      <c r="J2409">
        <f>IF(I2409="","",IF(I2409&gt;=MAXIFS($I$2:$I$5001,$B$2:$B$5001,B2409,$A$2:$A$5001,"&lt;="&amp;A2409),"PR",""))</f>
        <v/>
      </c>
    </row>
    <row r="2410">
      <c r="A2410" s="7" t="n"/>
      <c r="H2410" s="11">
        <f>IF(OR(D2410="",E2410=""),"",D2410*E2410)</f>
        <v/>
      </c>
      <c r="I2410" s="8">
        <f>IF(OR(D2410="",E2410=""),"",E2410*(1+D2410/30))</f>
        <v/>
      </c>
      <c r="J2410">
        <f>IF(I2410="","",IF(I2410&gt;=MAXIFS($I$2:$I$5001,$B$2:$B$5001,B2410,$A$2:$A$5001,"&lt;="&amp;A2410),"PR",""))</f>
        <v/>
      </c>
    </row>
    <row r="2411">
      <c r="A2411" s="7" t="n"/>
      <c r="H2411" s="11">
        <f>IF(OR(D2411="",E2411=""),"",D2411*E2411)</f>
        <v/>
      </c>
      <c r="I2411" s="8">
        <f>IF(OR(D2411="",E2411=""),"",E2411*(1+D2411/30))</f>
        <v/>
      </c>
      <c r="J2411">
        <f>IF(I2411="","",IF(I2411&gt;=MAXIFS($I$2:$I$5001,$B$2:$B$5001,B2411,$A$2:$A$5001,"&lt;="&amp;A2411),"PR",""))</f>
        <v/>
      </c>
    </row>
    <row r="2412">
      <c r="A2412" s="7" t="n"/>
      <c r="H2412" s="11">
        <f>IF(OR(D2412="",E2412=""),"",D2412*E2412)</f>
        <v/>
      </c>
      <c r="I2412" s="8">
        <f>IF(OR(D2412="",E2412=""),"",E2412*(1+D2412/30))</f>
        <v/>
      </c>
      <c r="J2412">
        <f>IF(I2412="","",IF(I2412&gt;=MAXIFS($I$2:$I$5001,$B$2:$B$5001,B2412,$A$2:$A$5001,"&lt;="&amp;A2412),"PR",""))</f>
        <v/>
      </c>
    </row>
    <row r="2413">
      <c r="A2413" s="7" t="n"/>
      <c r="H2413" s="11">
        <f>IF(OR(D2413="",E2413=""),"",D2413*E2413)</f>
        <v/>
      </c>
      <c r="I2413" s="8">
        <f>IF(OR(D2413="",E2413=""),"",E2413*(1+D2413/30))</f>
        <v/>
      </c>
      <c r="J2413">
        <f>IF(I2413="","",IF(I2413&gt;=MAXIFS($I$2:$I$5001,$B$2:$B$5001,B2413,$A$2:$A$5001,"&lt;="&amp;A2413),"PR",""))</f>
        <v/>
      </c>
    </row>
    <row r="2414">
      <c r="A2414" s="7" t="n"/>
      <c r="H2414" s="11">
        <f>IF(OR(D2414="",E2414=""),"",D2414*E2414)</f>
        <v/>
      </c>
      <c r="I2414" s="8">
        <f>IF(OR(D2414="",E2414=""),"",E2414*(1+D2414/30))</f>
        <v/>
      </c>
      <c r="J2414">
        <f>IF(I2414="","",IF(I2414&gt;=MAXIFS($I$2:$I$5001,$B$2:$B$5001,B2414,$A$2:$A$5001,"&lt;="&amp;A2414),"PR",""))</f>
        <v/>
      </c>
    </row>
    <row r="2415">
      <c r="A2415" s="7" t="n"/>
      <c r="H2415" s="11">
        <f>IF(OR(D2415="",E2415=""),"",D2415*E2415)</f>
        <v/>
      </c>
      <c r="I2415" s="8">
        <f>IF(OR(D2415="",E2415=""),"",E2415*(1+D2415/30))</f>
        <v/>
      </c>
      <c r="J2415">
        <f>IF(I2415="","",IF(I2415&gt;=MAXIFS($I$2:$I$5001,$B$2:$B$5001,B2415,$A$2:$A$5001,"&lt;="&amp;A2415),"PR",""))</f>
        <v/>
      </c>
    </row>
    <row r="2416">
      <c r="A2416" s="7" t="n"/>
      <c r="H2416" s="11">
        <f>IF(OR(D2416="",E2416=""),"",D2416*E2416)</f>
        <v/>
      </c>
      <c r="I2416" s="8">
        <f>IF(OR(D2416="",E2416=""),"",E2416*(1+D2416/30))</f>
        <v/>
      </c>
      <c r="J2416">
        <f>IF(I2416="","",IF(I2416&gt;=MAXIFS($I$2:$I$5001,$B$2:$B$5001,B2416,$A$2:$A$5001,"&lt;="&amp;A2416),"PR",""))</f>
        <v/>
      </c>
    </row>
    <row r="2417">
      <c r="A2417" s="7" t="n"/>
      <c r="H2417" s="11">
        <f>IF(OR(D2417="",E2417=""),"",D2417*E2417)</f>
        <v/>
      </c>
      <c r="I2417" s="8">
        <f>IF(OR(D2417="",E2417=""),"",E2417*(1+D2417/30))</f>
        <v/>
      </c>
      <c r="J2417">
        <f>IF(I2417="","",IF(I2417&gt;=MAXIFS($I$2:$I$5001,$B$2:$B$5001,B2417,$A$2:$A$5001,"&lt;="&amp;A2417),"PR",""))</f>
        <v/>
      </c>
    </row>
    <row r="2418">
      <c r="A2418" s="7" t="n"/>
      <c r="H2418" s="11">
        <f>IF(OR(D2418="",E2418=""),"",D2418*E2418)</f>
        <v/>
      </c>
      <c r="I2418" s="8">
        <f>IF(OR(D2418="",E2418=""),"",E2418*(1+D2418/30))</f>
        <v/>
      </c>
      <c r="J2418">
        <f>IF(I2418="","",IF(I2418&gt;=MAXIFS($I$2:$I$5001,$B$2:$B$5001,B2418,$A$2:$A$5001,"&lt;="&amp;A2418),"PR",""))</f>
        <v/>
      </c>
    </row>
    <row r="2419">
      <c r="A2419" s="7" t="n"/>
      <c r="H2419" s="11">
        <f>IF(OR(D2419="",E2419=""),"",D2419*E2419)</f>
        <v/>
      </c>
      <c r="I2419" s="8">
        <f>IF(OR(D2419="",E2419=""),"",E2419*(1+D2419/30))</f>
        <v/>
      </c>
      <c r="J2419">
        <f>IF(I2419="","",IF(I2419&gt;=MAXIFS($I$2:$I$5001,$B$2:$B$5001,B2419,$A$2:$A$5001,"&lt;="&amp;A2419),"PR",""))</f>
        <v/>
      </c>
    </row>
    <row r="2420">
      <c r="A2420" s="7" t="n"/>
      <c r="H2420" s="11">
        <f>IF(OR(D2420="",E2420=""),"",D2420*E2420)</f>
        <v/>
      </c>
      <c r="I2420" s="8">
        <f>IF(OR(D2420="",E2420=""),"",E2420*(1+D2420/30))</f>
        <v/>
      </c>
      <c r="J2420">
        <f>IF(I2420="","",IF(I2420&gt;=MAXIFS($I$2:$I$5001,$B$2:$B$5001,B2420,$A$2:$A$5001,"&lt;="&amp;A2420),"PR",""))</f>
        <v/>
      </c>
    </row>
    <row r="2421">
      <c r="A2421" s="7" t="n"/>
      <c r="H2421" s="11">
        <f>IF(OR(D2421="",E2421=""),"",D2421*E2421)</f>
        <v/>
      </c>
      <c r="I2421" s="8">
        <f>IF(OR(D2421="",E2421=""),"",E2421*(1+D2421/30))</f>
        <v/>
      </c>
      <c r="J2421">
        <f>IF(I2421="","",IF(I2421&gt;=MAXIFS($I$2:$I$5001,$B$2:$B$5001,B2421,$A$2:$A$5001,"&lt;="&amp;A2421),"PR",""))</f>
        <v/>
      </c>
    </row>
    <row r="2422">
      <c r="A2422" s="7" t="n"/>
      <c r="H2422" s="11">
        <f>IF(OR(D2422="",E2422=""),"",D2422*E2422)</f>
        <v/>
      </c>
      <c r="I2422" s="8">
        <f>IF(OR(D2422="",E2422=""),"",E2422*(1+D2422/30))</f>
        <v/>
      </c>
      <c r="J2422">
        <f>IF(I2422="","",IF(I2422&gt;=MAXIFS($I$2:$I$5001,$B$2:$B$5001,B2422,$A$2:$A$5001,"&lt;="&amp;A2422),"PR",""))</f>
        <v/>
      </c>
    </row>
    <row r="2423">
      <c r="A2423" s="7" t="n"/>
      <c r="H2423" s="11">
        <f>IF(OR(D2423="",E2423=""),"",D2423*E2423)</f>
        <v/>
      </c>
      <c r="I2423" s="8">
        <f>IF(OR(D2423="",E2423=""),"",E2423*(1+D2423/30))</f>
        <v/>
      </c>
      <c r="J2423">
        <f>IF(I2423="","",IF(I2423&gt;=MAXIFS($I$2:$I$5001,$B$2:$B$5001,B2423,$A$2:$A$5001,"&lt;="&amp;A2423),"PR",""))</f>
        <v/>
      </c>
    </row>
    <row r="2424">
      <c r="A2424" s="7" t="n"/>
      <c r="H2424" s="11">
        <f>IF(OR(D2424="",E2424=""),"",D2424*E2424)</f>
        <v/>
      </c>
      <c r="I2424" s="8">
        <f>IF(OR(D2424="",E2424=""),"",E2424*(1+D2424/30))</f>
        <v/>
      </c>
      <c r="J2424">
        <f>IF(I2424="","",IF(I2424&gt;=MAXIFS($I$2:$I$5001,$B$2:$B$5001,B2424,$A$2:$A$5001,"&lt;="&amp;A2424),"PR",""))</f>
        <v/>
      </c>
    </row>
    <row r="2425">
      <c r="A2425" s="7" t="n"/>
      <c r="H2425" s="11">
        <f>IF(OR(D2425="",E2425=""),"",D2425*E2425)</f>
        <v/>
      </c>
      <c r="I2425" s="8">
        <f>IF(OR(D2425="",E2425=""),"",E2425*(1+D2425/30))</f>
        <v/>
      </c>
      <c r="J2425">
        <f>IF(I2425="","",IF(I2425&gt;=MAXIFS($I$2:$I$5001,$B$2:$B$5001,B2425,$A$2:$A$5001,"&lt;="&amp;A2425),"PR",""))</f>
        <v/>
      </c>
    </row>
    <row r="2426">
      <c r="A2426" s="7" t="n"/>
      <c r="H2426" s="11">
        <f>IF(OR(D2426="",E2426=""),"",D2426*E2426)</f>
        <v/>
      </c>
      <c r="I2426" s="8">
        <f>IF(OR(D2426="",E2426=""),"",E2426*(1+D2426/30))</f>
        <v/>
      </c>
      <c r="J2426">
        <f>IF(I2426="","",IF(I2426&gt;=MAXIFS($I$2:$I$5001,$B$2:$B$5001,B2426,$A$2:$A$5001,"&lt;="&amp;A2426),"PR",""))</f>
        <v/>
      </c>
    </row>
    <row r="2427">
      <c r="A2427" s="7" t="n"/>
      <c r="H2427" s="11">
        <f>IF(OR(D2427="",E2427=""),"",D2427*E2427)</f>
        <v/>
      </c>
      <c r="I2427" s="8">
        <f>IF(OR(D2427="",E2427=""),"",E2427*(1+D2427/30))</f>
        <v/>
      </c>
      <c r="J2427">
        <f>IF(I2427="","",IF(I2427&gt;=MAXIFS($I$2:$I$5001,$B$2:$B$5001,B2427,$A$2:$A$5001,"&lt;="&amp;A2427),"PR",""))</f>
        <v/>
      </c>
    </row>
    <row r="2428">
      <c r="A2428" s="7" t="n"/>
      <c r="H2428" s="11">
        <f>IF(OR(D2428="",E2428=""),"",D2428*E2428)</f>
        <v/>
      </c>
      <c r="I2428" s="8">
        <f>IF(OR(D2428="",E2428=""),"",E2428*(1+D2428/30))</f>
        <v/>
      </c>
      <c r="J2428">
        <f>IF(I2428="","",IF(I2428&gt;=MAXIFS($I$2:$I$5001,$B$2:$B$5001,B2428,$A$2:$A$5001,"&lt;="&amp;A2428),"PR",""))</f>
        <v/>
      </c>
    </row>
    <row r="2429">
      <c r="A2429" s="7" t="n"/>
      <c r="H2429" s="11">
        <f>IF(OR(D2429="",E2429=""),"",D2429*E2429)</f>
        <v/>
      </c>
      <c r="I2429" s="8">
        <f>IF(OR(D2429="",E2429=""),"",E2429*(1+D2429/30))</f>
        <v/>
      </c>
      <c r="J2429">
        <f>IF(I2429="","",IF(I2429&gt;=MAXIFS($I$2:$I$5001,$B$2:$B$5001,B2429,$A$2:$A$5001,"&lt;="&amp;A2429),"PR",""))</f>
        <v/>
      </c>
    </row>
    <row r="2430">
      <c r="A2430" s="7" t="n"/>
      <c r="H2430" s="11">
        <f>IF(OR(D2430="",E2430=""),"",D2430*E2430)</f>
        <v/>
      </c>
      <c r="I2430" s="8">
        <f>IF(OR(D2430="",E2430=""),"",E2430*(1+D2430/30))</f>
        <v/>
      </c>
      <c r="J2430">
        <f>IF(I2430="","",IF(I2430&gt;=MAXIFS($I$2:$I$5001,$B$2:$B$5001,B2430,$A$2:$A$5001,"&lt;="&amp;A2430),"PR",""))</f>
        <v/>
      </c>
    </row>
    <row r="2431">
      <c r="A2431" s="7" t="n"/>
      <c r="H2431" s="11">
        <f>IF(OR(D2431="",E2431=""),"",D2431*E2431)</f>
        <v/>
      </c>
      <c r="I2431" s="8">
        <f>IF(OR(D2431="",E2431=""),"",E2431*(1+D2431/30))</f>
        <v/>
      </c>
      <c r="J2431">
        <f>IF(I2431="","",IF(I2431&gt;=MAXIFS($I$2:$I$5001,$B$2:$B$5001,B2431,$A$2:$A$5001,"&lt;="&amp;A2431),"PR",""))</f>
        <v/>
      </c>
    </row>
    <row r="2432">
      <c r="A2432" s="7" t="n"/>
      <c r="H2432" s="11">
        <f>IF(OR(D2432="",E2432=""),"",D2432*E2432)</f>
        <v/>
      </c>
      <c r="I2432" s="8">
        <f>IF(OR(D2432="",E2432=""),"",E2432*(1+D2432/30))</f>
        <v/>
      </c>
      <c r="J2432">
        <f>IF(I2432="","",IF(I2432&gt;=MAXIFS($I$2:$I$5001,$B$2:$B$5001,B2432,$A$2:$A$5001,"&lt;="&amp;A2432),"PR",""))</f>
        <v/>
      </c>
    </row>
    <row r="2433">
      <c r="A2433" s="7" t="n"/>
      <c r="H2433" s="11">
        <f>IF(OR(D2433="",E2433=""),"",D2433*E2433)</f>
        <v/>
      </c>
      <c r="I2433" s="8">
        <f>IF(OR(D2433="",E2433=""),"",E2433*(1+D2433/30))</f>
        <v/>
      </c>
      <c r="J2433">
        <f>IF(I2433="","",IF(I2433&gt;=MAXIFS($I$2:$I$5001,$B$2:$B$5001,B2433,$A$2:$A$5001,"&lt;="&amp;A2433),"PR",""))</f>
        <v/>
      </c>
    </row>
    <row r="2434">
      <c r="A2434" s="7" t="n"/>
      <c r="H2434" s="11">
        <f>IF(OR(D2434="",E2434=""),"",D2434*E2434)</f>
        <v/>
      </c>
      <c r="I2434" s="8">
        <f>IF(OR(D2434="",E2434=""),"",E2434*(1+D2434/30))</f>
        <v/>
      </c>
      <c r="J2434">
        <f>IF(I2434="","",IF(I2434&gt;=MAXIFS($I$2:$I$5001,$B$2:$B$5001,B2434,$A$2:$A$5001,"&lt;="&amp;A2434),"PR",""))</f>
        <v/>
      </c>
    </row>
    <row r="2435">
      <c r="A2435" s="7" t="n"/>
      <c r="H2435" s="11">
        <f>IF(OR(D2435="",E2435=""),"",D2435*E2435)</f>
        <v/>
      </c>
      <c r="I2435" s="8">
        <f>IF(OR(D2435="",E2435=""),"",E2435*(1+D2435/30))</f>
        <v/>
      </c>
      <c r="J2435">
        <f>IF(I2435="","",IF(I2435&gt;=MAXIFS($I$2:$I$5001,$B$2:$B$5001,B2435,$A$2:$A$5001,"&lt;="&amp;A2435),"PR",""))</f>
        <v/>
      </c>
    </row>
    <row r="2436">
      <c r="A2436" s="7" t="n"/>
      <c r="H2436" s="11">
        <f>IF(OR(D2436="",E2436=""),"",D2436*E2436)</f>
        <v/>
      </c>
      <c r="I2436" s="8">
        <f>IF(OR(D2436="",E2436=""),"",E2436*(1+D2436/30))</f>
        <v/>
      </c>
      <c r="J2436">
        <f>IF(I2436="","",IF(I2436&gt;=MAXIFS($I$2:$I$5001,$B$2:$B$5001,B2436,$A$2:$A$5001,"&lt;="&amp;A2436),"PR",""))</f>
        <v/>
      </c>
    </row>
    <row r="2437">
      <c r="A2437" s="7" t="n"/>
      <c r="H2437" s="11">
        <f>IF(OR(D2437="",E2437=""),"",D2437*E2437)</f>
        <v/>
      </c>
      <c r="I2437" s="8">
        <f>IF(OR(D2437="",E2437=""),"",E2437*(1+D2437/30))</f>
        <v/>
      </c>
      <c r="J2437">
        <f>IF(I2437="","",IF(I2437&gt;=MAXIFS($I$2:$I$5001,$B$2:$B$5001,B2437,$A$2:$A$5001,"&lt;="&amp;A2437),"PR",""))</f>
        <v/>
      </c>
    </row>
    <row r="2438">
      <c r="A2438" s="7" t="n"/>
      <c r="H2438" s="11">
        <f>IF(OR(D2438="",E2438=""),"",D2438*E2438)</f>
        <v/>
      </c>
      <c r="I2438" s="8">
        <f>IF(OR(D2438="",E2438=""),"",E2438*(1+D2438/30))</f>
        <v/>
      </c>
      <c r="J2438">
        <f>IF(I2438="","",IF(I2438&gt;=MAXIFS($I$2:$I$5001,$B$2:$B$5001,B2438,$A$2:$A$5001,"&lt;="&amp;A2438),"PR",""))</f>
        <v/>
      </c>
    </row>
    <row r="2439">
      <c r="A2439" s="7" t="n"/>
      <c r="H2439" s="11">
        <f>IF(OR(D2439="",E2439=""),"",D2439*E2439)</f>
        <v/>
      </c>
      <c r="I2439" s="8">
        <f>IF(OR(D2439="",E2439=""),"",E2439*(1+D2439/30))</f>
        <v/>
      </c>
      <c r="J2439">
        <f>IF(I2439="","",IF(I2439&gt;=MAXIFS($I$2:$I$5001,$B$2:$B$5001,B2439,$A$2:$A$5001,"&lt;="&amp;A2439),"PR",""))</f>
        <v/>
      </c>
    </row>
    <row r="2440">
      <c r="A2440" s="7" t="n"/>
      <c r="H2440" s="11">
        <f>IF(OR(D2440="",E2440=""),"",D2440*E2440)</f>
        <v/>
      </c>
      <c r="I2440" s="8">
        <f>IF(OR(D2440="",E2440=""),"",E2440*(1+D2440/30))</f>
        <v/>
      </c>
      <c r="J2440">
        <f>IF(I2440="","",IF(I2440&gt;=MAXIFS($I$2:$I$5001,$B$2:$B$5001,B2440,$A$2:$A$5001,"&lt;="&amp;A2440),"PR",""))</f>
        <v/>
      </c>
    </row>
    <row r="2441">
      <c r="A2441" s="7" t="n"/>
      <c r="H2441" s="11">
        <f>IF(OR(D2441="",E2441=""),"",D2441*E2441)</f>
        <v/>
      </c>
      <c r="I2441" s="8">
        <f>IF(OR(D2441="",E2441=""),"",E2441*(1+D2441/30))</f>
        <v/>
      </c>
      <c r="J2441">
        <f>IF(I2441="","",IF(I2441&gt;=MAXIFS($I$2:$I$5001,$B$2:$B$5001,B2441,$A$2:$A$5001,"&lt;="&amp;A2441),"PR",""))</f>
        <v/>
      </c>
    </row>
    <row r="2442">
      <c r="A2442" s="7" t="n"/>
      <c r="H2442" s="11">
        <f>IF(OR(D2442="",E2442=""),"",D2442*E2442)</f>
        <v/>
      </c>
      <c r="I2442" s="8">
        <f>IF(OR(D2442="",E2442=""),"",E2442*(1+D2442/30))</f>
        <v/>
      </c>
      <c r="J2442">
        <f>IF(I2442="","",IF(I2442&gt;=MAXIFS($I$2:$I$5001,$B$2:$B$5001,B2442,$A$2:$A$5001,"&lt;="&amp;A2442),"PR",""))</f>
        <v/>
      </c>
    </row>
    <row r="2443">
      <c r="A2443" s="7" t="n"/>
      <c r="H2443" s="11">
        <f>IF(OR(D2443="",E2443=""),"",D2443*E2443)</f>
        <v/>
      </c>
      <c r="I2443" s="8">
        <f>IF(OR(D2443="",E2443=""),"",E2443*(1+D2443/30))</f>
        <v/>
      </c>
      <c r="J2443">
        <f>IF(I2443="","",IF(I2443&gt;=MAXIFS($I$2:$I$5001,$B$2:$B$5001,B2443,$A$2:$A$5001,"&lt;="&amp;A2443),"PR",""))</f>
        <v/>
      </c>
    </row>
    <row r="2444">
      <c r="A2444" s="7" t="n"/>
      <c r="H2444" s="11">
        <f>IF(OR(D2444="",E2444=""),"",D2444*E2444)</f>
        <v/>
      </c>
      <c r="I2444" s="8">
        <f>IF(OR(D2444="",E2444=""),"",E2444*(1+D2444/30))</f>
        <v/>
      </c>
      <c r="J2444">
        <f>IF(I2444="","",IF(I2444&gt;=MAXIFS($I$2:$I$5001,$B$2:$B$5001,B2444,$A$2:$A$5001,"&lt;="&amp;A2444),"PR",""))</f>
        <v/>
      </c>
    </row>
    <row r="2445">
      <c r="A2445" s="7" t="n"/>
      <c r="H2445" s="11">
        <f>IF(OR(D2445="",E2445=""),"",D2445*E2445)</f>
        <v/>
      </c>
      <c r="I2445" s="8">
        <f>IF(OR(D2445="",E2445=""),"",E2445*(1+D2445/30))</f>
        <v/>
      </c>
      <c r="J2445">
        <f>IF(I2445="","",IF(I2445&gt;=MAXIFS($I$2:$I$5001,$B$2:$B$5001,B2445,$A$2:$A$5001,"&lt;="&amp;A2445),"PR",""))</f>
        <v/>
      </c>
    </row>
    <row r="2446">
      <c r="A2446" s="7" t="n"/>
      <c r="H2446" s="11">
        <f>IF(OR(D2446="",E2446=""),"",D2446*E2446)</f>
        <v/>
      </c>
      <c r="I2446" s="8">
        <f>IF(OR(D2446="",E2446=""),"",E2446*(1+D2446/30))</f>
        <v/>
      </c>
      <c r="J2446">
        <f>IF(I2446="","",IF(I2446&gt;=MAXIFS($I$2:$I$5001,$B$2:$B$5001,B2446,$A$2:$A$5001,"&lt;="&amp;A2446),"PR",""))</f>
        <v/>
      </c>
    </row>
    <row r="2447">
      <c r="A2447" s="7" t="n"/>
      <c r="H2447" s="11">
        <f>IF(OR(D2447="",E2447=""),"",D2447*E2447)</f>
        <v/>
      </c>
      <c r="I2447" s="8">
        <f>IF(OR(D2447="",E2447=""),"",E2447*(1+D2447/30))</f>
        <v/>
      </c>
      <c r="J2447">
        <f>IF(I2447="","",IF(I2447&gt;=MAXIFS($I$2:$I$5001,$B$2:$B$5001,B2447,$A$2:$A$5001,"&lt;="&amp;A2447),"PR",""))</f>
        <v/>
      </c>
    </row>
    <row r="2448">
      <c r="A2448" s="7" t="n"/>
      <c r="H2448" s="11">
        <f>IF(OR(D2448="",E2448=""),"",D2448*E2448)</f>
        <v/>
      </c>
      <c r="I2448" s="8">
        <f>IF(OR(D2448="",E2448=""),"",E2448*(1+D2448/30))</f>
        <v/>
      </c>
      <c r="J2448">
        <f>IF(I2448="","",IF(I2448&gt;=MAXIFS($I$2:$I$5001,$B$2:$B$5001,B2448,$A$2:$A$5001,"&lt;="&amp;A2448),"PR",""))</f>
        <v/>
      </c>
    </row>
    <row r="2449">
      <c r="A2449" s="7" t="n"/>
      <c r="H2449" s="11">
        <f>IF(OR(D2449="",E2449=""),"",D2449*E2449)</f>
        <v/>
      </c>
      <c r="I2449" s="8">
        <f>IF(OR(D2449="",E2449=""),"",E2449*(1+D2449/30))</f>
        <v/>
      </c>
      <c r="J2449">
        <f>IF(I2449="","",IF(I2449&gt;=MAXIFS($I$2:$I$5001,$B$2:$B$5001,B2449,$A$2:$A$5001,"&lt;="&amp;A2449),"PR",""))</f>
        <v/>
      </c>
    </row>
    <row r="2450">
      <c r="A2450" s="7" t="n"/>
      <c r="H2450" s="11">
        <f>IF(OR(D2450="",E2450=""),"",D2450*E2450)</f>
        <v/>
      </c>
      <c r="I2450" s="8">
        <f>IF(OR(D2450="",E2450=""),"",E2450*(1+D2450/30))</f>
        <v/>
      </c>
      <c r="J2450">
        <f>IF(I2450="","",IF(I2450&gt;=MAXIFS($I$2:$I$5001,$B$2:$B$5001,B2450,$A$2:$A$5001,"&lt;="&amp;A2450),"PR",""))</f>
        <v/>
      </c>
    </row>
    <row r="2451">
      <c r="A2451" s="7" t="n"/>
      <c r="H2451" s="11">
        <f>IF(OR(D2451="",E2451=""),"",D2451*E2451)</f>
        <v/>
      </c>
      <c r="I2451" s="8">
        <f>IF(OR(D2451="",E2451=""),"",E2451*(1+D2451/30))</f>
        <v/>
      </c>
      <c r="J2451">
        <f>IF(I2451="","",IF(I2451&gt;=MAXIFS($I$2:$I$5001,$B$2:$B$5001,B2451,$A$2:$A$5001,"&lt;="&amp;A2451),"PR",""))</f>
        <v/>
      </c>
    </row>
    <row r="2452">
      <c r="A2452" s="7" t="n"/>
      <c r="H2452" s="11">
        <f>IF(OR(D2452="",E2452=""),"",D2452*E2452)</f>
        <v/>
      </c>
      <c r="I2452" s="8">
        <f>IF(OR(D2452="",E2452=""),"",E2452*(1+D2452/30))</f>
        <v/>
      </c>
      <c r="J2452">
        <f>IF(I2452="","",IF(I2452&gt;=MAXIFS($I$2:$I$5001,$B$2:$B$5001,B2452,$A$2:$A$5001,"&lt;="&amp;A2452),"PR",""))</f>
        <v/>
      </c>
    </row>
    <row r="2453">
      <c r="A2453" s="7" t="n"/>
      <c r="H2453" s="11">
        <f>IF(OR(D2453="",E2453=""),"",D2453*E2453)</f>
        <v/>
      </c>
      <c r="I2453" s="8">
        <f>IF(OR(D2453="",E2453=""),"",E2453*(1+D2453/30))</f>
        <v/>
      </c>
      <c r="J2453">
        <f>IF(I2453="","",IF(I2453&gt;=MAXIFS($I$2:$I$5001,$B$2:$B$5001,B2453,$A$2:$A$5001,"&lt;="&amp;A2453),"PR",""))</f>
        <v/>
      </c>
    </row>
    <row r="2454">
      <c r="A2454" s="7" t="n"/>
      <c r="H2454" s="11">
        <f>IF(OR(D2454="",E2454=""),"",D2454*E2454)</f>
        <v/>
      </c>
      <c r="I2454" s="8">
        <f>IF(OR(D2454="",E2454=""),"",E2454*(1+D2454/30))</f>
        <v/>
      </c>
      <c r="J2454">
        <f>IF(I2454="","",IF(I2454&gt;=MAXIFS($I$2:$I$5001,$B$2:$B$5001,B2454,$A$2:$A$5001,"&lt;="&amp;A2454),"PR",""))</f>
        <v/>
      </c>
    </row>
    <row r="2455">
      <c r="A2455" s="7" t="n"/>
      <c r="H2455" s="11">
        <f>IF(OR(D2455="",E2455=""),"",D2455*E2455)</f>
        <v/>
      </c>
      <c r="I2455" s="8">
        <f>IF(OR(D2455="",E2455=""),"",E2455*(1+D2455/30))</f>
        <v/>
      </c>
      <c r="J2455">
        <f>IF(I2455="","",IF(I2455&gt;=MAXIFS($I$2:$I$5001,$B$2:$B$5001,B2455,$A$2:$A$5001,"&lt;="&amp;A2455),"PR",""))</f>
        <v/>
      </c>
    </row>
    <row r="2456">
      <c r="A2456" s="7" t="n"/>
      <c r="H2456" s="11">
        <f>IF(OR(D2456="",E2456=""),"",D2456*E2456)</f>
        <v/>
      </c>
      <c r="I2456" s="8">
        <f>IF(OR(D2456="",E2456=""),"",E2456*(1+D2456/30))</f>
        <v/>
      </c>
      <c r="J2456">
        <f>IF(I2456="","",IF(I2456&gt;=MAXIFS($I$2:$I$5001,$B$2:$B$5001,B2456,$A$2:$A$5001,"&lt;="&amp;A2456),"PR",""))</f>
        <v/>
      </c>
    </row>
    <row r="2457">
      <c r="A2457" s="7" t="n"/>
      <c r="H2457" s="11">
        <f>IF(OR(D2457="",E2457=""),"",D2457*E2457)</f>
        <v/>
      </c>
      <c r="I2457" s="8">
        <f>IF(OR(D2457="",E2457=""),"",E2457*(1+D2457/30))</f>
        <v/>
      </c>
      <c r="J2457">
        <f>IF(I2457="","",IF(I2457&gt;=MAXIFS($I$2:$I$5001,$B$2:$B$5001,B2457,$A$2:$A$5001,"&lt;="&amp;A2457),"PR",""))</f>
        <v/>
      </c>
    </row>
    <row r="2458">
      <c r="A2458" s="7" t="n"/>
      <c r="H2458" s="11">
        <f>IF(OR(D2458="",E2458=""),"",D2458*E2458)</f>
        <v/>
      </c>
      <c r="I2458" s="8">
        <f>IF(OR(D2458="",E2458=""),"",E2458*(1+D2458/30))</f>
        <v/>
      </c>
      <c r="J2458">
        <f>IF(I2458="","",IF(I2458&gt;=MAXIFS($I$2:$I$5001,$B$2:$B$5001,B2458,$A$2:$A$5001,"&lt;="&amp;A2458),"PR",""))</f>
        <v/>
      </c>
    </row>
    <row r="2459">
      <c r="A2459" s="7" t="n"/>
      <c r="H2459" s="11">
        <f>IF(OR(D2459="",E2459=""),"",D2459*E2459)</f>
        <v/>
      </c>
      <c r="I2459" s="8">
        <f>IF(OR(D2459="",E2459=""),"",E2459*(1+D2459/30))</f>
        <v/>
      </c>
      <c r="J2459">
        <f>IF(I2459="","",IF(I2459&gt;=MAXIFS($I$2:$I$5001,$B$2:$B$5001,B2459,$A$2:$A$5001,"&lt;="&amp;A2459),"PR",""))</f>
        <v/>
      </c>
    </row>
    <row r="2460">
      <c r="A2460" s="7" t="n"/>
      <c r="H2460" s="11">
        <f>IF(OR(D2460="",E2460=""),"",D2460*E2460)</f>
        <v/>
      </c>
      <c r="I2460" s="8">
        <f>IF(OR(D2460="",E2460=""),"",E2460*(1+D2460/30))</f>
        <v/>
      </c>
      <c r="J2460">
        <f>IF(I2460="","",IF(I2460&gt;=MAXIFS($I$2:$I$5001,$B$2:$B$5001,B2460,$A$2:$A$5001,"&lt;="&amp;A2460),"PR",""))</f>
        <v/>
      </c>
    </row>
    <row r="2461">
      <c r="A2461" s="7" t="n"/>
      <c r="H2461" s="11">
        <f>IF(OR(D2461="",E2461=""),"",D2461*E2461)</f>
        <v/>
      </c>
      <c r="I2461" s="8">
        <f>IF(OR(D2461="",E2461=""),"",E2461*(1+D2461/30))</f>
        <v/>
      </c>
      <c r="J2461">
        <f>IF(I2461="","",IF(I2461&gt;=MAXIFS($I$2:$I$5001,$B$2:$B$5001,B2461,$A$2:$A$5001,"&lt;="&amp;A2461),"PR",""))</f>
        <v/>
      </c>
    </row>
    <row r="2462">
      <c r="A2462" s="7" t="n"/>
      <c r="H2462" s="11">
        <f>IF(OR(D2462="",E2462=""),"",D2462*E2462)</f>
        <v/>
      </c>
      <c r="I2462" s="8">
        <f>IF(OR(D2462="",E2462=""),"",E2462*(1+D2462/30))</f>
        <v/>
      </c>
      <c r="J2462">
        <f>IF(I2462="","",IF(I2462&gt;=MAXIFS($I$2:$I$5001,$B$2:$B$5001,B2462,$A$2:$A$5001,"&lt;="&amp;A2462),"PR",""))</f>
        <v/>
      </c>
    </row>
    <row r="2463">
      <c r="A2463" s="7" t="n"/>
      <c r="H2463" s="11">
        <f>IF(OR(D2463="",E2463=""),"",D2463*E2463)</f>
        <v/>
      </c>
      <c r="I2463" s="8">
        <f>IF(OR(D2463="",E2463=""),"",E2463*(1+D2463/30))</f>
        <v/>
      </c>
      <c r="J2463">
        <f>IF(I2463="","",IF(I2463&gt;=MAXIFS($I$2:$I$5001,$B$2:$B$5001,B2463,$A$2:$A$5001,"&lt;="&amp;A2463),"PR",""))</f>
        <v/>
      </c>
    </row>
    <row r="2464">
      <c r="A2464" s="7" t="n"/>
      <c r="H2464" s="11">
        <f>IF(OR(D2464="",E2464=""),"",D2464*E2464)</f>
        <v/>
      </c>
      <c r="I2464" s="8">
        <f>IF(OR(D2464="",E2464=""),"",E2464*(1+D2464/30))</f>
        <v/>
      </c>
      <c r="J2464">
        <f>IF(I2464="","",IF(I2464&gt;=MAXIFS($I$2:$I$5001,$B$2:$B$5001,B2464,$A$2:$A$5001,"&lt;="&amp;A2464),"PR",""))</f>
        <v/>
      </c>
    </row>
    <row r="2465">
      <c r="A2465" s="7" t="n"/>
      <c r="H2465" s="11">
        <f>IF(OR(D2465="",E2465=""),"",D2465*E2465)</f>
        <v/>
      </c>
      <c r="I2465" s="8">
        <f>IF(OR(D2465="",E2465=""),"",E2465*(1+D2465/30))</f>
        <v/>
      </c>
      <c r="J2465">
        <f>IF(I2465="","",IF(I2465&gt;=MAXIFS($I$2:$I$5001,$B$2:$B$5001,B2465,$A$2:$A$5001,"&lt;="&amp;A2465),"PR",""))</f>
        <v/>
      </c>
    </row>
    <row r="2466">
      <c r="A2466" s="7" t="n"/>
      <c r="H2466" s="11">
        <f>IF(OR(D2466="",E2466=""),"",D2466*E2466)</f>
        <v/>
      </c>
      <c r="I2466" s="8">
        <f>IF(OR(D2466="",E2466=""),"",E2466*(1+D2466/30))</f>
        <v/>
      </c>
      <c r="J2466">
        <f>IF(I2466="","",IF(I2466&gt;=MAXIFS($I$2:$I$5001,$B$2:$B$5001,B2466,$A$2:$A$5001,"&lt;="&amp;A2466),"PR",""))</f>
        <v/>
      </c>
    </row>
    <row r="2467">
      <c r="A2467" s="7" t="n"/>
      <c r="H2467" s="11">
        <f>IF(OR(D2467="",E2467=""),"",D2467*E2467)</f>
        <v/>
      </c>
      <c r="I2467" s="8">
        <f>IF(OR(D2467="",E2467=""),"",E2467*(1+D2467/30))</f>
        <v/>
      </c>
      <c r="J2467">
        <f>IF(I2467="","",IF(I2467&gt;=MAXIFS($I$2:$I$5001,$B$2:$B$5001,B2467,$A$2:$A$5001,"&lt;="&amp;A2467),"PR",""))</f>
        <v/>
      </c>
    </row>
    <row r="2468">
      <c r="A2468" s="7" t="n"/>
      <c r="H2468" s="11">
        <f>IF(OR(D2468="",E2468=""),"",D2468*E2468)</f>
        <v/>
      </c>
      <c r="I2468" s="8">
        <f>IF(OR(D2468="",E2468=""),"",E2468*(1+D2468/30))</f>
        <v/>
      </c>
      <c r="J2468">
        <f>IF(I2468="","",IF(I2468&gt;=MAXIFS($I$2:$I$5001,$B$2:$B$5001,B2468,$A$2:$A$5001,"&lt;="&amp;A2468),"PR",""))</f>
        <v/>
      </c>
    </row>
    <row r="2469">
      <c r="A2469" s="7" t="n"/>
      <c r="H2469" s="11">
        <f>IF(OR(D2469="",E2469=""),"",D2469*E2469)</f>
        <v/>
      </c>
      <c r="I2469" s="8">
        <f>IF(OR(D2469="",E2469=""),"",E2469*(1+D2469/30))</f>
        <v/>
      </c>
      <c r="J2469">
        <f>IF(I2469="","",IF(I2469&gt;=MAXIFS($I$2:$I$5001,$B$2:$B$5001,B2469,$A$2:$A$5001,"&lt;="&amp;A2469),"PR",""))</f>
        <v/>
      </c>
    </row>
    <row r="2470">
      <c r="A2470" s="7" t="n"/>
      <c r="H2470" s="11">
        <f>IF(OR(D2470="",E2470=""),"",D2470*E2470)</f>
        <v/>
      </c>
      <c r="I2470" s="8">
        <f>IF(OR(D2470="",E2470=""),"",E2470*(1+D2470/30))</f>
        <v/>
      </c>
      <c r="J2470">
        <f>IF(I2470="","",IF(I2470&gt;=MAXIFS($I$2:$I$5001,$B$2:$B$5001,B2470,$A$2:$A$5001,"&lt;="&amp;A2470),"PR",""))</f>
        <v/>
      </c>
    </row>
    <row r="2471">
      <c r="A2471" s="7" t="n"/>
      <c r="H2471" s="11">
        <f>IF(OR(D2471="",E2471=""),"",D2471*E2471)</f>
        <v/>
      </c>
      <c r="I2471" s="8">
        <f>IF(OR(D2471="",E2471=""),"",E2471*(1+D2471/30))</f>
        <v/>
      </c>
      <c r="J2471">
        <f>IF(I2471="","",IF(I2471&gt;=MAXIFS($I$2:$I$5001,$B$2:$B$5001,B2471,$A$2:$A$5001,"&lt;="&amp;A2471),"PR",""))</f>
        <v/>
      </c>
    </row>
    <row r="2472">
      <c r="A2472" s="7" t="n"/>
      <c r="H2472" s="11">
        <f>IF(OR(D2472="",E2472=""),"",D2472*E2472)</f>
        <v/>
      </c>
      <c r="I2472" s="8">
        <f>IF(OR(D2472="",E2472=""),"",E2472*(1+D2472/30))</f>
        <v/>
      </c>
      <c r="J2472">
        <f>IF(I2472="","",IF(I2472&gt;=MAXIFS($I$2:$I$5001,$B$2:$B$5001,B2472,$A$2:$A$5001,"&lt;="&amp;A2472),"PR",""))</f>
        <v/>
      </c>
    </row>
    <row r="2473">
      <c r="A2473" s="7" t="n"/>
      <c r="H2473" s="11">
        <f>IF(OR(D2473="",E2473=""),"",D2473*E2473)</f>
        <v/>
      </c>
      <c r="I2473" s="8">
        <f>IF(OR(D2473="",E2473=""),"",E2473*(1+D2473/30))</f>
        <v/>
      </c>
      <c r="J2473">
        <f>IF(I2473="","",IF(I2473&gt;=MAXIFS($I$2:$I$5001,$B$2:$B$5001,B2473,$A$2:$A$5001,"&lt;="&amp;A2473),"PR",""))</f>
        <v/>
      </c>
    </row>
    <row r="2474">
      <c r="A2474" s="7" t="n"/>
      <c r="H2474" s="11">
        <f>IF(OR(D2474="",E2474=""),"",D2474*E2474)</f>
        <v/>
      </c>
      <c r="I2474" s="8">
        <f>IF(OR(D2474="",E2474=""),"",E2474*(1+D2474/30))</f>
        <v/>
      </c>
      <c r="J2474">
        <f>IF(I2474="","",IF(I2474&gt;=MAXIFS($I$2:$I$5001,$B$2:$B$5001,B2474,$A$2:$A$5001,"&lt;="&amp;A2474),"PR",""))</f>
        <v/>
      </c>
    </row>
    <row r="2475">
      <c r="A2475" s="7" t="n"/>
      <c r="H2475" s="11">
        <f>IF(OR(D2475="",E2475=""),"",D2475*E2475)</f>
        <v/>
      </c>
      <c r="I2475" s="8">
        <f>IF(OR(D2475="",E2475=""),"",E2475*(1+D2475/30))</f>
        <v/>
      </c>
      <c r="J2475">
        <f>IF(I2475="","",IF(I2475&gt;=MAXIFS($I$2:$I$5001,$B$2:$B$5001,B2475,$A$2:$A$5001,"&lt;="&amp;A2475),"PR",""))</f>
        <v/>
      </c>
    </row>
    <row r="2476">
      <c r="A2476" s="7" t="n"/>
      <c r="H2476" s="11">
        <f>IF(OR(D2476="",E2476=""),"",D2476*E2476)</f>
        <v/>
      </c>
      <c r="I2476" s="8">
        <f>IF(OR(D2476="",E2476=""),"",E2476*(1+D2476/30))</f>
        <v/>
      </c>
      <c r="J2476">
        <f>IF(I2476="","",IF(I2476&gt;=MAXIFS($I$2:$I$5001,$B$2:$B$5001,B2476,$A$2:$A$5001,"&lt;="&amp;A2476),"PR",""))</f>
        <v/>
      </c>
    </row>
    <row r="2477">
      <c r="A2477" s="7" t="n"/>
      <c r="H2477" s="11">
        <f>IF(OR(D2477="",E2477=""),"",D2477*E2477)</f>
        <v/>
      </c>
      <c r="I2477" s="8">
        <f>IF(OR(D2477="",E2477=""),"",E2477*(1+D2477/30))</f>
        <v/>
      </c>
      <c r="J2477">
        <f>IF(I2477="","",IF(I2477&gt;=MAXIFS($I$2:$I$5001,$B$2:$B$5001,B2477,$A$2:$A$5001,"&lt;="&amp;A2477),"PR",""))</f>
        <v/>
      </c>
    </row>
    <row r="2478">
      <c r="A2478" s="7" t="n"/>
      <c r="H2478" s="11">
        <f>IF(OR(D2478="",E2478=""),"",D2478*E2478)</f>
        <v/>
      </c>
      <c r="I2478" s="8">
        <f>IF(OR(D2478="",E2478=""),"",E2478*(1+D2478/30))</f>
        <v/>
      </c>
      <c r="J2478">
        <f>IF(I2478="","",IF(I2478&gt;=MAXIFS($I$2:$I$5001,$B$2:$B$5001,B2478,$A$2:$A$5001,"&lt;="&amp;A2478),"PR",""))</f>
        <v/>
      </c>
    </row>
    <row r="2479">
      <c r="A2479" s="7" t="n"/>
      <c r="H2479" s="11">
        <f>IF(OR(D2479="",E2479=""),"",D2479*E2479)</f>
        <v/>
      </c>
      <c r="I2479" s="8">
        <f>IF(OR(D2479="",E2479=""),"",E2479*(1+D2479/30))</f>
        <v/>
      </c>
      <c r="J2479">
        <f>IF(I2479="","",IF(I2479&gt;=MAXIFS($I$2:$I$5001,$B$2:$B$5001,B2479,$A$2:$A$5001,"&lt;="&amp;A2479),"PR",""))</f>
        <v/>
      </c>
    </row>
    <row r="2480">
      <c r="A2480" s="7" t="n"/>
      <c r="H2480" s="11">
        <f>IF(OR(D2480="",E2480=""),"",D2480*E2480)</f>
        <v/>
      </c>
      <c r="I2480" s="8">
        <f>IF(OR(D2480="",E2480=""),"",E2480*(1+D2480/30))</f>
        <v/>
      </c>
      <c r="J2480">
        <f>IF(I2480="","",IF(I2480&gt;=MAXIFS($I$2:$I$5001,$B$2:$B$5001,B2480,$A$2:$A$5001,"&lt;="&amp;A2480),"PR",""))</f>
        <v/>
      </c>
    </row>
    <row r="2481">
      <c r="A2481" s="7" t="n"/>
      <c r="H2481" s="11">
        <f>IF(OR(D2481="",E2481=""),"",D2481*E2481)</f>
        <v/>
      </c>
      <c r="I2481" s="8">
        <f>IF(OR(D2481="",E2481=""),"",E2481*(1+D2481/30))</f>
        <v/>
      </c>
      <c r="J2481">
        <f>IF(I2481="","",IF(I2481&gt;=MAXIFS($I$2:$I$5001,$B$2:$B$5001,B2481,$A$2:$A$5001,"&lt;="&amp;A2481),"PR",""))</f>
        <v/>
      </c>
    </row>
    <row r="2482">
      <c r="A2482" s="7" t="n"/>
      <c r="H2482" s="11">
        <f>IF(OR(D2482="",E2482=""),"",D2482*E2482)</f>
        <v/>
      </c>
      <c r="I2482" s="8">
        <f>IF(OR(D2482="",E2482=""),"",E2482*(1+D2482/30))</f>
        <v/>
      </c>
      <c r="J2482">
        <f>IF(I2482="","",IF(I2482&gt;=MAXIFS($I$2:$I$5001,$B$2:$B$5001,B2482,$A$2:$A$5001,"&lt;="&amp;A2482),"PR",""))</f>
        <v/>
      </c>
    </row>
    <row r="2483">
      <c r="A2483" s="7" t="n"/>
      <c r="H2483" s="11">
        <f>IF(OR(D2483="",E2483=""),"",D2483*E2483)</f>
        <v/>
      </c>
      <c r="I2483" s="8">
        <f>IF(OR(D2483="",E2483=""),"",E2483*(1+D2483/30))</f>
        <v/>
      </c>
      <c r="J2483">
        <f>IF(I2483="","",IF(I2483&gt;=MAXIFS($I$2:$I$5001,$B$2:$B$5001,B2483,$A$2:$A$5001,"&lt;="&amp;A2483),"PR",""))</f>
        <v/>
      </c>
    </row>
    <row r="2484">
      <c r="A2484" s="7" t="n"/>
      <c r="H2484" s="11">
        <f>IF(OR(D2484="",E2484=""),"",D2484*E2484)</f>
        <v/>
      </c>
      <c r="I2484" s="8">
        <f>IF(OR(D2484="",E2484=""),"",E2484*(1+D2484/30))</f>
        <v/>
      </c>
      <c r="J2484">
        <f>IF(I2484="","",IF(I2484&gt;=MAXIFS($I$2:$I$5001,$B$2:$B$5001,B2484,$A$2:$A$5001,"&lt;="&amp;A2484),"PR",""))</f>
        <v/>
      </c>
    </row>
    <row r="2485">
      <c r="A2485" s="7" t="n"/>
      <c r="H2485" s="11">
        <f>IF(OR(D2485="",E2485=""),"",D2485*E2485)</f>
        <v/>
      </c>
      <c r="I2485" s="8">
        <f>IF(OR(D2485="",E2485=""),"",E2485*(1+D2485/30))</f>
        <v/>
      </c>
      <c r="J2485">
        <f>IF(I2485="","",IF(I2485&gt;=MAXIFS($I$2:$I$5001,$B$2:$B$5001,B2485,$A$2:$A$5001,"&lt;="&amp;A2485),"PR",""))</f>
        <v/>
      </c>
    </row>
    <row r="2486">
      <c r="A2486" s="7" t="n"/>
      <c r="H2486" s="11">
        <f>IF(OR(D2486="",E2486=""),"",D2486*E2486)</f>
        <v/>
      </c>
      <c r="I2486" s="8">
        <f>IF(OR(D2486="",E2486=""),"",E2486*(1+D2486/30))</f>
        <v/>
      </c>
      <c r="J2486">
        <f>IF(I2486="","",IF(I2486&gt;=MAXIFS($I$2:$I$5001,$B$2:$B$5001,B2486,$A$2:$A$5001,"&lt;="&amp;A2486),"PR",""))</f>
        <v/>
      </c>
    </row>
    <row r="2487">
      <c r="A2487" s="7" t="n"/>
      <c r="H2487" s="11">
        <f>IF(OR(D2487="",E2487=""),"",D2487*E2487)</f>
        <v/>
      </c>
      <c r="I2487" s="8">
        <f>IF(OR(D2487="",E2487=""),"",E2487*(1+D2487/30))</f>
        <v/>
      </c>
      <c r="J2487">
        <f>IF(I2487="","",IF(I2487&gt;=MAXIFS($I$2:$I$5001,$B$2:$B$5001,B2487,$A$2:$A$5001,"&lt;="&amp;A2487),"PR",""))</f>
        <v/>
      </c>
    </row>
    <row r="2488">
      <c r="A2488" s="7" t="n"/>
      <c r="H2488" s="11">
        <f>IF(OR(D2488="",E2488=""),"",D2488*E2488)</f>
        <v/>
      </c>
      <c r="I2488" s="8">
        <f>IF(OR(D2488="",E2488=""),"",E2488*(1+D2488/30))</f>
        <v/>
      </c>
      <c r="J2488">
        <f>IF(I2488="","",IF(I2488&gt;=MAXIFS($I$2:$I$5001,$B$2:$B$5001,B2488,$A$2:$A$5001,"&lt;="&amp;A2488),"PR",""))</f>
        <v/>
      </c>
    </row>
    <row r="2489">
      <c r="A2489" s="7" t="n"/>
      <c r="H2489" s="11">
        <f>IF(OR(D2489="",E2489=""),"",D2489*E2489)</f>
        <v/>
      </c>
      <c r="I2489" s="8">
        <f>IF(OR(D2489="",E2489=""),"",E2489*(1+D2489/30))</f>
        <v/>
      </c>
      <c r="J2489">
        <f>IF(I2489="","",IF(I2489&gt;=MAXIFS($I$2:$I$5001,$B$2:$B$5001,B2489,$A$2:$A$5001,"&lt;="&amp;A2489),"PR",""))</f>
        <v/>
      </c>
    </row>
    <row r="2490">
      <c r="A2490" s="7" t="n"/>
      <c r="H2490" s="11">
        <f>IF(OR(D2490="",E2490=""),"",D2490*E2490)</f>
        <v/>
      </c>
      <c r="I2490" s="8">
        <f>IF(OR(D2490="",E2490=""),"",E2490*(1+D2490/30))</f>
        <v/>
      </c>
      <c r="J2490">
        <f>IF(I2490="","",IF(I2490&gt;=MAXIFS($I$2:$I$5001,$B$2:$B$5001,B2490,$A$2:$A$5001,"&lt;="&amp;A2490),"PR",""))</f>
        <v/>
      </c>
    </row>
    <row r="2491">
      <c r="A2491" s="7" t="n"/>
      <c r="H2491" s="11">
        <f>IF(OR(D2491="",E2491=""),"",D2491*E2491)</f>
        <v/>
      </c>
      <c r="I2491" s="8">
        <f>IF(OR(D2491="",E2491=""),"",E2491*(1+D2491/30))</f>
        <v/>
      </c>
      <c r="J2491">
        <f>IF(I2491="","",IF(I2491&gt;=MAXIFS($I$2:$I$5001,$B$2:$B$5001,B2491,$A$2:$A$5001,"&lt;="&amp;A2491),"PR",""))</f>
        <v/>
      </c>
    </row>
    <row r="2492">
      <c r="A2492" s="7" t="n"/>
      <c r="H2492" s="11">
        <f>IF(OR(D2492="",E2492=""),"",D2492*E2492)</f>
        <v/>
      </c>
      <c r="I2492" s="8">
        <f>IF(OR(D2492="",E2492=""),"",E2492*(1+D2492/30))</f>
        <v/>
      </c>
      <c r="J2492">
        <f>IF(I2492="","",IF(I2492&gt;=MAXIFS($I$2:$I$5001,$B$2:$B$5001,B2492,$A$2:$A$5001,"&lt;="&amp;A2492),"PR",""))</f>
        <v/>
      </c>
    </row>
    <row r="2493">
      <c r="A2493" s="7" t="n"/>
      <c r="H2493" s="11">
        <f>IF(OR(D2493="",E2493=""),"",D2493*E2493)</f>
        <v/>
      </c>
      <c r="I2493" s="8">
        <f>IF(OR(D2493="",E2493=""),"",E2493*(1+D2493/30))</f>
        <v/>
      </c>
      <c r="J2493">
        <f>IF(I2493="","",IF(I2493&gt;=MAXIFS($I$2:$I$5001,$B$2:$B$5001,B2493,$A$2:$A$5001,"&lt;="&amp;A2493),"PR",""))</f>
        <v/>
      </c>
    </row>
    <row r="2494">
      <c r="A2494" s="7" t="n"/>
      <c r="H2494" s="11">
        <f>IF(OR(D2494="",E2494=""),"",D2494*E2494)</f>
        <v/>
      </c>
      <c r="I2494" s="8">
        <f>IF(OR(D2494="",E2494=""),"",E2494*(1+D2494/30))</f>
        <v/>
      </c>
      <c r="J2494">
        <f>IF(I2494="","",IF(I2494&gt;=MAXIFS($I$2:$I$5001,$B$2:$B$5001,B2494,$A$2:$A$5001,"&lt;="&amp;A2494),"PR",""))</f>
        <v/>
      </c>
    </row>
    <row r="2495">
      <c r="A2495" s="7" t="n"/>
      <c r="H2495" s="11">
        <f>IF(OR(D2495="",E2495=""),"",D2495*E2495)</f>
        <v/>
      </c>
      <c r="I2495" s="8">
        <f>IF(OR(D2495="",E2495=""),"",E2495*(1+D2495/30))</f>
        <v/>
      </c>
      <c r="J2495">
        <f>IF(I2495="","",IF(I2495&gt;=MAXIFS($I$2:$I$5001,$B$2:$B$5001,B2495,$A$2:$A$5001,"&lt;="&amp;A2495),"PR",""))</f>
        <v/>
      </c>
    </row>
    <row r="2496">
      <c r="A2496" s="7" t="n"/>
      <c r="H2496" s="11">
        <f>IF(OR(D2496="",E2496=""),"",D2496*E2496)</f>
        <v/>
      </c>
      <c r="I2496" s="8">
        <f>IF(OR(D2496="",E2496=""),"",E2496*(1+D2496/30))</f>
        <v/>
      </c>
      <c r="J2496">
        <f>IF(I2496="","",IF(I2496&gt;=MAXIFS($I$2:$I$5001,$B$2:$B$5001,B2496,$A$2:$A$5001,"&lt;="&amp;A2496),"PR",""))</f>
        <v/>
      </c>
    </row>
    <row r="2497">
      <c r="A2497" s="7" t="n"/>
      <c r="H2497" s="11">
        <f>IF(OR(D2497="",E2497=""),"",D2497*E2497)</f>
        <v/>
      </c>
      <c r="I2497" s="8">
        <f>IF(OR(D2497="",E2497=""),"",E2497*(1+D2497/30))</f>
        <v/>
      </c>
      <c r="J2497">
        <f>IF(I2497="","",IF(I2497&gt;=MAXIFS($I$2:$I$5001,$B$2:$B$5001,B2497,$A$2:$A$5001,"&lt;="&amp;A2497),"PR",""))</f>
        <v/>
      </c>
    </row>
    <row r="2498">
      <c r="A2498" s="7" t="n"/>
      <c r="H2498" s="11">
        <f>IF(OR(D2498="",E2498=""),"",D2498*E2498)</f>
        <v/>
      </c>
      <c r="I2498" s="8">
        <f>IF(OR(D2498="",E2498=""),"",E2498*(1+D2498/30))</f>
        <v/>
      </c>
      <c r="J2498">
        <f>IF(I2498="","",IF(I2498&gt;=MAXIFS($I$2:$I$5001,$B$2:$B$5001,B2498,$A$2:$A$5001,"&lt;="&amp;A2498),"PR",""))</f>
        <v/>
      </c>
    </row>
    <row r="2499">
      <c r="A2499" s="7" t="n"/>
      <c r="H2499" s="11">
        <f>IF(OR(D2499="",E2499=""),"",D2499*E2499)</f>
        <v/>
      </c>
      <c r="I2499" s="8">
        <f>IF(OR(D2499="",E2499=""),"",E2499*(1+D2499/30))</f>
        <v/>
      </c>
      <c r="J2499">
        <f>IF(I2499="","",IF(I2499&gt;=MAXIFS($I$2:$I$5001,$B$2:$B$5001,B2499,$A$2:$A$5001,"&lt;="&amp;A2499),"PR",""))</f>
        <v/>
      </c>
    </row>
    <row r="2500">
      <c r="A2500" s="7" t="n"/>
      <c r="H2500" s="11">
        <f>IF(OR(D2500="",E2500=""),"",D2500*E2500)</f>
        <v/>
      </c>
      <c r="I2500" s="8">
        <f>IF(OR(D2500="",E2500=""),"",E2500*(1+D2500/30))</f>
        <v/>
      </c>
      <c r="J2500">
        <f>IF(I2500="","",IF(I2500&gt;=MAXIFS($I$2:$I$5001,$B$2:$B$5001,B2500,$A$2:$A$5001,"&lt;="&amp;A2500),"PR",""))</f>
        <v/>
      </c>
    </row>
    <row r="2501">
      <c r="A2501" s="7" t="n"/>
      <c r="H2501" s="11">
        <f>IF(OR(D2501="",E2501=""),"",D2501*E2501)</f>
        <v/>
      </c>
      <c r="I2501" s="8">
        <f>IF(OR(D2501="",E2501=""),"",E2501*(1+D2501/30))</f>
        <v/>
      </c>
      <c r="J2501">
        <f>IF(I2501="","",IF(I2501&gt;=MAXIFS($I$2:$I$5001,$B$2:$B$5001,B2501,$A$2:$A$5001,"&lt;="&amp;A2501),"PR",""))</f>
        <v/>
      </c>
    </row>
    <row r="2502">
      <c r="A2502" s="7" t="n"/>
      <c r="H2502" s="11">
        <f>IF(OR(D2502="",E2502=""),"",D2502*E2502)</f>
        <v/>
      </c>
      <c r="I2502" s="8">
        <f>IF(OR(D2502="",E2502=""),"",E2502*(1+D2502/30))</f>
        <v/>
      </c>
      <c r="J2502">
        <f>IF(I2502="","",IF(I2502&gt;=MAXIFS($I$2:$I$5001,$B$2:$B$5001,B2502,$A$2:$A$5001,"&lt;="&amp;A2502),"PR",""))</f>
        <v/>
      </c>
    </row>
    <row r="2503">
      <c r="A2503" s="7" t="n"/>
      <c r="H2503" s="11">
        <f>IF(OR(D2503="",E2503=""),"",D2503*E2503)</f>
        <v/>
      </c>
      <c r="I2503" s="8">
        <f>IF(OR(D2503="",E2503=""),"",E2503*(1+D2503/30))</f>
        <v/>
      </c>
      <c r="J2503">
        <f>IF(I2503="","",IF(I2503&gt;=MAXIFS($I$2:$I$5001,$B$2:$B$5001,B2503,$A$2:$A$5001,"&lt;="&amp;A2503),"PR",""))</f>
        <v/>
      </c>
    </row>
    <row r="2504">
      <c r="A2504" s="7" t="n"/>
      <c r="H2504" s="11">
        <f>IF(OR(D2504="",E2504=""),"",D2504*E2504)</f>
        <v/>
      </c>
      <c r="I2504" s="8">
        <f>IF(OR(D2504="",E2504=""),"",E2504*(1+D2504/30))</f>
        <v/>
      </c>
      <c r="J2504">
        <f>IF(I2504="","",IF(I2504&gt;=MAXIFS($I$2:$I$5001,$B$2:$B$5001,B2504,$A$2:$A$5001,"&lt;="&amp;A2504),"PR",""))</f>
        <v/>
      </c>
    </row>
    <row r="2505">
      <c r="A2505" s="7" t="n"/>
      <c r="H2505" s="11">
        <f>IF(OR(D2505="",E2505=""),"",D2505*E2505)</f>
        <v/>
      </c>
      <c r="I2505" s="8">
        <f>IF(OR(D2505="",E2505=""),"",E2505*(1+D2505/30))</f>
        <v/>
      </c>
      <c r="J2505">
        <f>IF(I2505="","",IF(I2505&gt;=MAXIFS($I$2:$I$5001,$B$2:$B$5001,B2505,$A$2:$A$5001,"&lt;="&amp;A2505),"PR",""))</f>
        <v/>
      </c>
    </row>
    <row r="2506">
      <c r="A2506" s="7" t="n"/>
      <c r="H2506" s="11">
        <f>IF(OR(D2506="",E2506=""),"",D2506*E2506)</f>
        <v/>
      </c>
      <c r="I2506" s="8">
        <f>IF(OR(D2506="",E2506=""),"",E2506*(1+D2506/30))</f>
        <v/>
      </c>
      <c r="J2506">
        <f>IF(I2506="","",IF(I2506&gt;=MAXIFS($I$2:$I$5001,$B$2:$B$5001,B2506,$A$2:$A$5001,"&lt;="&amp;A2506),"PR",""))</f>
        <v/>
      </c>
    </row>
    <row r="2507">
      <c r="A2507" s="7" t="n"/>
      <c r="H2507" s="11">
        <f>IF(OR(D2507="",E2507=""),"",D2507*E2507)</f>
        <v/>
      </c>
      <c r="I2507" s="8">
        <f>IF(OR(D2507="",E2507=""),"",E2507*(1+D2507/30))</f>
        <v/>
      </c>
      <c r="J2507">
        <f>IF(I2507="","",IF(I2507&gt;=MAXIFS($I$2:$I$5001,$B$2:$B$5001,B2507,$A$2:$A$5001,"&lt;="&amp;A2507),"PR",""))</f>
        <v/>
      </c>
    </row>
    <row r="2508">
      <c r="A2508" s="7" t="n"/>
      <c r="H2508" s="11">
        <f>IF(OR(D2508="",E2508=""),"",D2508*E2508)</f>
        <v/>
      </c>
      <c r="I2508" s="8">
        <f>IF(OR(D2508="",E2508=""),"",E2508*(1+D2508/30))</f>
        <v/>
      </c>
      <c r="J2508">
        <f>IF(I2508="","",IF(I2508&gt;=MAXIFS($I$2:$I$5001,$B$2:$B$5001,B2508,$A$2:$A$5001,"&lt;="&amp;A2508),"PR",""))</f>
        <v/>
      </c>
    </row>
    <row r="2509">
      <c r="A2509" s="7" t="n"/>
      <c r="H2509" s="11">
        <f>IF(OR(D2509="",E2509=""),"",D2509*E2509)</f>
        <v/>
      </c>
      <c r="I2509" s="8">
        <f>IF(OR(D2509="",E2509=""),"",E2509*(1+D2509/30))</f>
        <v/>
      </c>
      <c r="J2509">
        <f>IF(I2509="","",IF(I2509&gt;=MAXIFS($I$2:$I$5001,$B$2:$B$5001,B2509,$A$2:$A$5001,"&lt;="&amp;A2509),"PR",""))</f>
        <v/>
      </c>
    </row>
    <row r="2510">
      <c r="A2510" s="7" t="n"/>
      <c r="H2510" s="11">
        <f>IF(OR(D2510="",E2510=""),"",D2510*E2510)</f>
        <v/>
      </c>
      <c r="I2510" s="8">
        <f>IF(OR(D2510="",E2510=""),"",E2510*(1+D2510/30))</f>
        <v/>
      </c>
      <c r="J2510">
        <f>IF(I2510="","",IF(I2510&gt;=MAXIFS($I$2:$I$5001,$B$2:$B$5001,B2510,$A$2:$A$5001,"&lt;="&amp;A2510),"PR",""))</f>
        <v/>
      </c>
    </row>
    <row r="2511">
      <c r="A2511" s="7" t="n"/>
      <c r="H2511" s="11">
        <f>IF(OR(D2511="",E2511=""),"",D2511*E2511)</f>
        <v/>
      </c>
      <c r="I2511" s="8">
        <f>IF(OR(D2511="",E2511=""),"",E2511*(1+D2511/30))</f>
        <v/>
      </c>
      <c r="J2511">
        <f>IF(I2511="","",IF(I2511&gt;=MAXIFS($I$2:$I$5001,$B$2:$B$5001,B2511,$A$2:$A$5001,"&lt;="&amp;A2511),"PR",""))</f>
        <v/>
      </c>
    </row>
    <row r="2512">
      <c r="A2512" s="7" t="n"/>
      <c r="H2512" s="11">
        <f>IF(OR(D2512="",E2512=""),"",D2512*E2512)</f>
        <v/>
      </c>
      <c r="I2512" s="8">
        <f>IF(OR(D2512="",E2512=""),"",E2512*(1+D2512/30))</f>
        <v/>
      </c>
      <c r="J2512">
        <f>IF(I2512="","",IF(I2512&gt;=MAXIFS($I$2:$I$5001,$B$2:$B$5001,B2512,$A$2:$A$5001,"&lt;="&amp;A2512),"PR",""))</f>
        <v/>
      </c>
    </row>
    <row r="2513">
      <c r="A2513" s="7" t="n"/>
      <c r="H2513" s="11">
        <f>IF(OR(D2513="",E2513=""),"",D2513*E2513)</f>
        <v/>
      </c>
      <c r="I2513" s="8">
        <f>IF(OR(D2513="",E2513=""),"",E2513*(1+D2513/30))</f>
        <v/>
      </c>
      <c r="J2513">
        <f>IF(I2513="","",IF(I2513&gt;=MAXIFS($I$2:$I$5001,$B$2:$B$5001,B2513,$A$2:$A$5001,"&lt;="&amp;A2513),"PR",""))</f>
        <v/>
      </c>
    </row>
    <row r="2514">
      <c r="A2514" s="7" t="n"/>
      <c r="H2514" s="11">
        <f>IF(OR(D2514="",E2514=""),"",D2514*E2514)</f>
        <v/>
      </c>
      <c r="I2514" s="8">
        <f>IF(OR(D2514="",E2514=""),"",E2514*(1+D2514/30))</f>
        <v/>
      </c>
      <c r="J2514">
        <f>IF(I2514="","",IF(I2514&gt;=MAXIFS($I$2:$I$5001,$B$2:$B$5001,B2514,$A$2:$A$5001,"&lt;="&amp;A2514),"PR",""))</f>
        <v/>
      </c>
    </row>
    <row r="2515">
      <c r="A2515" s="7" t="n"/>
      <c r="H2515" s="11">
        <f>IF(OR(D2515="",E2515=""),"",D2515*E2515)</f>
        <v/>
      </c>
      <c r="I2515" s="8">
        <f>IF(OR(D2515="",E2515=""),"",E2515*(1+D2515/30))</f>
        <v/>
      </c>
      <c r="J2515">
        <f>IF(I2515="","",IF(I2515&gt;=MAXIFS($I$2:$I$5001,$B$2:$B$5001,B2515,$A$2:$A$5001,"&lt;="&amp;A2515),"PR",""))</f>
        <v/>
      </c>
    </row>
    <row r="2516">
      <c r="A2516" s="7" t="n"/>
      <c r="H2516" s="11">
        <f>IF(OR(D2516="",E2516=""),"",D2516*E2516)</f>
        <v/>
      </c>
      <c r="I2516" s="8">
        <f>IF(OR(D2516="",E2516=""),"",E2516*(1+D2516/30))</f>
        <v/>
      </c>
      <c r="J2516">
        <f>IF(I2516="","",IF(I2516&gt;=MAXIFS($I$2:$I$5001,$B$2:$B$5001,B2516,$A$2:$A$5001,"&lt;="&amp;A2516),"PR",""))</f>
        <v/>
      </c>
    </row>
    <row r="2517">
      <c r="A2517" s="7" t="n"/>
      <c r="H2517" s="11">
        <f>IF(OR(D2517="",E2517=""),"",D2517*E2517)</f>
        <v/>
      </c>
      <c r="I2517" s="8">
        <f>IF(OR(D2517="",E2517=""),"",E2517*(1+D2517/30))</f>
        <v/>
      </c>
      <c r="J2517">
        <f>IF(I2517="","",IF(I2517&gt;=MAXIFS($I$2:$I$5001,$B$2:$B$5001,B2517,$A$2:$A$5001,"&lt;="&amp;A2517),"PR",""))</f>
        <v/>
      </c>
    </row>
    <row r="2518">
      <c r="A2518" s="7" t="n"/>
      <c r="H2518" s="11">
        <f>IF(OR(D2518="",E2518=""),"",D2518*E2518)</f>
        <v/>
      </c>
      <c r="I2518" s="8">
        <f>IF(OR(D2518="",E2518=""),"",E2518*(1+D2518/30))</f>
        <v/>
      </c>
      <c r="J2518">
        <f>IF(I2518="","",IF(I2518&gt;=MAXIFS($I$2:$I$5001,$B$2:$B$5001,B2518,$A$2:$A$5001,"&lt;="&amp;A2518),"PR",""))</f>
        <v/>
      </c>
    </row>
    <row r="2519">
      <c r="A2519" s="7" t="n"/>
      <c r="H2519" s="11">
        <f>IF(OR(D2519="",E2519=""),"",D2519*E2519)</f>
        <v/>
      </c>
      <c r="I2519" s="8">
        <f>IF(OR(D2519="",E2519=""),"",E2519*(1+D2519/30))</f>
        <v/>
      </c>
      <c r="J2519">
        <f>IF(I2519="","",IF(I2519&gt;=MAXIFS($I$2:$I$5001,$B$2:$B$5001,B2519,$A$2:$A$5001,"&lt;="&amp;A2519),"PR",""))</f>
        <v/>
      </c>
    </row>
    <row r="2520">
      <c r="A2520" s="7" t="n"/>
      <c r="H2520" s="11">
        <f>IF(OR(D2520="",E2520=""),"",D2520*E2520)</f>
        <v/>
      </c>
      <c r="I2520" s="8">
        <f>IF(OR(D2520="",E2520=""),"",E2520*(1+D2520/30))</f>
        <v/>
      </c>
      <c r="J2520">
        <f>IF(I2520="","",IF(I2520&gt;=MAXIFS($I$2:$I$5001,$B$2:$B$5001,B2520,$A$2:$A$5001,"&lt;="&amp;A2520),"PR",""))</f>
        <v/>
      </c>
    </row>
    <row r="2521">
      <c r="A2521" s="7" t="n"/>
      <c r="H2521" s="11">
        <f>IF(OR(D2521="",E2521=""),"",D2521*E2521)</f>
        <v/>
      </c>
      <c r="I2521" s="8">
        <f>IF(OR(D2521="",E2521=""),"",E2521*(1+D2521/30))</f>
        <v/>
      </c>
      <c r="J2521">
        <f>IF(I2521="","",IF(I2521&gt;=MAXIFS($I$2:$I$5001,$B$2:$B$5001,B2521,$A$2:$A$5001,"&lt;="&amp;A2521),"PR",""))</f>
        <v/>
      </c>
    </row>
    <row r="2522">
      <c r="A2522" s="7" t="n"/>
      <c r="H2522" s="11">
        <f>IF(OR(D2522="",E2522=""),"",D2522*E2522)</f>
        <v/>
      </c>
      <c r="I2522" s="8">
        <f>IF(OR(D2522="",E2522=""),"",E2522*(1+D2522/30))</f>
        <v/>
      </c>
      <c r="J2522">
        <f>IF(I2522="","",IF(I2522&gt;=MAXIFS($I$2:$I$5001,$B$2:$B$5001,B2522,$A$2:$A$5001,"&lt;="&amp;A2522),"PR",""))</f>
        <v/>
      </c>
    </row>
    <row r="2523">
      <c r="A2523" s="7" t="n"/>
      <c r="H2523" s="11">
        <f>IF(OR(D2523="",E2523=""),"",D2523*E2523)</f>
        <v/>
      </c>
      <c r="I2523" s="8">
        <f>IF(OR(D2523="",E2523=""),"",E2523*(1+D2523/30))</f>
        <v/>
      </c>
      <c r="J2523">
        <f>IF(I2523="","",IF(I2523&gt;=MAXIFS($I$2:$I$5001,$B$2:$B$5001,B2523,$A$2:$A$5001,"&lt;="&amp;A2523),"PR",""))</f>
        <v/>
      </c>
    </row>
    <row r="2524">
      <c r="A2524" s="7" t="n"/>
      <c r="H2524" s="11">
        <f>IF(OR(D2524="",E2524=""),"",D2524*E2524)</f>
        <v/>
      </c>
      <c r="I2524" s="8">
        <f>IF(OR(D2524="",E2524=""),"",E2524*(1+D2524/30))</f>
        <v/>
      </c>
      <c r="J2524">
        <f>IF(I2524="","",IF(I2524&gt;=MAXIFS($I$2:$I$5001,$B$2:$B$5001,B2524,$A$2:$A$5001,"&lt;="&amp;A2524),"PR",""))</f>
        <v/>
      </c>
    </row>
    <row r="2525">
      <c r="A2525" s="7" t="n"/>
      <c r="H2525" s="11">
        <f>IF(OR(D2525="",E2525=""),"",D2525*E2525)</f>
        <v/>
      </c>
      <c r="I2525" s="8">
        <f>IF(OR(D2525="",E2525=""),"",E2525*(1+D2525/30))</f>
        <v/>
      </c>
      <c r="J2525">
        <f>IF(I2525="","",IF(I2525&gt;=MAXIFS($I$2:$I$5001,$B$2:$B$5001,B2525,$A$2:$A$5001,"&lt;="&amp;A2525),"PR",""))</f>
        <v/>
      </c>
    </row>
    <row r="2526">
      <c r="A2526" s="7" t="n"/>
      <c r="H2526" s="11">
        <f>IF(OR(D2526="",E2526=""),"",D2526*E2526)</f>
        <v/>
      </c>
      <c r="I2526" s="8">
        <f>IF(OR(D2526="",E2526=""),"",E2526*(1+D2526/30))</f>
        <v/>
      </c>
      <c r="J2526">
        <f>IF(I2526="","",IF(I2526&gt;=MAXIFS($I$2:$I$5001,$B$2:$B$5001,B2526,$A$2:$A$5001,"&lt;="&amp;A2526),"PR",""))</f>
        <v/>
      </c>
    </row>
    <row r="2527">
      <c r="A2527" s="7" t="n"/>
      <c r="H2527" s="11">
        <f>IF(OR(D2527="",E2527=""),"",D2527*E2527)</f>
        <v/>
      </c>
      <c r="I2527" s="8">
        <f>IF(OR(D2527="",E2527=""),"",E2527*(1+D2527/30))</f>
        <v/>
      </c>
      <c r="J2527">
        <f>IF(I2527="","",IF(I2527&gt;=MAXIFS($I$2:$I$5001,$B$2:$B$5001,B2527,$A$2:$A$5001,"&lt;="&amp;A2527),"PR",""))</f>
        <v/>
      </c>
    </row>
    <row r="2528">
      <c r="A2528" s="7" t="n"/>
      <c r="H2528" s="11">
        <f>IF(OR(D2528="",E2528=""),"",D2528*E2528)</f>
        <v/>
      </c>
      <c r="I2528" s="8">
        <f>IF(OR(D2528="",E2528=""),"",E2528*(1+D2528/30))</f>
        <v/>
      </c>
      <c r="J2528">
        <f>IF(I2528="","",IF(I2528&gt;=MAXIFS($I$2:$I$5001,$B$2:$B$5001,B2528,$A$2:$A$5001,"&lt;="&amp;A2528),"PR",""))</f>
        <v/>
      </c>
    </row>
    <row r="2529">
      <c r="A2529" s="7" t="n"/>
      <c r="H2529" s="11">
        <f>IF(OR(D2529="",E2529=""),"",D2529*E2529)</f>
        <v/>
      </c>
      <c r="I2529" s="8">
        <f>IF(OR(D2529="",E2529=""),"",E2529*(1+D2529/30))</f>
        <v/>
      </c>
      <c r="J2529">
        <f>IF(I2529="","",IF(I2529&gt;=MAXIFS($I$2:$I$5001,$B$2:$B$5001,B2529,$A$2:$A$5001,"&lt;="&amp;A2529),"PR",""))</f>
        <v/>
      </c>
    </row>
    <row r="2530">
      <c r="A2530" s="7" t="n"/>
      <c r="H2530" s="11">
        <f>IF(OR(D2530="",E2530=""),"",D2530*E2530)</f>
        <v/>
      </c>
      <c r="I2530" s="8">
        <f>IF(OR(D2530="",E2530=""),"",E2530*(1+D2530/30))</f>
        <v/>
      </c>
      <c r="J2530">
        <f>IF(I2530="","",IF(I2530&gt;=MAXIFS($I$2:$I$5001,$B$2:$B$5001,B2530,$A$2:$A$5001,"&lt;="&amp;A2530),"PR",""))</f>
        <v/>
      </c>
    </row>
    <row r="2531">
      <c r="A2531" s="7" t="n"/>
      <c r="H2531" s="11">
        <f>IF(OR(D2531="",E2531=""),"",D2531*E2531)</f>
        <v/>
      </c>
      <c r="I2531" s="8">
        <f>IF(OR(D2531="",E2531=""),"",E2531*(1+D2531/30))</f>
        <v/>
      </c>
      <c r="J2531">
        <f>IF(I2531="","",IF(I2531&gt;=MAXIFS($I$2:$I$5001,$B$2:$B$5001,B2531,$A$2:$A$5001,"&lt;="&amp;A2531),"PR",""))</f>
        <v/>
      </c>
    </row>
    <row r="2532">
      <c r="A2532" s="7" t="n"/>
      <c r="H2532" s="11">
        <f>IF(OR(D2532="",E2532=""),"",D2532*E2532)</f>
        <v/>
      </c>
      <c r="I2532" s="8">
        <f>IF(OR(D2532="",E2532=""),"",E2532*(1+D2532/30))</f>
        <v/>
      </c>
      <c r="J2532">
        <f>IF(I2532="","",IF(I2532&gt;=MAXIFS($I$2:$I$5001,$B$2:$B$5001,B2532,$A$2:$A$5001,"&lt;="&amp;A2532),"PR",""))</f>
        <v/>
      </c>
    </row>
    <row r="2533">
      <c r="A2533" s="7" t="n"/>
      <c r="H2533" s="11">
        <f>IF(OR(D2533="",E2533=""),"",D2533*E2533)</f>
        <v/>
      </c>
      <c r="I2533" s="8">
        <f>IF(OR(D2533="",E2533=""),"",E2533*(1+D2533/30))</f>
        <v/>
      </c>
      <c r="J2533">
        <f>IF(I2533="","",IF(I2533&gt;=MAXIFS($I$2:$I$5001,$B$2:$B$5001,B2533,$A$2:$A$5001,"&lt;="&amp;A2533),"PR",""))</f>
        <v/>
      </c>
    </row>
    <row r="2534">
      <c r="A2534" s="7" t="n"/>
      <c r="H2534" s="11">
        <f>IF(OR(D2534="",E2534=""),"",D2534*E2534)</f>
        <v/>
      </c>
      <c r="I2534" s="8">
        <f>IF(OR(D2534="",E2534=""),"",E2534*(1+D2534/30))</f>
        <v/>
      </c>
      <c r="J2534">
        <f>IF(I2534="","",IF(I2534&gt;=MAXIFS($I$2:$I$5001,$B$2:$B$5001,B2534,$A$2:$A$5001,"&lt;="&amp;A2534),"PR",""))</f>
        <v/>
      </c>
    </row>
    <row r="2535">
      <c r="A2535" s="7" t="n"/>
      <c r="H2535" s="11">
        <f>IF(OR(D2535="",E2535=""),"",D2535*E2535)</f>
        <v/>
      </c>
      <c r="I2535" s="8">
        <f>IF(OR(D2535="",E2535=""),"",E2535*(1+D2535/30))</f>
        <v/>
      </c>
      <c r="J2535">
        <f>IF(I2535="","",IF(I2535&gt;=MAXIFS($I$2:$I$5001,$B$2:$B$5001,B2535,$A$2:$A$5001,"&lt;="&amp;A2535),"PR",""))</f>
        <v/>
      </c>
    </row>
    <row r="2536">
      <c r="A2536" s="7" t="n"/>
      <c r="H2536" s="11">
        <f>IF(OR(D2536="",E2536=""),"",D2536*E2536)</f>
        <v/>
      </c>
      <c r="I2536" s="8">
        <f>IF(OR(D2536="",E2536=""),"",E2536*(1+D2536/30))</f>
        <v/>
      </c>
      <c r="J2536">
        <f>IF(I2536="","",IF(I2536&gt;=MAXIFS($I$2:$I$5001,$B$2:$B$5001,B2536,$A$2:$A$5001,"&lt;="&amp;A2536),"PR",""))</f>
        <v/>
      </c>
    </row>
    <row r="2537">
      <c r="A2537" s="7" t="n"/>
      <c r="H2537" s="11">
        <f>IF(OR(D2537="",E2537=""),"",D2537*E2537)</f>
        <v/>
      </c>
      <c r="I2537" s="8">
        <f>IF(OR(D2537="",E2537=""),"",E2537*(1+D2537/30))</f>
        <v/>
      </c>
      <c r="J2537">
        <f>IF(I2537="","",IF(I2537&gt;=MAXIFS($I$2:$I$5001,$B$2:$B$5001,B2537,$A$2:$A$5001,"&lt;="&amp;A2537),"PR",""))</f>
        <v/>
      </c>
    </row>
    <row r="2538">
      <c r="A2538" s="7" t="n"/>
      <c r="H2538" s="11">
        <f>IF(OR(D2538="",E2538=""),"",D2538*E2538)</f>
        <v/>
      </c>
      <c r="I2538" s="8">
        <f>IF(OR(D2538="",E2538=""),"",E2538*(1+D2538/30))</f>
        <v/>
      </c>
      <c r="J2538">
        <f>IF(I2538="","",IF(I2538&gt;=MAXIFS($I$2:$I$5001,$B$2:$B$5001,B2538,$A$2:$A$5001,"&lt;="&amp;A2538),"PR",""))</f>
        <v/>
      </c>
    </row>
    <row r="2539">
      <c r="A2539" s="7" t="n"/>
      <c r="H2539" s="11">
        <f>IF(OR(D2539="",E2539=""),"",D2539*E2539)</f>
        <v/>
      </c>
      <c r="I2539" s="8">
        <f>IF(OR(D2539="",E2539=""),"",E2539*(1+D2539/30))</f>
        <v/>
      </c>
      <c r="J2539">
        <f>IF(I2539="","",IF(I2539&gt;=MAXIFS($I$2:$I$5001,$B$2:$B$5001,B2539,$A$2:$A$5001,"&lt;="&amp;A2539),"PR",""))</f>
        <v/>
      </c>
    </row>
    <row r="2540">
      <c r="A2540" s="7" t="n"/>
      <c r="H2540" s="11">
        <f>IF(OR(D2540="",E2540=""),"",D2540*E2540)</f>
        <v/>
      </c>
      <c r="I2540" s="8">
        <f>IF(OR(D2540="",E2540=""),"",E2540*(1+D2540/30))</f>
        <v/>
      </c>
      <c r="J2540">
        <f>IF(I2540="","",IF(I2540&gt;=MAXIFS($I$2:$I$5001,$B$2:$B$5001,B2540,$A$2:$A$5001,"&lt;="&amp;A2540),"PR",""))</f>
        <v/>
      </c>
    </row>
    <row r="2541">
      <c r="A2541" s="7" t="n"/>
      <c r="H2541" s="11">
        <f>IF(OR(D2541="",E2541=""),"",D2541*E2541)</f>
        <v/>
      </c>
      <c r="I2541" s="8">
        <f>IF(OR(D2541="",E2541=""),"",E2541*(1+D2541/30))</f>
        <v/>
      </c>
      <c r="J2541">
        <f>IF(I2541="","",IF(I2541&gt;=MAXIFS($I$2:$I$5001,$B$2:$B$5001,B2541,$A$2:$A$5001,"&lt;="&amp;A2541),"PR",""))</f>
        <v/>
      </c>
    </row>
    <row r="2542">
      <c r="A2542" s="7" t="n"/>
      <c r="H2542" s="11">
        <f>IF(OR(D2542="",E2542=""),"",D2542*E2542)</f>
        <v/>
      </c>
      <c r="I2542" s="8">
        <f>IF(OR(D2542="",E2542=""),"",E2542*(1+D2542/30))</f>
        <v/>
      </c>
      <c r="J2542">
        <f>IF(I2542="","",IF(I2542&gt;=MAXIFS($I$2:$I$5001,$B$2:$B$5001,B2542,$A$2:$A$5001,"&lt;="&amp;A2542),"PR",""))</f>
        <v/>
      </c>
    </row>
    <row r="2543">
      <c r="A2543" s="7" t="n"/>
      <c r="H2543" s="11">
        <f>IF(OR(D2543="",E2543=""),"",D2543*E2543)</f>
        <v/>
      </c>
      <c r="I2543" s="8">
        <f>IF(OR(D2543="",E2543=""),"",E2543*(1+D2543/30))</f>
        <v/>
      </c>
      <c r="J2543">
        <f>IF(I2543="","",IF(I2543&gt;=MAXIFS($I$2:$I$5001,$B$2:$B$5001,B2543,$A$2:$A$5001,"&lt;="&amp;A2543),"PR",""))</f>
        <v/>
      </c>
    </row>
    <row r="2544">
      <c r="A2544" s="7" t="n"/>
      <c r="H2544" s="11">
        <f>IF(OR(D2544="",E2544=""),"",D2544*E2544)</f>
        <v/>
      </c>
      <c r="I2544" s="8">
        <f>IF(OR(D2544="",E2544=""),"",E2544*(1+D2544/30))</f>
        <v/>
      </c>
      <c r="J2544">
        <f>IF(I2544="","",IF(I2544&gt;=MAXIFS($I$2:$I$5001,$B$2:$B$5001,B2544,$A$2:$A$5001,"&lt;="&amp;A2544),"PR",""))</f>
        <v/>
      </c>
    </row>
    <row r="2545">
      <c r="A2545" s="7" t="n"/>
      <c r="H2545" s="11">
        <f>IF(OR(D2545="",E2545=""),"",D2545*E2545)</f>
        <v/>
      </c>
      <c r="I2545" s="8">
        <f>IF(OR(D2545="",E2545=""),"",E2545*(1+D2545/30))</f>
        <v/>
      </c>
      <c r="J2545">
        <f>IF(I2545="","",IF(I2545&gt;=MAXIFS($I$2:$I$5001,$B$2:$B$5001,B2545,$A$2:$A$5001,"&lt;="&amp;A2545),"PR",""))</f>
        <v/>
      </c>
    </row>
    <row r="2546">
      <c r="A2546" s="7" t="n"/>
      <c r="H2546" s="11">
        <f>IF(OR(D2546="",E2546=""),"",D2546*E2546)</f>
        <v/>
      </c>
      <c r="I2546" s="8">
        <f>IF(OR(D2546="",E2546=""),"",E2546*(1+D2546/30))</f>
        <v/>
      </c>
      <c r="J2546">
        <f>IF(I2546="","",IF(I2546&gt;=MAXIFS($I$2:$I$5001,$B$2:$B$5001,B2546,$A$2:$A$5001,"&lt;="&amp;A2546),"PR",""))</f>
        <v/>
      </c>
    </row>
    <row r="2547">
      <c r="A2547" s="7" t="n"/>
      <c r="H2547" s="11">
        <f>IF(OR(D2547="",E2547=""),"",D2547*E2547)</f>
        <v/>
      </c>
      <c r="I2547" s="8">
        <f>IF(OR(D2547="",E2547=""),"",E2547*(1+D2547/30))</f>
        <v/>
      </c>
      <c r="J2547">
        <f>IF(I2547="","",IF(I2547&gt;=MAXIFS($I$2:$I$5001,$B$2:$B$5001,B2547,$A$2:$A$5001,"&lt;="&amp;A2547),"PR",""))</f>
        <v/>
      </c>
    </row>
    <row r="2548">
      <c r="A2548" s="7" t="n"/>
      <c r="H2548" s="11">
        <f>IF(OR(D2548="",E2548=""),"",D2548*E2548)</f>
        <v/>
      </c>
      <c r="I2548" s="8">
        <f>IF(OR(D2548="",E2548=""),"",E2548*(1+D2548/30))</f>
        <v/>
      </c>
      <c r="J2548">
        <f>IF(I2548="","",IF(I2548&gt;=MAXIFS($I$2:$I$5001,$B$2:$B$5001,B2548,$A$2:$A$5001,"&lt;="&amp;A2548),"PR",""))</f>
        <v/>
      </c>
    </row>
    <row r="2549">
      <c r="A2549" s="7" t="n"/>
      <c r="H2549" s="11">
        <f>IF(OR(D2549="",E2549=""),"",D2549*E2549)</f>
        <v/>
      </c>
      <c r="I2549" s="8">
        <f>IF(OR(D2549="",E2549=""),"",E2549*(1+D2549/30))</f>
        <v/>
      </c>
      <c r="J2549">
        <f>IF(I2549="","",IF(I2549&gt;=MAXIFS($I$2:$I$5001,$B$2:$B$5001,B2549,$A$2:$A$5001,"&lt;="&amp;A2549),"PR",""))</f>
        <v/>
      </c>
    </row>
    <row r="2550">
      <c r="A2550" s="7" t="n"/>
      <c r="H2550" s="11">
        <f>IF(OR(D2550="",E2550=""),"",D2550*E2550)</f>
        <v/>
      </c>
      <c r="I2550" s="8">
        <f>IF(OR(D2550="",E2550=""),"",E2550*(1+D2550/30))</f>
        <v/>
      </c>
      <c r="J2550">
        <f>IF(I2550="","",IF(I2550&gt;=MAXIFS($I$2:$I$5001,$B$2:$B$5001,B2550,$A$2:$A$5001,"&lt;="&amp;A2550),"PR",""))</f>
        <v/>
      </c>
    </row>
    <row r="2551">
      <c r="A2551" s="7" t="n"/>
      <c r="H2551" s="11">
        <f>IF(OR(D2551="",E2551=""),"",D2551*E2551)</f>
        <v/>
      </c>
      <c r="I2551" s="8">
        <f>IF(OR(D2551="",E2551=""),"",E2551*(1+D2551/30))</f>
        <v/>
      </c>
      <c r="J2551">
        <f>IF(I2551="","",IF(I2551&gt;=MAXIFS($I$2:$I$5001,$B$2:$B$5001,B2551,$A$2:$A$5001,"&lt;="&amp;A2551),"PR",""))</f>
        <v/>
      </c>
    </row>
    <row r="2552">
      <c r="A2552" s="7" t="n"/>
      <c r="H2552" s="11">
        <f>IF(OR(D2552="",E2552=""),"",D2552*E2552)</f>
        <v/>
      </c>
      <c r="I2552" s="8">
        <f>IF(OR(D2552="",E2552=""),"",E2552*(1+D2552/30))</f>
        <v/>
      </c>
      <c r="J2552">
        <f>IF(I2552="","",IF(I2552&gt;=MAXIFS($I$2:$I$5001,$B$2:$B$5001,B2552,$A$2:$A$5001,"&lt;="&amp;A2552),"PR",""))</f>
        <v/>
      </c>
    </row>
    <row r="2553">
      <c r="A2553" s="7" t="n"/>
      <c r="H2553" s="11">
        <f>IF(OR(D2553="",E2553=""),"",D2553*E2553)</f>
        <v/>
      </c>
      <c r="I2553" s="8">
        <f>IF(OR(D2553="",E2553=""),"",E2553*(1+D2553/30))</f>
        <v/>
      </c>
      <c r="J2553">
        <f>IF(I2553="","",IF(I2553&gt;=MAXIFS($I$2:$I$5001,$B$2:$B$5001,B2553,$A$2:$A$5001,"&lt;="&amp;A2553),"PR",""))</f>
        <v/>
      </c>
    </row>
    <row r="2554">
      <c r="A2554" s="7" t="n"/>
      <c r="H2554" s="11">
        <f>IF(OR(D2554="",E2554=""),"",D2554*E2554)</f>
        <v/>
      </c>
      <c r="I2554" s="8">
        <f>IF(OR(D2554="",E2554=""),"",E2554*(1+D2554/30))</f>
        <v/>
      </c>
      <c r="J2554">
        <f>IF(I2554="","",IF(I2554&gt;=MAXIFS($I$2:$I$5001,$B$2:$B$5001,B2554,$A$2:$A$5001,"&lt;="&amp;A2554),"PR",""))</f>
        <v/>
      </c>
    </row>
    <row r="2555">
      <c r="A2555" s="7" t="n"/>
      <c r="H2555" s="11">
        <f>IF(OR(D2555="",E2555=""),"",D2555*E2555)</f>
        <v/>
      </c>
      <c r="I2555" s="8">
        <f>IF(OR(D2555="",E2555=""),"",E2555*(1+D2555/30))</f>
        <v/>
      </c>
      <c r="J2555">
        <f>IF(I2555="","",IF(I2555&gt;=MAXIFS($I$2:$I$5001,$B$2:$B$5001,B2555,$A$2:$A$5001,"&lt;="&amp;A2555),"PR",""))</f>
        <v/>
      </c>
    </row>
    <row r="2556">
      <c r="A2556" s="7" t="n"/>
      <c r="H2556" s="11">
        <f>IF(OR(D2556="",E2556=""),"",D2556*E2556)</f>
        <v/>
      </c>
      <c r="I2556" s="8">
        <f>IF(OR(D2556="",E2556=""),"",E2556*(1+D2556/30))</f>
        <v/>
      </c>
      <c r="J2556">
        <f>IF(I2556="","",IF(I2556&gt;=MAXIFS($I$2:$I$5001,$B$2:$B$5001,B2556,$A$2:$A$5001,"&lt;="&amp;A2556),"PR",""))</f>
        <v/>
      </c>
    </row>
    <row r="2557">
      <c r="A2557" s="7" t="n"/>
      <c r="H2557" s="11">
        <f>IF(OR(D2557="",E2557=""),"",D2557*E2557)</f>
        <v/>
      </c>
      <c r="I2557" s="8">
        <f>IF(OR(D2557="",E2557=""),"",E2557*(1+D2557/30))</f>
        <v/>
      </c>
      <c r="J2557">
        <f>IF(I2557="","",IF(I2557&gt;=MAXIFS($I$2:$I$5001,$B$2:$B$5001,B2557,$A$2:$A$5001,"&lt;="&amp;A2557),"PR",""))</f>
        <v/>
      </c>
    </row>
    <row r="2558">
      <c r="A2558" s="7" t="n"/>
      <c r="H2558" s="11">
        <f>IF(OR(D2558="",E2558=""),"",D2558*E2558)</f>
        <v/>
      </c>
      <c r="I2558" s="8">
        <f>IF(OR(D2558="",E2558=""),"",E2558*(1+D2558/30))</f>
        <v/>
      </c>
      <c r="J2558">
        <f>IF(I2558="","",IF(I2558&gt;=MAXIFS($I$2:$I$5001,$B$2:$B$5001,B2558,$A$2:$A$5001,"&lt;="&amp;A2558),"PR",""))</f>
        <v/>
      </c>
    </row>
    <row r="2559">
      <c r="A2559" s="7" t="n"/>
      <c r="H2559" s="11">
        <f>IF(OR(D2559="",E2559=""),"",D2559*E2559)</f>
        <v/>
      </c>
      <c r="I2559" s="8">
        <f>IF(OR(D2559="",E2559=""),"",E2559*(1+D2559/30))</f>
        <v/>
      </c>
      <c r="J2559">
        <f>IF(I2559="","",IF(I2559&gt;=MAXIFS($I$2:$I$5001,$B$2:$B$5001,B2559,$A$2:$A$5001,"&lt;="&amp;A2559),"PR",""))</f>
        <v/>
      </c>
    </row>
    <row r="2560">
      <c r="A2560" s="7" t="n"/>
      <c r="H2560" s="11">
        <f>IF(OR(D2560="",E2560=""),"",D2560*E2560)</f>
        <v/>
      </c>
      <c r="I2560" s="8">
        <f>IF(OR(D2560="",E2560=""),"",E2560*(1+D2560/30))</f>
        <v/>
      </c>
      <c r="J2560">
        <f>IF(I2560="","",IF(I2560&gt;=MAXIFS($I$2:$I$5001,$B$2:$B$5001,B2560,$A$2:$A$5001,"&lt;="&amp;A2560),"PR",""))</f>
        <v/>
      </c>
    </row>
    <row r="2561">
      <c r="A2561" s="7" t="n"/>
      <c r="H2561" s="11">
        <f>IF(OR(D2561="",E2561=""),"",D2561*E2561)</f>
        <v/>
      </c>
      <c r="I2561" s="8">
        <f>IF(OR(D2561="",E2561=""),"",E2561*(1+D2561/30))</f>
        <v/>
      </c>
      <c r="J2561">
        <f>IF(I2561="","",IF(I2561&gt;=MAXIFS($I$2:$I$5001,$B$2:$B$5001,B2561,$A$2:$A$5001,"&lt;="&amp;A2561),"PR",""))</f>
        <v/>
      </c>
    </row>
    <row r="2562">
      <c r="A2562" s="7" t="n"/>
      <c r="H2562" s="11">
        <f>IF(OR(D2562="",E2562=""),"",D2562*E2562)</f>
        <v/>
      </c>
      <c r="I2562" s="8">
        <f>IF(OR(D2562="",E2562=""),"",E2562*(1+D2562/30))</f>
        <v/>
      </c>
      <c r="J2562">
        <f>IF(I2562="","",IF(I2562&gt;=MAXIFS($I$2:$I$5001,$B$2:$B$5001,B2562,$A$2:$A$5001,"&lt;="&amp;A2562),"PR",""))</f>
        <v/>
      </c>
    </row>
    <row r="2563">
      <c r="A2563" s="7" t="n"/>
      <c r="H2563" s="11">
        <f>IF(OR(D2563="",E2563=""),"",D2563*E2563)</f>
        <v/>
      </c>
      <c r="I2563" s="8">
        <f>IF(OR(D2563="",E2563=""),"",E2563*(1+D2563/30))</f>
        <v/>
      </c>
      <c r="J2563">
        <f>IF(I2563="","",IF(I2563&gt;=MAXIFS($I$2:$I$5001,$B$2:$B$5001,B2563,$A$2:$A$5001,"&lt;="&amp;A2563),"PR",""))</f>
        <v/>
      </c>
    </row>
    <row r="2564">
      <c r="A2564" s="7" t="n"/>
      <c r="H2564" s="11">
        <f>IF(OR(D2564="",E2564=""),"",D2564*E2564)</f>
        <v/>
      </c>
      <c r="I2564" s="8">
        <f>IF(OR(D2564="",E2564=""),"",E2564*(1+D2564/30))</f>
        <v/>
      </c>
      <c r="J2564">
        <f>IF(I2564="","",IF(I2564&gt;=MAXIFS($I$2:$I$5001,$B$2:$B$5001,B2564,$A$2:$A$5001,"&lt;="&amp;A2564),"PR",""))</f>
        <v/>
      </c>
    </row>
    <row r="2565">
      <c r="A2565" s="7" t="n"/>
      <c r="H2565" s="11">
        <f>IF(OR(D2565="",E2565=""),"",D2565*E2565)</f>
        <v/>
      </c>
      <c r="I2565" s="8">
        <f>IF(OR(D2565="",E2565=""),"",E2565*(1+D2565/30))</f>
        <v/>
      </c>
      <c r="J2565">
        <f>IF(I2565="","",IF(I2565&gt;=MAXIFS($I$2:$I$5001,$B$2:$B$5001,B2565,$A$2:$A$5001,"&lt;="&amp;A2565),"PR",""))</f>
        <v/>
      </c>
    </row>
    <row r="2566">
      <c r="A2566" s="7" t="n"/>
      <c r="H2566" s="11">
        <f>IF(OR(D2566="",E2566=""),"",D2566*E2566)</f>
        <v/>
      </c>
      <c r="I2566" s="8">
        <f>IF(OR(D2566="",E2566=""),"",E2566*(1+D2566/30))</f>
        <v/>
      </c>
      <c r="J2566">
        <f>IF(I2566="","",IF(I2566&gt;=MAXIFS($I$2:$I$5001,$B$2:$B$5001,B2566,$A$2:$A$5001,"&lt;="&amp;A2566),"PR",""))</f>
        <v/>
      </c>
    </row>
    <row r="2567">
      <c r="A2567" s="7" t="n"/>
      <c r="H2567" s="11">
        <f>IF(OR(D2567="",E2567=""),"",D2567*E2567)</f>
        <v/>
      </c>
      <c r="I2567" s="8">
        <f>IF(OR(D2567="",E2567=""),"",E2567*(1+D2567/30))</f>
        <v/>
      </c>
      <c r="J2567">
        <f>IF(I2567="","",IF(I2567&gt;=MAXIFS($I$2:$I$5001,$B$2:$B$5001,B2567,$A$2:$A$5001,"&lt;="&amp;A2567),"PR",""))</f>
        <v/>
      </c>
    </row>
    <row r="2568">
      <c r="A2568" s="7" t="n"/>
      <c r="H2568" s="11">
        <f>IF(OR(D2568="",E2568=""),"",D2568*E2568)</f>
        <v/>
      </c>
      <c r="I2568" s="8">
        <f>IF(OR(D2568="",E2568=""),"",E2568*(1+D2568/30))</f>
        <v/>
      </c>
      <c r="J2568">
        <f>IF(I2568="","",IF(I2568&gt;=MAXIFS($I$2:$I$5001,$B$2:$B$5001,B2568,$A$2:$A$5001,"&lt;="&amp;A2568),"PR",""))</f>
        <v/>
      </c>
    </row>
    <row r="2569">
      <c r="A2569" s="7" t="n"/>
      <c r="H2569" s="11">
        <f>IF(OR(D2569="",E2569=""),"",D2569*E2569)</f>
        <v/>
      </c>
      <c r="I2569" s="8">
        <f>IF(OR(D2569="",E2569=""),"",E2569*(1+D2569/30))</f>
        <v/>
      </c>
      <c r="J2569">
        <f>IF(I2569="","",IF(I2569&gt;=MAXIFS($I$2:$I$5001,$B$2:$B$5001,B2569,$A$2:$A$5001,"&lt;="&amp;A2569),"PR",""))</f>
        <v/>
      </c>
    </row>
    <row r="2570">
      <c r="A2570" s="7" t="n"/>
      <c r="H2570" s="11">
        <f>IF(OR(D2570="",E2570=""),"",D2570*E2570)</f>
        <v/>
      </c>
      <c r="I2570" s="8">
        <f>IF(OR(D2570="",E2570=""),"",E2570*(1+D2570/30))</f>
        <v/>
      </c>
      <c r="J2570">
        <f>IF(I2570="","",IF(I2570&gt;=MAXIFS($I$2:$I$5001,$B$2:$B$5001,B2570,$A$2:$A$5001,"&lt;="&amp;A2570),"PR",""))</f>
        <v/>
      </c>
    </row>
    <row r="2571">
      <c r="A2571" s="7" t="n"/>
      <c r="H2571" s="11">
        <f>IF(OR(D2571="",E2571=""),"",D2571*E2571)</f>
        <v/>
      </c>
      <c r="I2571" s="8">
        <f>IF(OR(D2571="",E2571=""),"",E2571*(1+D2571/30))</f>
        <v/>
      </c>
      <c r="J2571">
        <f>IF(I2571="","",IF(I2571&gt;=MAXIFS($I$2:$I$5001,$B$2:$B$5001,B2571,$A$2:$A$5001,"&lt;="&amp;A2571),"PR",""))</f>
        <v/>
      </c>
    </row>
    <row r="2572">
      <c r="A2572" s="7" t="n"/>
      <c r="H2572" s="11">
        <f>IF(OR(D2572="",E2572=""),"",D2572*E2572)</f>
        <v/>
      </c>
      <c r="I2572" s="8">
        <f>IF(OR(D2572="",E2572=""),"",E2572*(1+D2572/30))</f>
        <v/>
      </c>
      <c r="J2572">
        <f>IF(I2572="","",IF(I2572&gt;=MAXIFS($I$2:$I$5001,$B$2:$B$5001,B2572,$A$2:$A$5001,"&lt;="&amp;A2572),"PR",""))</f>
        <v/>
      </c>
    </row>
    <row r="2573">
      <c r="A2573" s="7" t="n"/>
      <c r="H2573" s="11">
        <f>IF(OR(D2573="",E2573=""),"",D2573*E2573)</f>
        <v/>
      </c>
      <c r="I2573" s="8">
        <f>IF(OR(D2573="",E2573=""),"",E2573*(1+D2573/30))</f>
        <v/>
      </c>
      <c r="J2573">
        <f>IF(I2573="","",IF(I2573&gt;=MAXIFS($I$2:$I$5001,$B$2:$B$5001,B2573,$A$2:$A$5001,"&lt;="&amp;A2573),"PR",""))</f>
        <v/>
      </c>
    </row>
    <row r="2574">
      <c r="A2574" s="7" t="n"/>
      <c r="H2574" s="11">
        <f>IF(OR(D2574="",E2574=""),"",D2574*E2574)</f>
        <v/>
      </c>
      <c r="I2574" s="8">
        <f>IF(OR(D2574="",E2574=""),"",E2574*(1+D2574/30))</f>
        <v/>
      </c>
      <c r="J2574">
        <f>IF(I2574="","",IF(I2574&gt;=MAXIFS($I$2:$I$5001,$B$2:$B$5001,B2574,$A$2:$A$5001,"&lt;="&amp;A2574),"PR",""))</f>
        <v/>
      </c>
    </row>
    <row r="2575">
      <c r="A2575" s="7" t="n"/>
      <c r="H2575" s="11">
        <f>IF(OR(D2575="",E2575=""),"",D2575*E2575)</f>
        <v/>
      </c>
      <c r="I2575" s="8">
        <f>IF(OR(D2575="",E2575=""),"",E2575*(1+D2575/30))</f>
        <v/>
      </c>
      <c r="J2575">
        <f>IF(I2575="","",IF(I2575&gt;=MAXIFS($I$2:$I$5001,$B$2:$B$5001,B2575,$A$2:$A$5001,"&lt;="&amp;A2575),"PR",""))</f>
        <v/>
      </c>
    </row>
    <row r="2576">
      <c r="A2576" s="7" t="n"/>
      <c r="H2576" s="11">
        <f>IF(OR(D2576="",E2576=""),"",D2576*E2576)</f>
        <v/>
      </c>
      <c r="I2576" s="8">
        <f>IF(OR(D2576="",E2576=""),"",E2576*(1+D2576/30))</f>
        <v/>
      </c>
      <c r="J2576">
        <f>IF(I2576="","",IF(I2576&gt;=MAXIFS($I$2:$I$5001,$B$2:$B$5001,B2576,$A$2:$A$5001,"&lt;="&amp;A2576),"PR",""))</f>
        <v/>
      </c>
    </row>
    <row r="2577">
      <c r="A2577" s="7" t="n"/>
      <c r="H2577" s="11">
        <f>IF(OR(D2577="",E2577=""),"",D2577*E2577)</f>
        <v/>
      </c>
      <c r="I2577" s="8">
        <f>IF(OR(D2577="",E2577=""),"",E2577*(1+D2577/30))</f>
        <v/>
      </c>
      <c r="J2577">
        <f>IF(I2577="","",IF(I2577&gt;=MAXIFS($I$2:$I$5001,$B$2:$B$5001,B2577,$A$2:$A$5001,"&lt;="&amp;A2577),"PR",""))</f>
        <v/>
      </c>
    </row>
    <row r="2578">
      <c r="A2578" s="7" t="n"/>
      <c r="H2578" s="11">
        <f>IF(OR(D2578="",E2578=""),"",D2578*E2578)</f>
        <v/>
      </c>
      <c r="I2578" s="8">
        <f>IF(OR(D2578="",E2578=""),"",E2578*(1+D2578/30))</f>
        <v/>
      </c>
      <c r="J2578">
        <f>IF(I2578="","",IF(I2578&gt;=MAXIFS($I$2:$I$5001,$B$2:$B$5001,B2578,$A$2:$A$5001,"&lt;="&amp;A2578),"PR",""))</f>
        <v/>
      </c>
    </row>
    <row r="2579">
      <c r="A2579" s="7" t="n"/>
      <c r="H2579" s="11">
        <f>IF(OR(D2579="",E2579=""),"",D2579*E2579)</f>
        <v/>
      </c>
      <c r="I2579" s="8">
        <f>IF(OR(D2579="",E2579=""),"",E2579*(1+D2579/30))</f>
        <v/>
      </c>
      <c r="J2579">
        <f>IF(I2579="","",IF(I2579&gt;=MAXIFS($I$2:$I$5001,$B$2:$B$5001,B2579,$A$2:$A$5001,"&lt;="&amp;A2579),"PR",""))</f>
        <v/>
      </c>
    </row>
    <row r="2580">
      <c r="A2580" s="7" t="n"/>
      <c r="H2580" s="11">
        <f>IF(OR(D2580="",E2580=""),"",D2580*E2580)</f>
        <v/>
      </c>
      <c r="I2580" s="8">
        <f>IF(OR(D2580="",E2580=""),"",E2580*(1+D2580/30))</f>
        <v/>
      </c>
      <c r="J2580">
        <f>IF(I2580="","",IF(I2580&gt;=MAXIFS($I$2:$I$5001,$B$2:$B$5001,B2580,$A$2:$A$5001,"&lt;="&amp;A2580),"PR",""))</f>
        <v/>
      </c>
    </row>
    <row r="2581">
      <c r="A2581" s="7" t="n"/>
      <c r="H2581" s="11">
        <f>IF(OR(D2581="",E2581=""),"",D2581*E2581)</f>
        <v/>
      </c>
      <c r="I2581" s="8">
        <f>IF(OR(D2581="",E2581=""),"",E2581*(1+D2581/30))</f>
        <v/>
      </c>
      <c r="J2581">
        <f>IF(I2581="","",IF(I2581&gt;=MAXIFS($I$2:$I$5001,$B$2:$B$5001,B2581,$A$2:$A$5001,"&lt;="&amp;A2581),"PR",""))</f>
        <v/>
      </c>
    </row>
    <row r="2582">
      <c r="A2582" s="7" t="n"/>
      <c r="H2582" s="11">
        <f>IF(OR(D2582="",E2582=""),"",D2582*E2582)</f>
        <v/>
      </c>
      <c r="I2582" s="8">
        <f>IF(OR(D2582="",E2582=""),"",E2582*(1+D2582/30))</f>
        <v/>
      </c>
      <c r="J2582">
        <f>IF(I2582="","",IF(I2582&gt;=MAXIFS($I$2:$I$5001,$B$2:$B$5001,B2582,$A$2:$A$5001,"&lt;="&amp;A2582),"PR",""))</f>
        <v/>
      </c>
    </row>
    <row r="2583">
      <c r="A2583" s="7" t="n"/>
      <c r="H2583" s="11">
        <f>IF(OR(D2583="",E2583=""),"",D2583*E2583)</f>
        <v/>
      </c>
      <c r="I2583" s="8">
        <f>IF(OR(D2583="",E2583=""),"",E2583*(1+D2583/30))</f>
        <v/>
      </c>
      <c r="J2583">
        <f>IF(I2583="","",IF(I2583&gt;=MAXIFS($I$2:$I$5001,$B$2:$B$5001,B2583,$A$2:$A$5001,"&lt;="&amp;A2583),"PR",""))</f>
        <v/>
      </c>
    </row>
    <row r="2584">
      <c r="A2584" s="7" t="n"/>
      <c r="H2584" s="11">
        <f>IF(OR(D2584="",E2584=""),"",D2584*E2584)</f>
        <v/>
      </c>
      <c r="I2584" s="8">
        <f>IF(OR(D2584="",E2584=""),"",E2584*(1+D2584/30))</f>
        <v/>
      </c>
      <c r="J2584">
        <f>IF(I2584="","",IF(I2584&gt;=MAXIFS($I$2:$I$5001,$B$2:$B$5001,B2584,$A$2:$A$5001,"&lt;="&amp;A2584),"PR",""))</f>
        <v/>
      </c>
    </row>
    <row r="2585">
      <c r="A2585" s="7" t="n"/>
      <c r="H2585" s="11">
        <f>IF(OR(D2585="",E2585=""),"",D2585*E2585)</f>
        <v/>
      </c>
      <c r="I2585" s="8">
        <f>IF(OR(D2585="",E2585=""),"",E2585*(1+D2585/30))</f>
        <v/>
      </c>
      <c r="J2585">
        <f>IF(I2585="","",IF(I2585&gt;=MAXIFS($I$2:$I$5001,$B$2:$B$5001,B2585,$A$2:$A$5001,"&lt;="&amp;A2585),"PR",""))</f>
        <v/>
      </c>
    </row>
    <row r="2586">
      <c r="A2586" s="7" t="n"/>
      <c r="H2586" s="11">
        <f>IF(OR(D2586="",E2586=""),"",D2586*E2586)</f>
        <v/>
      </c>
      <c r="I2586" s="8">
        <f>IF(OR(D2586="",E2586=""),"",E2586*(1+D2586/30))</f>
        <v/>
      </c>
      <c r="J2586">
        <f>IF(I2586="","",IF(I2586&gt;=MAXIFS($I$2:$I$5001,$B$2:$B$5001,B2586,$A$2:$A$5001,"&lt;="&amp;A2586),"PR",""))</f>
        <v/>
      </c>
    </row>
    <row r="2587">
      <c r="A2587" s="7" t="n"/>
      <c r="H2587" s="11">
        <f>IF(OR(D2587="",E2587=""),"",D2587*E2587)</f>
        <v/>
      </c>
      <c r="I2587" s="8">
        <f>IF(OR(D2587="",E2587=""),"",E2587*(1+D2587/30))</f>
        <v/>
      </c>
      <c r="J2587">
        <f>IF(I2587="","",IF(I2587&gt;=MAXIFS($I$2:$I$5001,$B$2:$B$5001,B2587,$A$2:$A$5001,"&lt;="&amp;A2587),"PR",""))</f>
        <v/>
      </c>
    </row>
    <row r="2588">
      <c r="A2588" s="7" t="n"/>
      <c r="H2588" s="11">
        <f>IF(OR(D2588="",E2588=""),"",D2588*E2588)</f>
        <v/>
      </c>
      <c r="I2588" s="8">
        <f>IF(OR(D2588="",E2588=""),"",E2588*(1+D2588/30))</f>
        <v/>
      </c>
      <c r="J2588">
        <f>IF(I2588="","",IF(I2588&gt;=MAXIFS($I$2:$I$5001,$B$2:$B$5001,B2588,$A$2:$A$5001,"&lt;="&amp;A2588),"PR",""))</f>
        <v/>
      </c>
    </row>
    <row r="2589">
      <c r="A2589" s="7" t="n"/>
      <c r="H2589" s="11">
        <f>IF(OR(D2589="",E2589=""),"",D2589*E2589)</f>
        <v/>
      </c>
      <c r="I2589" s="8">
        <f>IF(OR(D2589="",E2589=""),"",E2589*(1+D2589/30))</f>
        <v/>
      </c>
      <c r="J2589">
        <f>IF(I2589="","",IF(I2589&gt;=MAXIFS($I$2:$I$5001,$B$2:$B$5001,B2589,$A$2:$A$5001,"&lt;="&amp;A2589),"PR",""))</f>
        <v/>
      </c>
    </row>
    <row r="2590">
      <c r="A2590" s="7" t="n"/>
      <c r="H2590" s="11">
        <f>IF(OR(D2590="",E2590=""),"",D2590*E2590)</f>
        <v/>
      </c>
      <c r="I2590" s="8">
        <f>IF(OR(D2590="",E2590=""),"",E2590*(1+D2590/30))</f>
        <v/>
      </c>
      <c r="J2590">
        <f>IF(I2590="","",IF(I2590&gt;=MAXIFS($I$2:$I$5001,$B$2:$B$5001,B2590,$A$2:$A$5001,"&lt;="&amp;A2590),"PR",""))</f>
        <v/>
      </c>
    </row>
    <row r="2591">
      <c r="A2591" s="7" t="n"/>
      <c r="H2591" s="11">
        <f>IF(OR(D2591="",E2591=""),"",D2591*E2591)</f>
        <v/>
      </c>
      <c r="I2591" s="8">
        <f>IF(OR(D2591="",E2591=""),"",E2591*(1+D2591/30))</f>
        <v/>
      </c>
      <c r="J2591">
        <f>IF(I2591="","",IF(I2591&gt;=MAXIFS($I$2:$I$5001,$B$2:$B$5001,B2591,$A$2:$A$5001,"&lt;="&amp;A2591),"PR",""))</f>
        <v/>
      </c>
    </row>
    <row r="2592">
      <c r="A2592" s="7" t="n"/>
      <c r="H2592" s="11">
        <f>IF(OR(D2592="",E2592=""),"",D2592*E2592)</f>
        <v/>
      </c>
      <c r="I2592" s="8">
        <f>IF(OR(D2592="",E2592=""),"",E2592*(1+D2592/30))</f>
        <v/>
      </c>
      <c r="J2592">
        <f>IF(I2592="","",IF(I2592&gt;=MAXIFS($I$2:$I$5001,$B$2:$B$5001,B2592,$A$2:$A$5001,"&lt;="&amp;A2592),"PR",""))</f>
        <v/>
      </c>
    </row>
    <row r="2593">
      <c r="A2593" s="7" t="n"/>
      <c r="H2593" s="11">
        <f>IF(OR(D2593="",E2593=""),"",D2593*E2593)</f>
        <v/>
      </c>
      <c r="I2593" s="8">
        <f>IF(OR(D2593="",E2593=""),"",E2593*(1+D2593/30))</f>
        <v/>
      </c>
      <c r="J2593">
        <f>IF(I2593="","",IF(I2593&gt;=MAXIFS($I$2:$I$5001,$B$2:$B$5001,B2593,$A$2:$A$5001,"&lt;="&amp;A2593),"PR",""))</f>
        <v/>
      </c>
    </row>
    <row r="2594">
      <c r="A2594" s="7" t="n"/>
      <c r="H2594" s="11">
        <f>IF(OR(D2594="",E2594=""),"",D2594*E2594)</f>
        <v/>
      </c>
      <c r="I2594" s="8">
        <f>IF(OR(D2594="",E2594=""),"",E2594*(1+D2594/30))</f>
        <v/>
      </c>
      <c r="J2594">
        <f>IF(I2594="","",IF(I2594&gt;=MAXIFS($I$2:$I$5001,$B$2:$B$5001,B2594,$A$2:$A$5001,"&lt;="&amp;A2594),"PR",""))</f>
        <v/>
      </c>
    </row>
    <row r="2595">
      <c r="A2595" s="7" t="n"/>
      <c r="H2595" s="11">
        <f>IF(OR(D2595="",E2595=""),"",D2595*E2595)</f>
        <v/>
      </c>
      <c r="I2595" s="8">
        <f>IF(OR(D2595="",E2595=""),"",E2595*(1+D2595/30))</f>
        <v/>
      </c>
      <c r="J2595">
        <f>IF(I2595="","",IF(I2595&gt;=MAXIFS($I$2:$I$5001,$B$2:$B$5001,B2595,$A$2:$A$5001,"&lt;="&amp;A2595),"PR",""))</f>
        <v/>
      </c>
    </row>
    <row r="2596">
      <c r="A2596" s="7" t="n"/>
      <c r="H2596" s="11">
        <f>IF(OR(D2596="",E2596=""),"",D2596*E2596)</f>
        <v/>
      </c>
      <c r="I2596" s="8">
        <f>IF(OR(D2596="",E2596=""),"",E2596*(1+D2596/30))</f>
        <v/>
      </c>
      <c r="J2596">
        <f>IF(I2596="","",IF(I2596&gt;=MAXIFS($I$2:$I$5001,$B$2:$B$5001,B2596,$A$2:$A$5001,"&lt;="&amp;A2596),"PR",""))</f>
        <v/>
      </c>
    </row>
    <row r="2597">
      <c r="A2597" s="7" t="n"/>
      <c r="H2597" s="11">
        <f>IF(OR(D2597="",E2597=""),"",D2597*E2597)</f>
        <v/>
      </c>
      <c r="I2597" s="8">
        <f>IF(OR(D2597="",E2597=""),"",E2597*(1+D2597/30))</f>
        <v/>
      </c>
      <c r="J2597">
        <f>IF(I2597="","",IF(I2597&gt;=MAXIFS($I$2:$I$5001,$B$2:$B$5001,B2597,$A$2:$A$5001,"&lt;="&amp;A2597),"PR",""))</f>
        <v/>
      </c>
    </row>
    <row r="2598">
      <c r="A2598" s="7" t="n"/>
      <c r="H2598" s="11">
        <f>IF(OR(D2598="",E2598=""),"",D2598*E2598)</f>
        <v/>
      </c>
      <c r="I2598" s="8">
        <f>IF(OR(D2598="",E2598=""),"",E2598*(1+D2598/30))</f>
        <v/>
      </c>
      <c r="J2598">
        <f>IF(I2598="","",IF(I2598&gt;=MAXIFS($I$2:$I$5001,$B$2:$B$5001,B2598,$A$2:$A$5001,"&lt;="&amp;A2598),"PR",""))</f>
        <v/>
      </c>
    </row>
    <row r="2599">
      <c r="A2599" s="7" t="n"/>
      <c r="H2599" s="11">
        <f>IF(OR(D2599="",E2599=""),"",D2599*E2599)</f>
        <v/>
      </c>
      <c r="I2599" s="8">
        <f>IF(OR(D2599="",E2599=""),"",E2599*(1+D2599/30))</f>
        <v/>
      </c>
      <c r="J2599">
        <f>IF(I2599="","",IF(I2599&gt;=MAXIFS($I$2:$I$5001,$B$2:$B$5001,B2599,$A$2:$A$5001,"&lt;="&amp;A2599),"PR",""))</f>
        <v/>
      </c>
    </row>
    <row r="2600">
      <c r="A2600" s="7" t="n"/>
      <c r="H2600" s="11">
        <f>IF(OR(D2600="",E2600=""),"",D2600*E2600)</f>
        <v/>
      </c>
      <c r="I2600" s="8">
        <f>IF(OR(D2600="",E2600=""),"",E2600*(1+D2600/30))</f>
        <v/>
      </c>
      <c r="J2600">
        <f>IF(I2600="","",IF(I2600&gt;=MAXIFS($I$2:$I$5001,$B$2:$B$5001,B2600,$A$2:$A$5001,"&lt;="&amp;A2600),"PR",""))</f>
        <v/>
      </c>
    </row>
    <row r="2601">
      <c r="A2601" s="7" t="n"/>
      <c r="H2601" s="11">
        <f>IF(OR(D2601="",E2601=""),"",D2601*E2601)</f>
        <v/>
      </c>
      <c r="I2601" s="8">
        <f>IF(OR(D2601="",E2601=""),"",E2601*(1+D2601/30))</f>
        <v/>
      </c>
      <c r="J2601">
        <f>IF(I2601="","",IF(I2601&gt;=MAXIFS($I$2:$I$5001,$B$2:$B$5001,B2601,$A$2:$A$5001,"&lt;="&amp;A2601),"PR",""))</f>
        <v/>
      </c>
    </row>
    <row r="2602">
      <c r="A2602" s="7" t="n"/>
      <c r="H2602" s="11">
        <f>IF(OR(D2602="",E2602=""),"",D2602*E2602)</f>
        <v/>
      </c>
      <c r="I2602" s="8">
        <f>IF(OR(D2602="",E2602=""),"",E2602*(1+D2602/30))</f>
        <v/>
      </c>
      <c r="J2602">
        <f>IF(I2602="","",IF(I2602&gt;=MAXIFS($I$2:$I$5001,$B$2:$B$5001,B2602,$A$2:$A$5001,"&lt;="&amp;A2602),"PR",""))</f>
        <v/>
      </c>
    </row>
    <row r="2603">
      <c r="A2603" s="7" t="n"/>
      <c r="H2603" s="11">
        <f>IF(OR(D2603="",E2603=""),"",D2603*E2603)</f>
        <v/>
      </c>
      <c r="I2603" s="8">
        <f>IF(OR(D2603="",E2603=""),"",E2603*(1+D2603/30))</f>
        <v/>
      </c>
      <c r="J2603">
        <f>IF(I2603="","",IF(I2603&gt;=MAXIFS($I$2:$I$5001,$B$2:$B$5001,B2603,$A$2:$A$5001,"&lt;="&amp;A2603),"PR",""))</f>
        <v/>
      </c>
    </row>
    <row r="2604">
      <c r="A2604" s="7" t="n"/>
      <c r="H2604" s="11">
        <f>IF(OR(D2604="",E2604=""),"",D2604*E2604)</f>
        <v/>
      </c>
      <c r="I2604" s="8">
        <f>IF(OR(D2604="",E2604=""),"",E2604*(1+D2604/30))</f>
        <v/>
      </c>
      <c r="J2604">
        <f>IF(I2604="","",IF(I2604&gt;=MAXIFS($I$2:$I$5001,$B$2:$B$5001,B2604,$A$2:$A$5001,"&lt;="&amp;A2604),"PR",""))</f>
        <v/>
      </c>
    </row>
    <row r="2605">
      <c r="A2605" s="7" t="n"/>
      <c r="H2605" s="11">
        <f>IF(OR(D2605="",E2605=""),"",D2605*E2605)</f>
        <v/>
      </c>
      <c r="I2605" s="8">
        <f>IF(OR(D2605="",E2605=""),"",E2605*(1+D2605/30))</f>
        <v/>
      </c>
      <c r="J2605">
        <f>IF(I2605="","",IF(I2605&gt;=MAXIFS($I$2:$I$5001,$B$2:$B$5001,B2605,$A$2:$A$5001,"&lt;="&amp;A2605),"PR",""))</f>
        <v/>
      </c>
    </row>
    <row r="2606">
      <c r="A2606" s="7" t="n"/>
      <c r="H2606" s="11">
        <f>IF(OR(D2606="",E2606=""),"",D2606*E2606)</f>
        <v/>
      </c>
      <c r="I2606" s="8">
        <f>IF(OR(D2606="",E2606=""),"",E2606*(1+D2606/30))</f>
        <v/>
      </c>
      <c r="J2606">
        <f>IF(I2606="","",IF(I2606&gt;=MAXIFS($I$2:$I$5001,$B$2:$B$5001,B2606,$A$2:$A$5001,"&lt;="&amp;A2606),"PR",""))</f>
        <v/>
      </c>
    </row>
    <row r="2607">
      <c r="A2607" s="7" t="n"/>
      <c r="H2607" s="11">
        <f>IF(OR(D2607="",E2607=""),"",D2607*E2607)</f>
        <v/>
      </c>
      <c r="I2607" s="8">
        <f>IF(OR(D2607="",E2607=""),"",E2607*(1+D2607/30))</f>
        <v/>
      </c>
      <c r="J2607">
        <f>IF(I2607="","",IF(I2607&gt;=MAXIFS($I$2:$I$5001,$B$2:$B$5001,B2607,$A$2:$A$5001,"&lt;="&amp;A2607),"PR",""))</f>
        <v/>
      </c>
    </row>
    <row r="2608">
      <c r="A2608" s="7" t="n"/>
      <c r="H2608" s="11">
        <f>IF(OR(D2608="",E2608=""),"",D2608*E2608)</f>
        <v/>
      </c>
      <c r="I2608" s="8">
        <f>IF(OR(D2608="",E2608=""),"",E2608*(1+D2608/30))</f>
        <v/>
      </c>
      <c r="J2608">
        <f>IF(I2608="","",IF(I2608&gt;=MAXIFS($I$2:$I$5001,$B$2:$B$5001,B2608,$A$2:$A$5001,"&lt;="&amp;A2608),"PR",""))</f>
        <v/>
      </c>
    </row>
    <row r="2609">
      <c r="A2609" s="7" t="n"/>
      <c r="H2609" s="11">
        <f>IF(OR(D2609="",E2609=""),"",D2609*E2609)</f>
        <v/>
      </c>
      <c r="I2609" s="8">
        <f>IF(OR(D2609="",E2609=""),"",E2609*(1+D2609/30))</f>
        <v/>
      </c>
      <c r="J2609">
        <f>IF(I2609="","",IF(I2609&gt;=MAXIFS($I$2:$I$5001,$B$2:$B$5001,B2609,$A$2:$A$5001,"&lt;="&amp;A2609),"PR",""))</f>
        <v/>
      </c>
    </row>
    <row r="2610">
      <c r="A2610" s="7" t="n"/>
      <c r="H2610" s="11">
        <f>IF(OR(D2610="",E2610=""),"",D2610*E2610)</f>
        <v/>
      </c>
      <c r="I2610" s="8">
        <f>IF(OR(D2610="",E2610=""),"",E2610*(1+D2610/30))</f>
        <v/>
      </c>
      <c r="J2610">
        <f>IF(I2610="","",IF(I2610&gt;=MAXIFS($I$2:$I$5001,$B$2:$B$5001,B2610,$A$2:$A$5001,"&lt;="&amp;A2610),"PR",""))</f>
        <v/>
      </c>
    </row>
    <row r="2611">
      <c r="A2611" s="7" t="n"/>
      <c r="H2611" s="11">
        <f>IF(OR(D2611="",E2611=""),"",D2611*E2611)</f>
        <v/>
      </c>
      <c r="I2611" s="8">
        <f>IF(OR(D2611="",E2611=""),"",E2611*(1+D2611/30))</f>
        <v/>
      </c>
      <c r="J2611">
        <f>IF(I2611="","",IF(I2611&gt;=MAXIFS($I$2:$I$5001,$B$2:$B$5001,B2611,$A$2:$A$5001,"&lt;="&amp;A2611),"PR",""))</f>
        <v/>
      </c>
    </row>
    <row r="2612">
      <c r="A2612" s="7" t="n"/>
      <c r="H2612" s="11">
        <f>IF(OR(D2612="",E2612=""),"",D2612*E2612)</f>
        <v/>
      </c>
      <c r="I2612" s="8">
        <f>IF(OR(D2612="",E2612=""),"",E2612*(1+D2612/30))</f>
        <v/>
      </c>
      <c r="J2612">
        <f>IF(I2612="","",IF(I2612&gt;=MAXIFS($I$2:$I$5001,$B$2:$B$5001,B2612,$A$2:$A$5001,"&lt;="&amp;A2612),"PR",""))</f>
        <v/>
      </c>
    </row>
    <row r="2613">
      <c r="A2613" s="7" t="n"/>
      <c r="H2613" s="11">
        <f>IF(OR(D2613="",E2613=""),"",D2613*E2613)</f>
        <v/>
      </c>
      <c r="I2613" s="8">
        <f>IF(OR(D2613="",E2613=""),"",E2613*(1+D2613/30))</f>
        <v/>
      </c>
      <c r="J2613">
        <f>IF(I2613="","",IF(I2613&gt;=MAXIFS($I$2:$I$5001,$B$2:$B$5001,B2613,$A$2:$A$5001,"&lt;="&amp;A2613),"PR",""))</f>
        <v/>
      </c>
    </row>
    <row r="2614">
      <c r="A2614" s="7" t="n"/>
      <c r="H2614" s="11">
        <f>IF(OR(D2614="",E2614=""),"",D2614*E2614)</f>
        <v/>
      </c>
      <c r="I2614" s="8">
        <f>IF(OR(D2614="",E2614=""),"",E2614*(1+D2614/30))</f>
        <v/>
      </c>
      <c r="J2614">
        <f>IF(I2614="","",IF(I2614&gt;=MAXIFS($I$2:$I$5001,$B$2:$B$5001,B2614,$A$2:$A$5001,"&lt;="&amp;A2614),"PR",""))</f>
        <v/>
      </c>
    </row>
    <row r="2615">
      <c r="A2615" s="7" t="n"/>
      <c r="H2615" s="11">
        <f>IF(OR(D2615="",E2615=""),"",D2615*E2615)</f>
        <v/>
      </c>
      <c r="I2615" s="8">
        <f>IF(OR(D2615="",E2615=""),"",E2615*(1+D2615/30))</f>
        <v/>
      </c>
      <c r="J2615">
        <f>IF(I2615="","",IF(I2615&gt;=MAXIFS($I$2:$I$5001,$B$2:$B$5001,B2615,$A$2:$A$5001,"&lt;="&amp;A2615),"PR",""))</f>
        <v/>
      </c>
    </row>
    <row r="2616">
      <c r="A2616" s="7" t="n"/>
      <c r="H2616" s="11">
        <f>IF(OR(D2616="",E2616=""),"",D2616*E2616)</f>
        <v/>
      </c>
      <c r="I2616" s="8">
        <f>IF(OR(D2616="",E2616=""),"",E2616*(1+D2616/30))</f>
        <v/>
      </c>
      <c r="J2616">
        <f>IF(I2616="","",IF(I2616&gt;=MAXIFS($I$2:$I$5001,$B$2:$B$5001,B2616,$A$2:$A$5001,"&lt;="&amp;A2616),"PR",""))</f>
        <v/>
      </c>
    </row>
    <row r="2617">
      <c r="A2617" s="7" t="n"/>
      <c r="H2617" s="11">
        <f>IF(OR(D2617="",E2617=""),"",D2617*E2617)</f>
        <v/>
      </c>
      <c r="I2617" s="8">
        <f>IF(OR(D2617="",E2617=""),"",E2617*(1+D2617/30))</f>
        <v/>
      </c>
      <c r="J2617">
        <f>IF(I2617="","",IF(I2617&gt;=MAXIFS($I$2:$I$5001,$B$2:$B$5001,B2617,$A$2:$A$5001,"&lt;="&amp;A2617),"PR",""))</f>
        <v/>
      </c>
    </row>
    <row r="2618">
      <c r="A2618" s="7" t="n"/>
      <c r="H2618" s="11">
        <f>IF(OR(D2618="",E2618=""),"",D2618*E2618)</f>
        <v/>
      </c>
      <c r="I2618" s="8">
        <f>IF(OR(D2618="",E2618=""),"",E2618*(1+D2618/30))</f>
        <v/>
      </c>
      <c r="J2618">
        <f>IF(I2618="","",IF(I2618&gt;=MAXIFS($I$2:$I$5001,$B$2:$B$5001,B2618,$A$2:$A$5001,"&lt;="&amp;A2618),"PR",""))</f>
        <v/>
      </c>
    </row>
    <row r="2619">
      <c r="A2619" s="7" t="n"/>
      <c r="H2619" s="11">
        <f>IF(OR(D2619="",E2619=""),"",D2619*E2619)</f>
        <v/>
      </c>
      <c r="I2619" s="8">
        <f>IF(OR(D2619="",E2619=""),"",E2619*(1+D2619/30))</f>
        <v/>
      </c>
      <c r="J2619">
        <f>IF(I2619="","",IF(I2619&gt;=MAXIFS($I$2:$I$5001,$B$2:$B$5001,B2619,$A$2:$A$5001,"&lt;="&amp;A2619),"PR",""))</f>
        <v/>
      </c>
    </row>
    <row r="2620">
      <c r="A2620" s="7" t="n"/>
      <c r="H2620" s="11">
        <f>IF(OR(D2620="",E2620=""),"",D2620*E2620)</f>
        <v/>
      </c>
      <c r="I2620" s="8">
        <f>IF(OR(D2620="",E2620=""),"",E2620*(1+D2620/30))</f>
        <v/>
      </c>
      <c r="J2620">
        <f>IF(I2620="","",IF(I2620&gt;=MAXIFS($I$2:$I$5001,$B$2:$B$5001,B2620,$A$2:$A$5001,"&lt;="&amp;A2620),"PR",""))</f>
        <v/>
      </c>
    </row>
    <row r="2621">
      <c r="A2621" s="7" t="n"/>
      <c r="H2621" s="11">
        <f>IF(OR(D2621="",E2621=""),"",D2621*E2621)</f>
        <v/>
      </c>
      <c r="I2621" s="8">
        <f>IF(OR(D2621="",E2621=""),"",E2621*(1+D2621/30))</f>
        <v/>
      </c>
      <c r="J2621">
        <f>IF(I2621="","",IF(I2621&gt;=MAXIFS($I$2:$I$5001,$B$2:$B$5001,B2621,$A$2:$A$5001,"&lt;="&amp;A2621),"PR",""))</f>
        <v/>
      </c>
    </row>
    <row r="2622">
      <c r="A2622" s="7" t="n"/>
      <c r="H2622" s="11">
        <f>IF(OR(D2622="",E2622=""),"",D2622*E2622)</f>
        <v/>
      </c>
      <c r="I2622" s="8">
        <f>IF(OR(D2622="",E2622=""),"",E2622*(1+D2622/30))</f>
        <v/>
      </c>
      <c r="J2622">
        <f>IF(I2622="","",IF(I2622&gt;=MAXIFS($I$2:$I$5001,$B$2:$B$5001,B2622,$A$2:$A$5001,"&lt;="&amp;A2622),"PR",""))</f>
        <v/>
      </c>
    </row>
    <row r="2623">
      <c r="A2623" s="7" t="n"/>
      <c r="H2623" s="11">
        <f>IF(OR(D2623="",E2623=""),"",D2623*E2623)</f>
        <v/>
      </c>
      <c r="I2623" s="8">
        <f>IF(OR(D2623="",E2623=""),"",E2623*(1+D2623/30))</f>
        <v/>
      </c>
      <c r="J2623">
        <f>IF(I2623="","",IF(I2623&gt;=MAXIFS($I$2:$I$5001,$B$2:$B$5001,B2623,$A$2:$A$5001,"&lt;="&amp;A2623),"PR",""))</f>
        <v/>
      </c>
    </row>
    <row r="2624">
      <c r="A2624" s="7" t="n"/>
      <c r="H2624" s="11">
        <f>IF(OR(D2624="",E2624=""),"",D2624*E2624)</f>
        <v/>
      </c>
      <c r="I2624" s="8">
        <f>IF(OR(D2624="",E2624=""),"",E2624*(1+D2624/30))</f>
        <v/>
      </c>
      <c r="J2624">
        <f>IF(I2624="","",IF(I2624&gt;=MAXIFS($I$2:$I$5001,$B$2:$B$5001,B2624,$A$2:$A$5001,"&lt;="&amp;A2624),"PR",""))</f>
        <v/>
      </c>
    </row>
    <row r="2625">
      <c r="A2625" s="7" t="n"/>
      <c r="H2625" s="11">
        <f>IF(OR(D2625="",E2625=""),"",D2625*E2625)</f>
        <v/>
      </c>
      <c r="I2625" s="8">
        <f>IF(OR(D2625="",E2625=""),"",E2625*(1+D2625/30))</f>
        <v/>
      </c>
      <c r="J2625">
        <f>IF(I2625="","",IF(I2625&gt;=MAXIFS($I$2:$I$5001,$B$2:$B$5001,B2625,$A$2:$A$5001,"&lt;="&amp;A2625),"PR",""))</f>
        <v/>
      </c>
    </row>
    <row r="2626">
      <c r="A2626" s="7" t="n"/>
      <c r="H2626" s="11">
        <f>IF(OR(D2626="",E2626=""),"",D2626*E2626)</f>
        <v/>
      </c>
      <c r="I2626" s="8">
        <f>IF(OR(D2626="",E2626=""),"",E2626*(1+D2626/30))</f>
        <v/>
      </c>
      <c r="J2626">
        <f>IF(I2626="","",IF(I2626&gt;=MAXIFS($I$2:$I$5001,$B$2:$B$5001,B2626,$A$2:$A$5001,"&lt;="&amp;A2626),"PR",""))</f>
        <v/>
      </c>
    </row>
    <row r="2627">
      <c r="A2627" s="7" t="n"/>
      <c r="H2627" s="11">
        <f>IF(OR(D2627="",E2627=""),"",D2627*E2627)</f>
        <v/>
      </c>
      <c r="I2627" s="8">
        <f>IF(OR(D2627="",E2627=""),"",E2627*(1+D2627/30))</f>
        <v/>
      </c>
      <c r="J2627">
        <f>IF(I2627="","",IF(I2627&gt;=MAXIFS($I$2:$I$5001,$B$2:$B$5001,B2627,$A$2:$A$5001,"&lt;="&amp;A2627),"PR",""))</f>
        <v/>
      </c>
    </row>
    <row r="2628">
      <c r="A2628" s="7" t="n"/>
      <c r="H2628" s="11">
        <f>IF(OR(D2628="",E2628=""),"",D2628*E2628)</f>
        <v/>
      </c>
      <c r="I2628" s="8">
        <f>IF(OR(D2628="",E2628=""),"",E2628*(1+D2628/30))</f>
        <v/>
      </c>
      <c r="J2628">
        <f>IF(I2628="","",IF(I2628&gt;=MAXIFS($I$2:$I$5001,$B$2:$B$5001,B2628,$A$2:$A$5001,"&lt;="&amp;A2628),"PR",""))</f>
        <v/>
      </c>
    </row>
    <row r="2629">
      <c r="A2629" s="7" t="n"/>
      <c r="H2629" s="11">
        <f>IF(OR(D2629="",E2629=""),"",D2629*E2629)</f>
        <v/>
      </c>
      <c r="I2629" s="8">
        <f>IF(OR(D2629="",E2629=""),"",E2629*(1+D2629/30))</f>
        <v/>
      </c>
      <c r="J2629">
        <f>IF(I2629="","",IF(I2629&gt;=MAXIFS($I$2:$I$5001,$B$2:$B$5001,B2629,$A$2:$A$5001,"&lt;="&amp;A2629),"PR",""))</f>
        <v/>
      </c>
    </row>
    <row r="2630">
      <c r="A2630" s="7" t="n"/>
      <c r="H2630" s="11">
        <f>IF(OR(D2630="",E2630=""),"",D2630*E2630)</f>
        <v/>
      </c>
      <c r="I2630" s="8">
        <f>IF(OR(D2630="",E2630=""),"",E2630*(1+D2630/30))</f>
        <v/>
      </c>
      <c r="J2630">
        <f>IF(I2630="","",IF(I2630&gt;=MAXIFS($I$2:$I$5001,$B$2:$B$5001,B2630,$A$2:$A$5001,"&lt;="&amp;A2630),"PR",""))</f>
        <v/>
      </c>
    </row>
    <row r="2631">
      <c r="A2631" s="7" t="n"/>
      <c r="H2631" s="11">
        <f>IF(OR(D2631="",E2631=""),"",D2631*E2631)</f>
        <v/>
      </c>
      <c r="I2631" s="8">
        <f>IF(OR(D2631="",E2631=""),"",E2631*(1+D2631/30))</f>
        <v/>
      </c>
      <c r="J2631">
        <f>IF(I2631="","",IF(I2631&gt;=MAXIFS($I$2:$I$5001,$B$2:$B$5001,B2631,$A$2:$A$5001,"&lt;="&amp;A2631),"PR",""))</f>
        <v/>
      </c>
    </row>
    <row r="2632">
      <c r="A2632" s="7" t="n"/>
      <c r="H2632" s="11">
        <f>IF(OR(D2632="",E2632=""),"",D2632*E2632)</f>
        <v/>
      </c>
      <c r="I2632" s="8">
        <f>IF(OR(D2632="",E2632=""),"",E2632*(1+D2632/30))</f>
        <v/>
      </c>
      <c r="J2632">
        <f>IF(I2632="","",IF(I2632&gt;=MAXIFS($I$2:$I$5001,$B$2:$B$5001,B2632,$A$2:$A$5001,"&lt;="&amp;A2632),"PR",""))</f>
        <v/>
      </c>
    </row>
    <row r="2633">
      <c r="A2633" s="7" t="n"/>
      <c r="H2633" s="11">
        <f>IF(OR(D2633="",E2633=""),"",D2633*E2633)</f>
        <v/>
      </c>
      <c r="I2633" s="8">
        <f>IF(OR(D2633="",E2633=""),"",E2633*(1+D2633/30))</f>
        <v/>
      </c>
      <c r="J2633">
        <f>IF(I2633="","",IF(I2633&gt;=MAXIFS($I$2:$I$5001,$B$2:$B$5001,B2633,$A$2:$A$5001,"&lt;="&amp;A2633),"PR",""))</f>
        <v/>
      </c>
    </row>
    <row r="2634">
      <c r="A2634" s="7" t="n"/>
      <c r="H2634" s="11">
        <f>IF(OR(D2634="",E2634=""),"",D2634*E2634)</f>
        <v/>
      </c>
      <c r="I2634" s="8">
        <f>IF(OR(D2634="",E2634=""),"",E2634*(1+D2634/30))</f>
        <v/>
      </c>
      <c r="J2634">
        <f>IF(I2634="","",IF(I2634&gt;=MAXIFS($I$2:$I$5001,$B$2:$B$5001,B2634,$A$2:$A$5001,"&lt;="&amp;A2634),"PR",""))</f>
        <v/>
      </c>
    </row>
    <row r="2635">
      <c r="A2635" s="7" t="n"/>
      <c r="H2635" s="11">
        <f>IF(OR(D2635="",E2635=""),"",D2635*E2635)</f>
        <v/>
      </c>
      <c r="I2635" s="8">
        <f>IF(OR(D2635="",E2635=""),"",E2635*(1+D2635/30))</f>
        <v/>
      </c>
      <c r="J2635">
        <f>IF(I2635="","",IF(I2635&gt;=MAXIFS($I$2:$I$5001,$B$2:$B$5001,B2635,$A$2:$A$5001,"&lt;="&amp;A2635),"PR",""))</f>
        <v/>
      </c>
    </row>
    <row r="2636">
      <c r="A2636" s="7" t="n"/>
      <c r="H2636" s="11">
        <f>IF(OR(D2636="",E2636=""),"",D2636*E2636)</f>
        <v/>
      </c>
      <c r="I2636" s="8">
        <f>IF(OR(D2636="",E2636=""),"",E2636*(1+D2636/30))</f>
        <v/>
      </c>
      <c r="J2636">
        <f>IF(I2636="","",IF(I2636&gt;=MAXIFS($I$2:$I$5001,$B$2:$B$5001,B2636,$A$2:$A$5001,"&lt;="&amp;A2636),"PR",""))</f>
        <v/>
      </c>
    </row>
    <row r="2637">
      <c r="A2637" s="7" t="n"/>
      <c r="H2637" s="11">
        <f>IF(OR(D2637="",E2637=""),"",D2637*E2637)</f>
        <v/>
      </c>
      <c r="I2637" s="8">
        <f>IF(OR(D2637="",E2637=""),"",E2637*(1+D2637/30))</f>
        <v/>
      </c>
      <c r="J2637">
        <f>IF(I2637="","",IF(I2637&gt;=MAXIFS($I$2:$I$5001,$B$2:$B$5001,B2637,$A$2:$A$5001,"&lt;="&amp;A2637),"PR",""))</f>
        <v/>
      </c>
    </row>
    <row r="2638">
      <c r="A2638" s="7" t="n"/>
      <c r="H2638" s="11">
        <f>IF(OR(D2638="",E2638=""),"",D2638*E2638)</f>
        <v/>
      </c>
      <c r="I2638" s="8">
        <f>IF(OR(D2638="",E2638=""),"",E2638*(1+D2638/30))</f>
        <v/>
      </c>
      <c r="J2638">
        <f>IF(I2638="","",IF(I2638&gt;=MAXIFS($I$2:$I$5001,$B$2:$B$5001,B2638,$A$2:$A$5001,"&lt;="&amp;A2638),"PR",""))</f>
        <v/>
      </c>
    </row>
    <row r="2639">
      <c r="A2639" s="7" t="n"/>
      <c r="H2639" s="11">
        <f>IF(OR(D2639="",E2639=""),"",D2639*E2639)</f>
        <v/>
      </c>
      <c r="I2639" s="8">
        <f>IF(OR(D2639="",E2639=""),"",E2639*(1+D2639/30))</f>
        <v/>
      </c>
      <c r="J2639">
        <f>IF(I2639="","",IF(I2639&gt;=MAXIFS($I$2:$I$5001,$B$2:$B$5001,B2639,$A$2:$A$5001,"&lt;="&amp;A2639),"PR",""))</f>
        <v/>
      </c>
    </row>
    <row r="2640">
      <c r="A2640" s="7" t="n"/>
      <c r="H2640" s="11">
        <f>IF(OR(D2640="",E2640=""),"",D2640*E2640)</f>
        <v/>
      </c>
      <c r="I2640" s="8">
        <f>IF(OR(D2640="",E2640=""),"",E2640*(1+D2640/30))</f>
        <v/>
      </c>
      <c r="J2640">
        <f>IF(I2640="","",IF(I2640&gt;=MAXIFS($I$2:$I$5001,$B$2:$B$5001,B2640,$A$2:$A$5001,"&lt;="&amp;A2640),"PR",""))</f>
        <v/>
      </c>
    </row>
    <row r="2641">
      <c r="A2641" s="7" t="n"/>
      <c r="H2641" s="11">
        <f>IF(OR(D2641="",E2641=""),"",D2641*E2641)</f>
        <v/>
      </c>
      <c r="I2641" s="8">
        <f>IF(OR(D2641="",E2641=""),"",E2641*(1+D2641/30))</f>
        <v/>
      </c>
      <c r="J2641">
        <f>IF(I2641="","",IF(I2641&gt;=MAXIFS($I$2:$I$5001,$B$2:$B$5001,B2641,$A$2:$A$5001,"&lt;="&amp;A2641),"PR",""))</f>
        <v/>
      </c>
    </row>
    <row r="2642">
      <c r="A2642" s="7" t="n"/>
      <c r="H2642" s="11">
        <f>IF(OR(D2642="",E2642=""),"",D2642*E2642)</f>
        <v/>
      </c>
      <c r="I2642" s="8">
        <f>IF(OR(D2642="",E2642=""),"",E2642*(1+D2642/30))</f>
        <v/>
      </c>
      <c r="J2642">
        <f>IF(I2642="","",IF(I2642&gt;=MAXIFS($I$2:$I$5001,$B$2:$B$5001,B2642,$A$2:$A$5001,"&lt;="&amp;A2642),"PR",""))</f>
        <v/>
      </c>
    </row>
    <row r="2643">
      <c r="A2643" s="7" t="n"/>
      <c r="H2643" s="11">
        <f>IF(OR(D2643="",E2643=""),"",D2643*E2643)</f>
        <v/>
      </c>
      <c r="I2643" s="8">
        <f>IF(OR(D2643="",E2643=""),"",E2643*(1+D2643/30))</f>
        <v/>
      </c>
      <c r="J2643">
        <f>IF(I2643="","",IF(I2643&gt;=MAXIFS($I$2:$I$5001,$B$2:$B$5001,B2643,$A$2:$A$5001,"&lt;="&amp;A2643),"PR",""))</f>
        <v/>
      </c>
    </row>
    <row r="2644">
      <c r="A2644" s="7" t="n"/>
      <c r="H2644" s="11">
        <f>IF(OR(D2644="",E2644=""),"",D2644*E2644)</f>
        <v/>
      </c>
      <c r="I2644" s="8">
        <f>IF(OR(D2644="",E2644=""),"",E2644*(1+D2644/30))</f>
        <v/>
      </c>
      <c r="J2644">
        <f>IF(I2644="","",IF(I2644&gt;=MAXIFS($I$2:$I$5001,$B$2:$B$5001,B2644,$A$2:$A$5001,"&lt;="&amp;A2644),"PR",""))</f>
        <v/>
      </c>
    </row>
    <row r="2645">
      <c r="A2645" s="7" t="n"/>
      <c r="H2645" s="11">
        <f>IF(OR(D2645="",E2645=""),"",D2645*E2645)</f>
        <v/>
      </c>
      <c r="I2645" s="8">
        <f>IF(OR(D2645="",E2645=""),"",E2645*(1+D2645/30))</f>
        <v/>
      </c>
      <c r="J2645">
        <f>IF(I2645="","",IF(I2645&gt;=MAXIFS($I$2:$I$5001,$B$2:$B$5001,B2645,$A$2:$A$5001,"&lt;="&amp;A2645),"PR",""))</f>
        <v/>
      </c>
    </row>
    <row r="2646">
      <c r="A2646" s="7" t="n"/>
      <c r="H2646" s="11">
        <f>IF(OR(D2646="",E2646=""),"",D2646*E2646)</f>
        <v/>
      </c>
      <c r="I2646" s="8">
        <f>IF(OR(D2646="",E2646=""),"",E2646*(1+D2646/30))</f>
        <v/>
      </c>
      <c r="J2646">
        <f>IF(I2646="","",IF(I2646&gt;=MAXIFS($I$2:$I$5001,$B$2:$B$5001,B2646,$A$2:$A$5001,"&lt;="&amp;A2646),"PR",""))</f>
        <v/>
      </c>
    </row>
    <row r="2647">
      <c r="A2647" s="7" t="n"/>
      <c r="H2647" s="11">
        <f>IF(OR(D2647="",E2647=""),"",D2647*E2647)</f>
        <v/>
      </c>
      <c r="I2647" s="8">
        <f>IF(OR(D2647="",E2647=""),"",E2647*(1+D2647/30))</f>
        <v/>
      </c>
      <c r="J2647">
        <f>IF(I2647="","",IF(I2647&gt;=MAXIFS($I$2:$I$5001,$B$2:$B$5001,B2647,$A$2:$A$5001,"&lt;="&amp;A2647),"PR",""))</f>
        <v/>
      </c>
    </row>
    <row r="2648">
      <c r="A2648" s="7" t="n"/>
      <c r="H2648" s="11">
        <f>IF(OR(D2648="",E2648=""),"",D2648*E2648)</f>
        <v/>
      </c>
      <c r="I2648" s="8">
        <f>IF(OR(D2648="",E2648=""),"",E2648*(1+D2648/30))</f>
        <v/>
      </c>
      <c r="J2648">
        <f>IF(I2648="","",IF(I2648&gt;=MAXIFS($I$2:$I$5001,$B$2:$B$5001,B2648,$A$2:$A$5001,"&lt;="&amp;A2648),"PR",""))</f>
        <v/>
      </c>
    </row>
    <row r="2649">
      <c r="A2649" s="7" t="n"/>
      <c r="H2649" s="11">
        <f>IF(OR(D2649="",E2649=""),"",D2649*E2649)</f>
        <v/>
      </c>
      <c r="I2649" s="8">
        <f>IF(OR(D2649="",E2649=""),"",E2649*(1+D2649/30))</f>
        <v/>
      </c>
      <c r="J2649">
        <f>IF(I2649="","",IF(I2649&gt;=MAXIFS($I$2:$I$5001,$B$2:$B$5001,B2649,$A$2:$A$5001,"&lt;="&amp;A2649),"PR",""))</f>
        <v/>
      </c>
    </row>
    <row r="2650">
      <c r="A2650" s="7" t="n"/>
      <c r="H2650" s="11">
        <f>IF(OR(D2650="",E2650=""),"",D2650*E2650)</f>
        <v/>
      </c>
      <c r="I2650" s="8">
        <f>IF(OR(D2650="",E2650=""),"",E2650*(1+D2650/30))</f>
        <v/>
      </c>
      <c r="J2650">
        <f>IF(I2650="","",IF(I2650&gt;=MAXIFS($I$2:$I$5001,$B$2:$B$5001,B2650,$A$2:$A$5001,"&lt;="&amp;A2650),"PR",""))</f>
        <v/>
      </c>
    </row>
    <row r="2651">
      <c r="A2651" s="7" t="n"/>
      <c r="H2651" s="11">
        <f>IF(OR(D2651="",E2651=""),"",D2651*E2651)</f>
        <v/>
      </c>
      <c r="I2651" s="8">
        <f>IF(OR(D2651="",E2651=""),"",E2651*(1+D2651/30))</f>
        <v/>
      </c>
      <c r="J2651">
        <f>IF(I2651="","",IF(I2651&gt;=MAXIFS($I$2:$I$5001,$B$2:$B$5001,B2651,$A$2:$A$5001,"&lt;="&amp;A2651),"PR",""))</f>
        <v/>
      </c>
    </row>
    <row r="2652">
      <c r="A2652" s="7" t="n"/>
      <c r="H2652" s="11">
        <f>IF(OR(D2652="",E2652=""),"",D2652*E2652)</f>
        <v/>
      </c>
      <c r="I2652" s="8">
        <f>IF(OR(D2652="",E2652=""),"",E2652*(1+D2652/30))</f>
        <v/>
      </c>
      <c r="J2652">
        <f>IF(I2652="","",IF(I2652&gt;=MAXIFS($I$2:$I$5001,$B$2:$B$5001,B2652,$A$2:$A$5001,"&lt;="&amp;A2652),"PR",""))</f>
        <v/>
      </c>
    </row>
    <row r="2653">
      <c r="A2653" s="7" t="n"/>
      <c r="H2653" s="11">
        <f>IF(OR(D2653="",E2653=""),"",D2653*E2653)</f>
        <v/>
      </c>
      <c r="I2653" s="8">
        <f>IF(OR(D2653="",E2653=""),"",E2653*(1+D2653/30))</f>
        <v/>
      </c>
      <c r="J2653">
        <f>IF(I2653="","",IF(I2653&gt;=MAXIFS($I$2:$I$5001,$B$2:$B$5001,B2653,$A$2:$A$5001,"&lt;="&amp;A2653),"PR",""))</f>
        <v/>
      </c>
    </row>
    <row r="2654">
      <c r="A2654" s="7" t="n"/>
      <c r="H2654" s="11">
        <f>IF(OR(D2654="",E2654=""),"",D2654*E2654)</f>
        <v/>
      </c>
      <c r="I2654" s="8">
        <f>IF(OR(D2654="",E2654=""),"",E2654*(1+D2654/30))</f>
        <v/>
      </c>
      <c r="J2654">
        <f>IF(I2654="","",IF(I2654&gt;=MAXIFS($I$2:$I$5001,$B$2:$B$5001,B2654,$A$2:$A$5001,"&lt;="&amp;A2654),"PR",""))</f>
        <v/>
      </c>
    </row>
    <row r="2655">
      <c r="A2655" s="7" t="n"/>
      <c r="H2655" s="11">
        <f>IF(OR(D2655="",E2655=""),"",D2655*E2655)</f>
        <v/>
      </c>
      <c r="I2655" s="8">
        <f>IF(OR(D2655="",E2655=""),"",E2655*(1+D2655/30))</f>
        <v/>
      </c>
      <c r="J2655">
        <f>IF(I2655="","",IF(I2655&gt;=MAXIFS($I$2:$I$5001,$B$2:$B$5001,B2655,$A$2:$A$5001,"&lt;="&amp;A2655),"PR",""))</f>
        <v/>
      </c>
    </row>
    <row r="2656">
      <c r="A2656" s="7" t="n"/>
      <c r="H2656" s="11">
        <f>IF(OR(D2656="",E2656=""),"",D2656*E2656)</f>
        <v/>
      </c>
      <c r="I2656" s="8">
        <f>IF(OR(D2656="",E2656=""),"",E2656*(1+D2656/30))</f>
        <v/>
      </c>
      <c r="J2656">
        <f>IF(I2656="","",IF(I2656&gt;=MAXIFS($I$2:$I$5001,$B$2:$B$5001,B2656,$A$2:$A$5001,"&lt;="&amp;A2656),"PR",""))</f>
        <v/>
      </c>
    </row>
    <row r="2657">
      <c r="A2657" s="7" t="n"/>
      <c r="H2657" s="11">
        <f>IF(OR(D2657="",E2657=""),"",D2657*E2657)</f>
        <v/>
      </c>
      <c r="I2657" s="8">
        <f>IF(OR(D2657="",E2657=""),"",E2657*(1+D2657/30))</f>
        <v/>
      </c>
      <c r="J2657">
        <f>IF(I2657="","",IF(I2657&gt;=MAXIFS($I$2:$I$5001,$B$2:$B$5001,B2657,$A$2:$A$5001,"&lt;="&amp;A2657),"PR",""))</f>
        <v/>
      </c>
    </row>
    <row r="2658">
      <c r="A2658" s="7" t="n"/>
      <c r="H2658" s="11">
        <f>IF(OR(D2658="",E2658=""),"",D2658*E2658)</f>
        <v/>
      </c>
      <c r="I2658" s="8">
        <f>IF(OR(D2658="",E2658=""),"",E2658*(1+D2658/30))</f>
        <v/>
      </c>
      <c r="J2658">
        <f>IF(I2658="","",IF(I2658&gt;=MAXIFS($I$2:$I$5001,$B$2:$B$5001,B2658,$A$2:$A$5001,"&lt;="&amp;A2658),"PR",""))</f>
        <v/>
      </c>
    </row>
    <row r="2659">
      <c r="A2659" s="7" t="n"/>
      <c r="H2659" s="11">
        <f>IF(OR(D2659="",E2659=""),"",D2659*E2659)</f>
        <v/>
      </c>
      <c r="I2659" s="8">
        <f>IF(OR(D2659="",E2659=""),"",E2659*(1+D2659/30))</f>
        <v/>
      </c>
      <c r="J2659">
        <f>IF(I2659="","",IF(I2659&gt;=MAXIFS($I$2:$I$5001,$B$2:$B$5001,B2659,$A$2:$A$5001,"&lt;="&amp;A2659),"PR",""))</f>
        <v/>
      </c>
    </row>
    <row r="2660">
      <c r="A2660" s="7" t="n"/>
      <c r="H2660" s="11">
        <f>IF(OR(D2660="",E2660=""),"",D2660*E2660)</f>
        <v/>
      </c>
      <c r="I2660" s="8">
        <f>IF(OR(D2660="",E2660=""),"",E2660*(1+D2660/30))</f>
        <v/>
      </c>
      <c r="J2660">
        <f>IF(I2660="","",IF(I2660&gt;=MAXIFS($I$2:$I$5001,$B$2:$B$5001,B2660,$A$2:$A$5001,"&lt;="&amp;A2660),"PR",""))</f>
        <v/>
      </c>
    </row>
    <row r="2661">
      <c r="A2661" s="7" t="n"/>
      <c r="H2661" s="11">
        <f>IF(OR(D2661="",E2661=""),"",D2661*E2661)</f>
        <v/>
      </c>
      <c r="I2661" s="8">
        <f>IF(OR(D2661="",E2661=""),"",E2661*(1+D2661/30))</f>
        <v/>
      </c>
      <c r="J2661">
        <f>IF(I2661="","",IF(I2661&gt;=MAXIFS($I$2:$I$5001,$B$2:$B$5001,B2661,$A$2:$A$5001,"&lt;="&amp;A2661),"PR",""))</f>
        <v/>
      </c>
    </row>
    <row r="2662">
      <c r="A2662" s="7" t="n"/>
      <c r="H2662" s="11">
        <f>IF(OR(D2662="",E2662=""),"",D2662*E2662)</f>
        <v/>
      </c>
      <c r="I2662" s="8">
        <f>IF(OR(D2662="",E2662=""),"",E2662*(1+D2662/30))</f>
        <v/>
      </c>
      <c r="J2662">
        <f>IF(I2662="","",IF(I2662&gt;=MAXIFS($I$2:$I$5001,$B$2:$B$5001,B2662,$A$2:$A$5001,"&lt;="&amp;A2662),"PR",""))</f>
        <v/>
      </c>
    </row>
    <row r="2663">
      <c r="A2663" s="7" t="n"/>
      <c r="H2663" s="11">
        <f>IF(OR(D2663="",E2663=""),"",D2663*E2663)</f>
        <v/>
      </c>
      <c r="I2663" s="8">
        <f>IF(OR(D2663="",E2663=""),"",E2663*(1+D2663/30))</f>
        <v/>
      </c>
      <c r="J2663">
        <f>IF(I2663="","",IF(I2663&gt;=MAXIFS($I$2:$I$5001,$B$2:$B$5001,B2663,$A$2:$A$5001,"&lt;="&amp;A2663),"PR",""))</f>
        <v/>
      </c>
    </row>
    <row r="2664">
      <c r="A2664" s="7" t="n"/>
      <c r="H2664" s="11">
        <f>IF(OR(D2664="",E2664=""),"",D2664*E2664)</f>
        <v/>
      </c>
      <c r="I2664" s="8">
        <f>IF(OR(D2664="",E2664=""),"",E2664*(1+D2664/30))</f>
        <v/>
      </c>
      <c r="J2664">
        <f>IF(I2664="","",IF(I2664&gt;=MAXIFS($I$2:$I$5001,$B$2:$B$5001,B2664,$A$2:$A$5001,"&lt;="&amp;A2664),"PR",""))</f>
        <v/>
      </c>
    </row>
    <row r="2665">
      <c r="A2665" s="7" t="n"/>
      <c r="H2665" s="11">
        <f>IF(OR(D2665="",E2665=""),"",D2665*E2665)</f>
        <v/>
      </c>
      <c r="I2665" s="8">
        <f>IF(OR(D2665="",E2665=""),"",E2665*(1+D2665/30))</f>
        <v/>
      </c>
      <c r="J2665">
        <f>IF(I2665="","",IF(I2665&gt;=MAXIFS($I$2:$I$5001,$B$2:$B$5001,B2665,$A$2:$A$5001,"&lt;="&amp;A2665),"PR",""))</f>
        <v/>
      </c>
    </row>
    <row r="2666">
      <c r="A2666" s="7" t="n"/>
      <c r="H2666" s="11">
        <f>IF(OR(D2666="",E2666=""),"",D2666*E2666)</f>
        <v/>
      </c>
      <c r="I2666" s="8">
        <f>IF(OR(D2666="",E2666=""),"",E2666*(1+D2666/30))</f>
        <v/>
      </c>
      <c r="J2666">
        <f>IF(I2666="","",IF(I2666&gt;=MAXIFS($I$2:$I$5001,$B$2:$B$5001,B2666,$A$2:$A$5001,"&lt;="&amp;A2666),"PR",""))</f>
        <v/>
      </c>
    </row>
    <row r="2667">
      <c r="A2667" s="7" t="n"/>
      <c r="H2667" s="11">
        <f>IF(OR(D2667="",E2667=""),"",D2667*E2667)</f>
        <v/>
      </c>
      <c r="I2667" s="8">
        <f>IF(OR(D2667="",E2667=""),"",E2667*(1+D2667/30))</f>
        <v/>
      </c>
      <c r="J2667">
        <f>IF(I2667="","",IF(I2667&gt;=MAXIFS($I$2:$I$5001,$B$2:$B$5001,B2667,$A$2:$A$5001,"&lt;="&amp;A2667),"PR",""))</f>
        <v/>
      </c>
    </row>
    <row r="2668">
      <c r="A2668" s="7" t="n"/>
      <c r="H2668" s="11">
        <f>IF(OR(D2668="",E2668=""),"",D2668*E2668)</f>
        <v/>
      </c>
      <c r="I2668" s="8">
        <f>IF(OR(D2668="",E2668=""),"",E2668*(1+D2668/30))</f>
        <v/>
      </c>
      <c r="J2668">
        <f>IF(I2668="","",IF(I2668&gt;=MAXIFS($I$2:$I$5001,$B$2:$B$5001,B2668,$A$2:$A$5001,"&lt;="&amp;A2668),"PR",""))</f>
        <v/>
      </c>
    </row>
    <row r="2669">
      <c r="A2669" s="7" t="n"/>
      <c r="H2669" s="11">
        <f>IF(OR(D2669="",E2669=""),"",D2669*E2669)</f>
        <v/>
      </c>
      <c r="I2669" s="8">
        <f>IF(OR(D2669="",E2669=""),"",E2669*(1+D2669/30))</f>
        <v/>
      </c>
      <c r="J2669">
        <f>IF(I2669="","",IF(I2669&gt;=MAXIFS($I$2:$I$5001,$B$2:$B$5001,B2669,$A$2:$A$5001,"&lt;="&amp;A2669),"PR",""))</f>
        <v/>
      </c>
    </row>
    <row r="2670">
      <c r="A2670" s="7" t="n"/>
      <c r="H2670" s="11">
        <f>IF(OR(D2670="",E2670=""),"",D2670*E2670)</f>
        <v/>
      </c>
      <c r="I2670" s="8">
        <f>IF(OR(D2670="",E2670=""),"",E2670*(1+D2670/30))</f>
        <v/>
      </c>
      <c r="J2670">
        <f>IF(I2670="","",IF(I2670&gt;=MAXIFS($I$2:$I$5001,$B$2:$B$5001,B2670,$A$2:$A$5001,"&lt;="&amp;A2670),"PR",""))</f>
        <v/>
      </c>
    </row>
    <row r="2671">
      <c r="A2671" s="7" t="n"/>
      <c r="H2671" s="11">
        <f>IF(OR(D2671="",E2671=""),"",D2671*E2671)</f>
        <v/>
      </c>
      <c r="I2671" s="8">
        <f>IF(OR(D2671="",E2671=""),"",E2671*(1+D2671/30))</f>
        <v/>
      </c>
      <c r="J2671">
        <f>IF(I2671="","",IF(I2671&gt;=MAXIFS($I$2:$I$5001,$B$2:$B$5001,B2671,$A$2:$A$5001,"&lt;="&amp;A2671),"PR",""))</f>
        <v/>
      </c>
    </row>
    <row r="2672">
      <c r="A2672" s="7" t="n"/>
      <c r="H2672" s="11">
        <f>IF(OR(D2672="",E2672=""),"",D2672*E2672)</f>
        <v/>
      </c>
      <c r="I2672" s="8">
        <f>IF(OR(D2672="",E2672=""),"",E2672*(1+D2672/30))</f>
        <v/>
      </c>
      <c r="J2672">
        <f>IF(I2672="","",IF(I2672&gt;=MAXIFS($I$2:$I$5001,$B$2:$B$5001,B2672,$A$2:$A$5001,"&lt;="&amp;A2672),"PR",""))</f>
        <v/>
      </c>
    </row>
    <row r="2673">
      <c r="A2673" s="7" t="n"/>
      <c r="H2673" s="11">
        <f>IF(OR(D2673="",E2673=""),"",D2673*E2673)</f>
        <v/>
      </c>
      <c r="I2673" s="8">
        <f>IF(OR(D2673="",E2673=""),"",E2673*(1+D2673/30))</f>
        <v/>
      </c>
      <c r="J2673">
        <f>IF(I2673="","",IF(I2673&gt;=MAXIFS($I$2:$I$5001,$B$2:$B$5001,B2673,$A$2:$A$5001,"&lt;="&amp;A2673),"PR",""))</f>
        <v/>
      </c>
    </row>
    <row r="2674">
      <c r="A2674" s="7" t="n"/>
      <c r="H2674" s="11">
        <f>IF(OR(D2674="",E2674=""),"",D2674*E2674)</f>
        <v/>
      </c>
      <c r="I2674" s="8">
        <f>IF(OR(D2674="",E2674=""),"",E2674*(1+D2674/30))</f>
        <v/>
      </c>
      <c r="J2674">
        <f>IF(I2674="","",IF(I2674&gt;=MAXIFS($I$2:$I$5001,$B$2:$B$5001,B2674,$A$2:$A$5001,"&lt;="&amp;A2674),"PR",""))</f>
        <v/>
      </c>
    </row>
    <row r="2675">
      <c r="A2675" s="7" t="n"/>
      <c r="H2675" s="11">
        <f>IF(OR(D2675="",E2675=""),"",D2675*E2675)</f>
        <v/>
      </c>
      <c r="I2675" s="8">
        <f>IF(OR(D2675="",E2675=""),"",E2675*(1+D2675/30))</f>
        <v/>
      </c>
      <c r="J2675">
        <f>IF(I2675="","",IF(I2675&gt;=MAXIFS($I$2:$I$5001,$B$2:$B$5001,B2675,$A$2:$A$5001,"&lt;="&amp;A2675),"PR",""))</f>
        <v/>
      </c>
    </row>
    <row r="2676">
      <c r="A2676" s="7" t="n"/>
      <c r="H2676" s="11">
        <f>IF(OR(D2676="",E2676=""),"",D2676*E2676)</f>
        <v/>
      </c>
      <c r="I2676" s="8">
        <f>IF(OR(D2676="",E2676=""),"",E2676*(1+D2676/30))</f>
        <v/>
      </c>
      <c r="J2676">
        <f>IF(I2676="","",IF(I2676&gt;=MAXIFS($I$2:$I$5001,$B$2:$B$5001,B2676,$A$2:$A$5001,"&lt;="&amp;A2676),"PR",""))</f>
        <v/>
      </c>
    </row>
    <row r="2677">
      <c r="A2677" s="7" t="n"/>
      <c r="H2677" s="11">
        <f>IF(OR(D2677="",E2677=""),"",D2677*E2677)</f>
        <v/>
      </c>
      <c r="I2677" s="8">
        <f>IF(OR(D2677="",E2677=""),"",E2677*(1+D2677/30))</f>
        <v/>
      </c>
      <c r="J2677">
        <f>IF(I2677="","",IF(I2677&gt;=MAXIFS($I$2:$I$5001,$B$2:$B$5001,B2677,$A$2:$A$5001,"&lt;="&amp;A2677),"PR",""))</f>
        <v/>
      </c>
    </row>
    <row r="2678">
      <c r="A2678" s="7" t="n"/>
      <c r="H2678" s="11">
        <f>IF(OR(D2678="",E2678=""),"",D2678*E2678)</f>
        <v/>
      </c>
      <c r="I2678" s="8">
        <f>IF(OR(D2678="",E2678=""),"",E2678*(1+D2678/30))</f>
        <v/>
      </c>
      <c r="J2678">
        <f>IF(I2678="","",IF(I2678&gt;=MAXIFS($I$2:$I$5001,$B$2:$B$5001,B2678,$A$2:$A$5001,"&lt;="&amp;A2678),"PR",""))</f>
        <v/>
      </c>
    </row>
    <row r="2679">
      <c r="A2679" s="7" t="n"/>
      <c r="H2679" s="11">
        <f>IF(OR(D2679="",E2679=""),"",D2679*E2679)</f>
        <v/>
      </c>
      <c r="I2679" s="8">
        <f>IF(OR(D2679="",E2679=""),"",E2679*(1+D2679/30))</f>
        <v/>
      </c>
      <c r="J2679">
        <f>IF(I2679="","",IF(I2679&gt;=MAXIFS($I$2:$I$5001,$B$2:$B$5001,B2679,$A$2:$A$5001,"&lt;="&amp;A2679),"PR",""))</f>
        <v/>
      </c>
    </row>
    <row r="2680">
      <c r="A2680" s="7" t="n"/>
      <c r="H2680" s="11">
        <f>IF(OR(D2680="",E2680=""),"",D2680*E2680)</f>
        <v/>
      </c>
      <c r="I2680" s="8">
        <f>IF(OR(D2680="",E2680=""),"",E2680*(1+D2680/30))</f>
        <v/>
      </c>
      <c r="J2680">
        <f>IF(I2680="","",IF(I2680&gt;=MAXIFS($I$2:$I$5001,$B$2:$B$5001,B2680,$A$2:$A$5001,"&lt;="&amp;A2680),"PR",""))</f>
        <v/>
      </c>
    </row>
    <row r="2681">
      <c r="A2681" s="7" t="n"/>
      <c r="H2681" s="11">
        <f>IF(OR(D2681="",E2681=""),"",D2681*E2681)</f>
        <v/>
      </c>
      <c r="I2681" s="8">
        <f>IF(OR(D2681="",E2681=""),"",E2681*(1+D2681/30))</f>
        <v/>
      </c>
      <c r="J2681">
        <f>IF(I2681="","",IF(I2681&gt;=MAXIFS($I$2:$I$5001,$B$2:$B$5001,B2681,$A$2:$A$5001,"&lt;="&amp;A2681),"PR",""))</f>
        <v/>
      </c>
    </row>
    <row r="2682">
      <c r="A2682" s="7" t="n"/>
      <c r="H2682" s="11">
        <f>IF(OR(D2682="",E2682=""),"",D2682*E2682)</f>
        <v/>
      </c>
      <c r="I2682" s="8">
        <f>IF(OR(D2682="",E2682=""),"",E2682*(1+D2682/30))</f>
        <v/>
      </c>
      <c r="J2682">
        <f>IF(I2682="","",IF(I2682&gt;=MAXIFS($I$2:$I$5001,$B$2:$B$5001,B2682,$A$2:$A$5001,"&lt;="&amp;A2682),"PR",""))</f>
        <v/>
      </c>
    </row>
    <row r="2683">
      <c r="A2683" s="7" t="n"/>
      <c r="H2683" s="11">
        <f>IF(OR(D2683="",E2683=""),"",D2683*E2683)</f>
        <v/>
      </c>
      <c r="I2683" s="8">
        <f>IF(OR(D2683="",E2683=""),"",E2683*(1+D2683/30))</f>
        <v/>
      </c>
      <c r="J2683">
        <f>IF(I2683="","",IF(I2683&gt;=MAXIFS($I$2:$I$5001,$B$2:$B$5001,B2683,$A$2:$A$5001,"&lt;="&amp;A2683),"PR",""))</f>
        <v/>
      </c>
    </row>
    <row r="2684">
      <c r="A2684" s="7" t="n"/>
      <c r="H2684" s="11">
        <f>IF(OR(D2684="",E2684=""),"",D2684*E2684)</f>
        <v/>
      </c>
      <c r="I2684" s="8">
        <f>IF(OR(D2684="",E2684=""),"",E2684*(1+D2684/30))</f>
        <v/>
      </c>
      <c r="J2684">
        <f>IF(I2684="","",IF(I2684&gt;=MAXIFS($I$2:$I$5001,$B$2:$B$5001,B2684,$A$2:$A$5001,"&lt;="&amp;A2684),"PR",""))</f>
        <v/>
      </c>
    </row>
    <row r="2685">
      <c r="A2685" s="7" t="n"/>
      <c r="H2685" s="11">
        <f>IF(OR(D2685="",E2685=""),"",D2685*E2685)</f>
        <v/>
      </c>
      <c r="I2685" s="8">
        <f>IF(OR(D2685="",E2685=""),"",E2685*(1+D2685/30))</f>
        <v/>
      </c>
      <c r="J2685">
        <f>IF(I2685="","",IF(I2685&gt;=MAXIFS($I$2:$I$5001,$B$2:$B$5001,B2685,$A$2:$A$5001,"&lt;="&amp;A2685),"PR",""))</f>
        <v/>
      </c>
    </row>
    <row r="2686">
      <c r="A2686" s="7" t="n"/>
      <c r="H2686" s="11">
        <f>IF(OR(D2686="",E2686=""),"",D2686*E2686)</f>
        <v/>
      </c>
      <c r="I2686" s="8">
        <f>IF(OR(D2686="",E2686=""),"",E2686*(1+D2686/30))</f>
        <v/>
      </c>
      <c r="J2686">
        <f>IF(I2686="","",IF(I2686&gt;=MAXIFS($I$2:$I$5001,$B$2:$B$5001,B2686,$A$2:$A$5001,"&lt;="&amp;A2686),"PR",""))</f>
        <v/>
      </c>
    </row>
    <row r="2687">
      <c r="A2687" s="7" t="n"/>
      <c r="H2687" s="11">
        <f>IF(OR(D2687="",E2687=""),"",D2687*E2687)</f>
        <v/>
      </c>
      <c r="I2687" s="8">
        <f>IF(OR(D2687="",E2687=""),"",E2687*(1+D2687/30))</f>
        <v/>
      </c>
      <c r="J2687">
        <f>IF(I2687="","",IF(I2687&gt;=MAXIFS($I$2:$I$5001,$B$2:$B$5001,B2687,$A$2:$A$5001,"&lt;="&amp;A2687),"PR",""))</f>
        <v/>
      </c>
    </row>
    <row r="2688">
      <c r="A2688" s="7" t="n"/>
      <c r="H2688" s="11">
        <f>IF(OR(D2688="",E2688=""),"",D2688*E2688)</f>
        <v/>
      </c>
      <c r="I2688" s="8">
        <f>IF(OR(D2688="",E2688=""),"",E2688*(1+D2688/30))</f>
        <v/>
      </c>
      <c r="J2688">
        <f>IF(I2688="","",IF(I2688&gt;=MAXIFS($I$2:$I$5001,$B$2:$B$5001,B2688,$A$2:$A$5001,"&lt;="&amp;A2688),"PR",""))</f>
        <v/>
      </c>
    </row>
    <row r="2689">
      <c r="A2689" s="7" t="n"/>
      <c r="H2689" s="11">
        <f>IF(OR(D2689="",E2689=""),"",D2689*E2689)</f>
        <v/>
      </c>
      <c r="I2689" s="8">
        <f>IF(OR(D2689="",E2689=""),"",E2689*(1+D2689/30))</f>
        <v/>
      </c>
      <c r="J2689">
        <f>IF(I2689="","",IF(I2689&gt;=MAXIFS($I$2:$I$5001,$B$2:$B$5001,B2689,$A$2:$A$5001,"&lt;="&amp;A2689),"PR",""))</f>
        <v/>
      </c>
    </row>
    <row r="2690">
      <c r="A2690" s="7" t="n"/>
      <c r="H2690" s="11">
        <f>IF(OR(D2690="",E2690=""),"",D2690*E2690)</f>
        <v/>
      </c>
      <c r="I2690" s="8">
        <f>IF(OR(D2690="",E2690=""),"",E2690*(1+D2690/30))</f>
        <v/>
      </c>
      <c r="J2690">
        <f>IF(I2690="","",IF(I2690&gt;=MAXIFS($I$2:$I$5001,$B$2:$B$5001,B2690,$A$2:$A$5001,"&lt;="&amp;A2690),"PR",""))</f>
        <v/>
      </c>
    </row>
    <row r="2691">
      <c r="A2691" s="7" t="n"/>
      <c r="H2691" s="11">
        <f>IF(OR(D2691="",E2691=""),"",D2691*E2691)</f>
        <v/>
      </c>
      <c r="I2691" s="8">
        <f>IF(OR(D2691="",E2691=""),"",E2691*(1+D2691/30))</f>
        <v/>
      </c>
      <c r="J2691">
        <f>IF(I2691="","",IF(I2691&gt;=MAXIFS($I$2:$I$5001,$B$2:$B$5001,B2691,$A$2:$A$5001,"&lt;="&amp;A2691),"PR",""))</f>
        <v/>
      </c>
    </row>
    <row r="2692">
      <c r="A2692" s="7" t="n"/>
      <c r="H2692" s="11">
        <f>IF(OR(D2692="",E2692=""),"",D2692*E2692)</f>
        <v/>
      </c>
      <c r="I2692" s="8">
        <f>IF(OR(D2692="",E2692=""),"",E2692*(1+D2692/30))</f>
        <v/>
      </c>
      <c r="J2692">
        <f>IF(I2692="","",IF(I2692&gt;=MAXIFS($I$2:$I$5001,$B$2:$B$5001,B2692,$A$2:$A$5001,"&lt;="&amp;A2692),"PR",""))</f>
        <v/>
      </c>
    </row>
    <row r="2693">
      <c r="A2693" s="7" t="n"/>
      <c r="H2693" s="11">
        <f>IF(OR(D2693="",E2693=""),"",D2693*E2693)</f>
        <v/>
      </c>
      <c r="I2693" s="8">
        <f>IF(OR(D2693="",E2693=""),"",E2693*(1+D2693/30))</f>
        <v/>
      </c>
      <c r="J2693">
        <f>IF(I2693="","",IF(I2693&gt;=MAXIFS($I$2:$I$5001,$B$2:$B$5001,B2693,$A$2:$A$5001,"&lt;="&amp;A2693),"PR",""))</f>
        <v/>
      </c>
    </row>
    <row r="2694">
      <c r="A2694" s="7" t="n"/>
      <c r="H2694" s="11">
        <f>IF(OR(D2694="",E2694=""),"",D2694*E2694)</f>
        <v/>
      </c>
      <c r="I2694" s="8">
        <f>IF(OR(D2694="",E2694=""),"",E2694*(1+D2694/30))</f>
        <v/>
      </c>
      <c r="J2694">
        <f>IF(I2694="","",IF(I2694&gt;=MAXIFS($I$2:$I$5001,$B$2:$B$5001,B2694,$A$2:$A$5001,"&lt;="&amp;A2694),"PR",""))</f>
        <v/>
      </c>
    </row>
    <row r="2695">
      <c r="A2695" s="7" t="n"/>
      <c r="H2695" s="11">
        <f>IF(OR(D2695="",E2695=""),"",D2695*E2695)</f>
        <v/>
      </c>
      <c r="I2695" s="8">
        <f>IF(OR(D2695="",E2695=""),"",E2695*(1+D2695/30))</f>
        <v/>
      </c>
      <c r="J2695">
        <f>IF(I2695="","",IF(I2695&gt;=MAXIFS($I$2:$I$5001,$B$2:$B$5001,B2695,$A$2:$A$5001,"&lt;="&amp;A2695),"PR",""))</f>
        <v/>
      </c>
    </row>
    <row r="2696">
      <c r="A2696" s="7" t="n"/>
      <c r="H2696" s="11">
        <f>IF(OR(D2696="",E2696=""),"",D2696*E2696)</f>
        <v/>
      </c>
      <c r="I2696" s="8">
        <f>IF(OR(D2696="",E2696=""),"",E2696*(1+D2696/30))</f>
        <v/>
      </c>
      <c r="J2696">
        <f>IF(I2696="","",IF(I2696&gt;=MAXIFS($I$2:$I$5001,$B$2:$B$5001,B2696,$A$2:$A$5001,"&lt;="&amp;A2696),"PR",""))</f>
        <v/>
      </c>
    </row>
    <row r="2697">
      <c r="A2697" s="7" t="n"/>
      <c r="H2697" s="11">
        <f>IF(OR(D2697="",E2697=""),"",D2697*E2697)</f>
        <v/>
      </c>
      <c r="I2697" s="8">
        <f>IF(OR(D2697="",E2697=""),"",E2697*(1+D2697/30))</f>
        <v/>
      </c>
      <c r="J2697">
        <f>IF(I2697="","",IF(I2697&gt;=MAXIFS($I$2:$I$5001,$B$2:$B$5001,B2697,$A$2:$A$5001,"&lt;="&amp;A2697),"PR",""))</f>
        <v/>
      </c>
    </row>
    <row r="2698">
      <c r="A2698" s="7" t="n"/>
      <c r="H2698" s="11">
        <f>IF(OR(D2698="",E2698=""),"",D2698*E2698)</f>
        <v/>
      </c>
      <c r="I2698" s="8">
        <f>IF(OR(D2698="",E2698=""),"",E2698*(1+D2698/30))</f>
        <v/>
      </c>
      <c r="J2698">
        <f>IF(I2698="","",IF(I2698&gt;=MAXIFS($I$2:$I$5001,$B$2:$B$5001,B2698,$A$2:$A$5001,"&lt;="&amp;A2698),"PR",""))</f>
        <v/>
      </c>
    </row>
    <row r="2699">
      <c r="A2699" s="7" t="n"/>
      <c r="H2699" s="11">
        <f>IF(OR(D2699="",E2699=""),"",D2699*E2699)</f>
        <v/>
      </c>
      <c r="I2699" s="8">
        <f>IF(OR(D2699="",E2699=""),"",E2699*(1+D2699/30))</f>
        <v/>
      </c>
      <c r="J2699">
        <f>IF(I2699="","",IF(I2699&gt;=MAXIFS($I$2:$I$5001,$B$2:$B$5001,B2699,$A$2:$A$5001,"&lt;="&amp;A2699),"PR",""))</f>
        <v/>
      </c>
    </row>
    <row r="2700">
      <c r="A2700" s="7" t="n"/>
      <c r="H2700" s="11">
        <f>IF(OR(D2700="",E2700=""),"",D2700*E2700)</f>
        <v/>
      </c>
      <c r="I2700" s="8">
        <f>IF(OR(D2700="",E2700=""),"",E2700*(1+D2700/30))</f>
        <v/>
      </c>
      <c r="J2700">
        <f>IF(I2700="","",IF(I2700&gt;=MAXIFS($I$2:$I$5001,$B$2:$B$5001,B2700,$A$2:$A$5001,"&lt;="&amp;A2700),"PR",""))</f>
        <v/>
      </c>
    </row>
    <row r="2701">
      <c r="A2701" s="7" t="n"/>
      <c r="H2701" s="11">
        <f>IF(OR(D2701="",E2701=""),"",D2701*E2701)</f>
        <v/>
      </c>
      <c r="I2701" s="8">
        <f>IF(OR(D2701="",E2701=""),"",E2701*(1+D2701/30))</f>
        <v/>
      </c>
      <c r="J2701">
        <f>IF(I2701="","",IF(I2701&gt;=MAXIFS($I$2:$I$5001,$B$2:$B$5001,B2701,$A$2:$A$5001,"&lt;="&amp;A2701),"PR",""))</f>
        <v/>
      </c>
    </row>
    <row r="2702">
      <c r="A2702" s="7" t="n"/>
      <c r="H2702" s="11">
        <f>IF(OR(D2702="",E2702=""),"",D2702*E2702)</f>
        <v/>
      </c>
      <c r="I2702" s="8">
        <f>IF(OR(D2702="",E2702=""),"",E2702*(1+D2702/30))</f>
        <v/>
      </c>
      <c r="J2702">
        <f>IF(I2702="","",IF(I2702&gt;=MAXIFS($I$2:$I$5001,$B$2:$B$5001,B2702,$A$2:$A$5001,"&lt;="&amp;A2702),"PR",""))</f>
        <v/>
      </c>
    </row>
    <row r="2703">
      <c r="A2703" s="7" t="n"/>
      <c r="H2703" s="11">
        <f>IF(OR(D2703="",E2703=""),"",D2703*E2703)</f>
        <v/>
      </c>
      <c r="I2703" s="8">
        <f>IF(OR(D2703="",E2703=""),"",E2703*(1+D2703/30))</f>
        <v/>
      </c>
      <c r="J2703">
        <f>IF(I2703="","",IF(I2703&gt;=MAXIFS($I$2:$I$5001,$B$2:$B$5001,B2703,$A$2:$A$5001,"&lt;="&amp;A2703),"PR",""))</f>
        <v/>
      </c>
    </row>
    <row r="2704">
      <c r="A2704" s="7" t="n"/>
      <c r="H2704" s="11">
        <f>IF(OR(D2704="",E2704=""),"",D2704*E2704)</f>
        <v/>
      </c>
      <c r="I2704" s="8">
        <f>IF(OR(D2704="",E2704=""),"",E2704*(1+D2704/30))</f>
        <v/>
      </c>
      <c r="J2704">
        <f>IF(I2704="","",IF(I2704&gt;=MAXIFS($I$2:$I$5001,$B$2:$B$5001,B2704,$A$2:$A$5001,"&lt;="&amp;A2704),"PR",""))</f>
        <v/>
      </c>
    </row>
    <row r="2705">
      <c r="A2705" s="7" t="n"/>
      <c r="H2705" s="11">
        <f>IF(OR(D2705="",E2705=""),"",D2705*E2705)</f>
        <v/>
      </c>
      <c r="I2705" s="8">
        <f>IF(OR(D2705="",E2705=""),"",E2705*(1+D2705/30))</f>
        <v/>
      </c>
      <c r="J2705">
        <f>IF(I2705="","",IF(I2705&gt;=MAXIFS($I$2:$I$5001,$B$2:$B$5001,B2705,$A$2:$A$5001,"&lt;="&amp;A2705),"PR",""))</f>
        <v/>
      </c>
    </row>
    <row r="2706">
      <c r="A2706" s="7" t="n"/>
      <c r="H2706" s="11">
        <f>IF(OR(D2706="",E2706=""),"",D2706*E2706)</f>
        <v/>
      </c>
      <c r="I2706" s="8">
        <f>IF(OR(D2706="",E2706=""),"",E2706*(1+D2706/30))</f>
        <v/>
      </c>
      <c r="J2706">
        <f>IF(I2706="","",IF(I2706&gt;=MAXIFS($I$2:$I$5001,$B$2:$B$5001,B2706,$A$2:$A$5001,"&lt;="&amp;A2706),"PR",""))</f>
        <v/>
      </c>
    </row>
    <row r="2707">
      <c r="A2707" s="7" t="n"/>
      <c r="H2707" s="11">
        <f>IF(OR(D2707="",E2707=""),"",D2707*E2707)</f>
        <v/>
      </c>
      <c r="I2707" s="8">
        <f>IF(OR(D2707="",E2707=""),"",E2707*(1+D2707/30))</f>
        <v/>
      </c>
      <c r="J2707">
        <f>IF(I2707="","",IF(I2707&gt;=MAXIFS($I$2:$I$5001,$B$2:$B$5001,B2707,$A$2:$A$5001,"&lt;="&amp;A2707),"PR",""))</f>
        <v/>
      </c>
    </row>
    <row r="2708">
      <c r="A2708" s="7" t="n"/>
      <c r="H2708" s="11">
        <f>IF(OR(D2708="",E2708=""),"",D2708*E2708)</f>
        <v/>
      </c>
      <c r="I2708" s="8">
        <f>IF(OR(D2708="",E2708=""),"",E2708*(1+D2708/30))</f>
        <v/>
      </c>
      <c r="J2708">
        <f>IF(I2708="","",IF(I2708&gt;=MAXIFS($I$2:$I$5001,$B$2:$B$5001,B2708,$A$2:$A$5001,"&lt;="&amp;A2708),"PR",""))</f>
        <v/>
      </c>
    </row>
    <row r="2709">
      <c r="A2709" s="7" t="n"/>
      <c r="H2709" s="11">
        <f>IF(OR(D2709="",E2709=""),"",D2709*E2709)</f>
        <v/>
      </c>
      <c r="I2709" s="8">
        <f>IF(OR(D2709="",E2709=""),"",E2709*(1+D2709/30))</f>
        <v/>
      </c>
      <c r="J2709">
        <f>IF(I2709="","",IF(I2709&gt;=MAXIFS($I$2:$I$5001,$B$2:$B$5001,B2709,$A$2:$A$5001,"&lt;="&amp;A2709),"PR",""))</f>
        <v/>
      </c>
    </row>
    <row r="2710">
      <c r="A2710" s="7" t="n"/>
      <c r="H2710" s="11">
        <f>IF(OR(D2710="",E2710=""),"",D2710*E2710)</f>
        <v/>
      </c>
      <c r="I2710" s="8">
        <f>IF(OR(D2710="",E2710=""),"",E2710*(1+D2710/30))</f>
        <v/>
      </c>
      <c r="J2710">
        <f>IF(I2710="","",IF(I2710&gt;=MAXIFS($I$2:$I$5001,$B$2:$B$5001,B2710,$A$2:$A$5001,"&lt;="&amp;A2710),"PR",""))</f>
        <v/>
      </c>
    </row>
    <row r="2711">
      <c r="A2711" s="7" t="n"/>
      <c r="H2711" s="11">
        <f>IF(OR(D2711="",E2711=""),"",D2711*E2711)</f>
        <v/>
      </c>
      <c r="I2711" s="8">
        <f>IF(OR(D2711="",E2711=""),"",E2711*(1+D2711/30))</f>
        <v/>
      </c>
      <c r="J2711">
        <f>IF(I2711="","",IF(I2711&gt;=MAXIFS($I$2:$I$5001,$B$2:$B$5001,B2711,$A$2:$A$5001,"&lt;="&amp;A2711),"PR",""))</f>
        <v/>
      </c>
    </row>
    <row r="2712">
      <c r="A2712" s="7" t="n"/>
      <c r="H2712" s="11">
        <f>IF(OR(D2712="",E2712=""),"",D2712*E2712)</f>
        <v/>
      </c>
      <c r="I2712" s="8">
        <f>IF(OR(D2712="",E2712=""),"",E2712*(1+D2712/30))</f>
        <v/>
      </c>
      <c r="J2712">
        <f>IF(I2712="","",IF(I2712&gt;=MAXIFS($I$2:$I$5001,$B$2:$B$5001,B2712,$A$2:$A$5001,"&lt;="&amp;A2712),"PR",""))</f>
        <v/>
      </c>
    </row>
    <row r="2713">
      <c r="A2713" s="7" t="n"/>
      <c r="H2713" s="11">
        <f>IF(OR(D2713="",E2713=""),"",D2713*E2713)</f>
        <v/>
      </c>
      <c r="I2713" s="8">
        <f>IF(OR(D2713="",E2713=""),"",E2713*(1+D2713/30))</f>
        <v/>
      </c>
      <c r="J2713">
        <f>IF(I2713="","",IF(I2713&gt;=MAXIFS($I$2:$I$5001,$B$2:$B$5001,B2713,$A$2:$A$5001,"&lt;="&amp;A2713),"PR",""))</f>
        <v/>
      </c>
    </row>
    <row r="2714">
      <c r="A2714" s="7" t="n"/>
      <c r="H2714" s="11">
        <f>IF(OR(D2714="",E2714=""),"",D2714*E2714)</f>
        <v/>
      </c>
      <c r="I2714" s="8">
        <f>IF(OR(D2714="",E2714=""),"",E2714*(1+D2714/30))</f>
        <v/>
      </c>
      <c r="J2714">
        <f>IF(I2714="","",IF(I2714&gt;=MAXIFS($I$2:$I$5001,$B$2:$B$5001,B2714,$A$2:$A$5001,"&lt;="&amp;A2714),"PR",""))</f>
        <v/>
      </c>
    </row>
    <row r="2715">
      <c r="A2715" s="7" t="n"/>
      <c r="H2715" s="11">
        <f>IF(OR(D2715="",E2715=""),"",D2715*E2715)</f>
        <v/>
      </c>
      <c r="I2715" s="8">
        <f>IF(OR(D2715="",E2715=""),"",E2715*(1+D2715/30))</f>
        <v/>
      </c>
      <c r="J2715">
        <f>IF(I2715="","",IF(I2715&gt;=MAXIFS($I$2:$I$5001,$B$2:$B$5001,B2715,$A$2:$A$5001,"&lt;="&amp;A2715),"PR",""))</f>
        <v/>
      </c>
    </row>
    <row r="2716">
      <c r="A2716" s="7" t="n"/>
      <c r="H2716" s="11">
        <f>IF(OR(D2716="",E2716=""),"",D2716*E2716)</f>
        <v/>
      </c>
      <c r="I2716" s="8">
        <f>IF(OR(D2716="",E2716=""),"",E2716*(1+D2716/30))</f>
        <v/>
      </c>
      <c r="J2716">
        <f>IF(I2716="","",IF(I2716&gt;=MAXIFS($I$2:$I$5001,$B$2:$B$5001,B2716,$A$2:$A$5001,"&lt;="&amp;A2716),"PR",""))</f>
        <v/>
      </c>
    </row>
    <row r="2717">
      <c r="A2717" s="7" t="n"/>
      <c r="H2717" s="11">
        <f>IF(OR(D2717="",E2717=""),"",D2717*E2717)</f>
        <v/>
      </c>
      <c r="I2717" s="8">
        <f>IF(OR(D2717="",E2717=""),"",E2717*(1+D2717/30))</f>
        <v/>
      </c>
      <c r="J2717">
        <f>IF(I2717="","",IF(I2717&gt;=MAXIFS($I$2:$I$5001,$B$2:$B$5001,B2717,$A$2:$A$5001,"&lt;="&amp;A2717),"PR",""))</f>
        <v/>
      </c>
    </row>
    <row r="2718">
      <c r="A2718" s="7" t="n"/>
      <c r="H2718" s="11">
        <f>IF(OR(D2718="",E2718=""),"",D2718*E2718)</f>
        <v/>
      </c>
      <c r="I2718" s="8">
        <f>IF(OR(D2718="",E2718=""),"",E2718*(1+D2718/30))</f>
        <v/>
      </c>
      <c r="J2718">
        <f>IF(I2718="","",IF(I2718&gt;=MAXIFS($I$2:$I$5001,$B$2:$B$5001,B2718,$A$2:$A$5001,"&lt;="&amp;A2718),"PR",""))</f>
        <v/>
      </c>
    </row>
    <row r="2719">
      <c r="A2719" s="7" t="n"/>
      <c r="H2719" s="11">
        <f>IF(OR(D2719="",E2719=""),"",D2719*E2719)</f>
        <v/>
      </c>
      <c r="I2719" s="8">
        <f>IF(OR(D2719="",E2719=""),"",E2719*(1+D2719/30))</f>
        <v/>
      </c>
      <c r="J2719">
        <f>IF(I2719="","",IF(I2719&gt;=MAXIFS($I$2:$I$5001,$B$2:$B$5001,B2719,$A$2:$A$5001,"&lt;="&amp;A2719),"PR",""))</f>
        <v/>
      </c>
    </row>
    <row r="2720">
      <c r="A2720" s="7" t="n"/>
      <c r="H2720" s="11">
        <f>IF(OR(D2720="",E2720=""),"",D2720*E2720)</f>
        <v/>
      </c>
      <c r="I2720" s="8">
        <f>IF(OR(D2720="",E2720=""),"",E2720*(1+D2720/30))</f>
        <v/>
      </c>
      <c r="J2720">
        <f>IF(I2720="","",IF(I2720&gt;=MAXIFS($I$2:$I$5001,$B$2:$B$5001,B2720,$A$2:$A$5001,"&lt;="&amp;A2720),"PR",""))</f>
        <v/>
      </c>
    </row>
    <row r="2721">
      <c r="A2721" s="7" t="n"/>
      <c r="H2721" s="11">
        <f>IF(OR(D2721="",E2721=""),"",D2721*E2721)</f>
        <v/>
      </c>
      <c r="I2721" s="8">
        <f>IF(OR(D2721="",E2721=""),"",E2721*(1+D2721/30))</f>
        <v/>
      </c>
      <c r="J2721">
        <f>IF(I2721="","",IF(I2721&gt;=MAXIFS($I$2:$I$5001,$B$2:$B$5001,B2721,$A$2:$A$5001,"&lt;="&amp;A2721),"PR",""))</f>
        <v/>
      </c>
    </row>
    <row r="2722">
      <c r="A2722" s="7" t="n"/>
      <c r="H2722" s="11">
        <f>IF(OR(D2722="",E2722=""),"",D2722*E2722)</f>
        <v/>
      </c>
      <c r="I2722" s="8">
        <f>IF(OR(D2722="",E2722=""),"",E2722*(1+D2722/30))</f>
        <v/>
      </c>
      <c r="J2722">
        <f>IF(I2722="","",IF(I2722&gt;=MAXIFS($I$2:$I$5001,$B$2:$B$5001,B2722,$A$2:$A$5001,"&lt;="&amp;A2722),"PR",""))</f>
        <v/>
      </c>
    </row>
    <row r="2723">
      <c r="A2723" s="7" t="n"/>
      <c r="H2723" s="11">
        <f>IF(OR(D2723="",E2723=""),"",D2723*E2723)</f>
        <v/>
      </c>
      <c r="I2723" s="8">
        <f>IF(OR(D2723="",E2723=""),"",E2723*(1+D2723/30))</f>
        <v/>
      </c>
      <c r="J2723">
        <f>IF(I2723="","",IF(I2723&gt;=MAXIFS($I$2:$I$5001,$B$2:$B$5001,B2723,$A$2:$A$5001,"&lt;="&amp;A2723),"PR",""))</f>
        <v/>
      </c>
    </row>
    <row r="2724">
      <c r="A2724" s="7" t="n"/>
      <c r="H2724" s="11">
        <f>IF(OR(D2724="",E2724=""),"",D2724*E2724)</f>
        <v/>
      </c>
      <c r="I2724" s="8">
        <f>IF(OR(D2724="",E2724=""),"",E2724*(1+D2724/30))</f>
        <v/>
      </c>
      <c r="J2724">
        <f>IF(I2724="","",IF(I2724&gt;=MAXIFS($I$2:$I$5001,$B$2:$B$5001,B2724,$A$2:$A$5001,"&lt;="&amp;A2724),"PR",""))</f>
        <v/>
      </c>
    </row>
    <row r="2725">
      <c r="A2725" s="7" t="n"/>
      <c r="H2725" s="11">
        <f>IF(OR(D2725="",E2725=""),"",D2725*E2725)</f>
        <v/>
      </c>
      <c r="I2725" s="8">
        <f>IF(OR(D2725="",E2725=""),"",E2725*(1+D2725/30))</f>
        <v/>
      </c>
      <c r="J2725">
        <f>IF(I2725="","",IF(I2725&gt;=MAXIFS($I$2:$I$5001,$B$2:$B$5001,B2725,$A$2:$A$5001,"&lt;="&amp;A2725),"PR",""))</f>
        <v/>
      </c>
    </row>
    <row r="2726">
      <c r="A2726" s="7" t="n"/>
      <c r="H2726" s="11">
        <f>IF(OR(D2726="",E2726=""),"",D2726*E2726)</f>
        <v/>
      </c>
      <c r="I2726" s="8">
        <f>IF(OR(D2726="",E2726=""),"",E2726*(1+D2726/30))</f>
        <v/>
      </c>
      <c r="J2726">
        <f>IF(I2726="","",IF(I2726&gt;=MAXIFS($I$2:$I$5001,$B$2:$B$5001,B2726,$A$2:$A$5001,"&lt;="&amp;A2726),"PR",""))</f>
        <v/>
      </c>
    </row>
    <row r="2727">
      <c r="A2727" s="7" t="n"/>
      <c r="H2727" s="11">
        <f>IF(OR(D2727="",E2727=""),"",D2727*E2727)</f>
        <v/>
      </c>
      <c r="I2727" s="8">
        <f>IF(OR(D2727="",E2727=""),"",E2727*(1+D2727/30))</f>
        <v/>
      </c>
      <c r="J2727">
        <f>IF(I2727="","",IF(I2727&gt;=MAXIFS($I$2:$I$5001,$B$2:$B$5001,B2727,$A$2:$A$5001,"&lt;="&amp;A2727),"PR",""))</f>
        <v/>
      </c>
    </row>
    <row r="2728">
      <c r="A2728" s="7" t="n"/>
      <c r="H2728" s="11">
        <f>IF(OR(D2728="",E2728=""),"",D2728*E2728)</f>
        <v/>
      </c>
      <c r="I2728" s="8">
        <f>IF(OR(D2728="",E2728=""),"",E2728*(1+D2728/30))</f>
        <v/>
      </c>
      <c r="J2728">
        <f>IF(I2728="","",IF(I2728&gt;=MAXIFS($I$2:$I$5001,$B$2:$B$5001,B2728,$A$2:$A$5001,"&lt;="&amp;A2728),"PR",""))</f>
        <v/>
      </c>
    </row>
    <row r="2729">
      <c r="A2729" s="7" t="n"/>
      <c r="H2729" s="11">
        <f>IF(OR(D2729="",E2729=""),"",D2729*E2729)</f>
        <v/>
      </c>
      <c r="I2729" s="8">
        <f>IF(OR(D2729="",E2729=""),"",E2729*(1+D2729/30))</f>
        <v/>
      </c>
      <c r="J2729">
        <f>IF(I2729="","",IF(I2729&gt;=MAXIFS($I$2:$I$5001,$B$2:$B$5001,B2729,$A$2:$A$5001,"&lt;="&amp;A2729),"PR",""))</f>
        <v/>
      </c>
    </row>
    <row r="2730">
      <c r="A2730" s="7" t="n"/>
      <c r="H2730" s="11">
        <f>IF(OR(D2730="",E2730=""),"",D2730*E2730)</f>
        <v/>
      </c>
      <c r="I2730" s="8">
        <f>IF(OR(D2730="",E2730=""),"",E2730*(1+D2730/30))</f>
        <v/>
      </c>
      <c r="J2730">
        <f>IF(I2730="","",IF(I2730&gt;=MAXIFS($I$2:$I$5001,$B$2:$B$5001,B2730,$A$2:$A$5001,"&lt;="&amp;A2730),"PR",""))</f>
        <v/>
      </c>
    </row>
    <row r="2731">
      <c r="A2731" s="7" t="n"/>
      <c r="H2731" s="11">
        <f>IF(OR(D2731="",E2731=""),"",D2731*E2731)</f>
        <v/>
      </c>
      <c r="I2731" s="8">
        <f>IF(OR(D2731="",E2731=""),"",E2731*(1+D2731/30))</f>
        <v/>
      </c>
      <c r="J2731">
        <f>IF(I2731="","",IF(I2731&gt;=MAXIFS($I$2:$I$5001,$B$2:$B$5001,B2731,$A$2:$A$5001,"&lt;="&amp;A2731),"PR",""))</f>
        <v/>
      </c>
    </row>
    <row r="2732">
      <c r="A2732" s="7" t="n"/>
      <c r="H2732" s="11">
        <f>IF(OR(D2732="",E2732=""),"",D2732*E2732)</f>
        <v/>
      </c>
      <c r="I2732" s="8">
        <f>IF(OR(D2732="",E2732=""),"",E2732*(1+D2732/30))</f>
        <v/>
      </c>
      <c r="J2732">
        <f>IF(I2732="","",IF(I2732&gt;=MAXIFS($I$2:$I$5001,$B$2:$B$5001,B2732,$A$2:$A$5001,"&lt;="&amp;A2732),"PR",""))</f>
        <v/>
      </c>
    </row>
    <row r="2733">
      <c r="A2733" s="7" t="n"/>
      <c r="H2733" s="11">
        <f>IF(OR(D2733="",E2733=""),"",D2733*E2733)</f>
        <v/>
      </c>
      <c r="I2733" s="8">
        <f>IF(OR(D2733="",E2733=""),"",E2733*(1+D2733/30))</f>
        <v/>
      </c>
      <c r="J2733">
        <f>IF(I2733="","",IF(I2733&gt;=MAXIFS($I$2:$I$5001,$B$2:$B$5001,B2733,$A$2:$A$5001,"&lt;="&amp;A2733),"PR",""))</f>
        <v/>
      </c>
    </row>
    <row r="2734">
      <c r="A2734" s="7" t="n"/>
      <c r="H2734" s="11">
        <f>IF(OR(D2734="",E2734=""),"",D2734*E2734)</f>
        <v/>
      </c>
      <c r="I2734" s="8">
        <f>IF(OR(D2734="",E2734=""),"",E2734*(1+D2734/30))</f>
        <v/>
      </c>
      <c r="J2734">
        <f>IF(I2734="","",IF(I2734&gt;=MAXIFS($I$2:$I$5001,$B$2:$B$5001,B2734,$A$2:$A$5001,"&lt;="&amp;A2734),"PR",""))</f>
        <v/>
      </c>
    </row>
    <row r="2735">
      <c r="A2735" s="7" t="n"/>
      <c r="H2735" s="11">
        <f>IF(OR(D2735="",E2735=""),"",D2735*E2735)</f>
        <v/>
      </c>
      <c r="I2735" s="8">
        <f>IF(OR(D2735="",E2735=""),"",E2735*(1+D2735/30))</f>
        <v/>
      </c>
      <c r="J2735">
        <f>IF(I2735="","",IF(I2735&gt;=MAXIFS($I$2:$I$5001,$B$2:$B$5001,B2735,$A$2:$A$5001,"&lt;="&amp;A2735),"PR",""))</f>
        <v/>
      </c>
    </row>
    <row r="2736">
      <c r="A2736" s="7" t="n"/>
      <c r="H2736" s="11">
        <f>IF(OR(D2736="",E2736=""),"",D2736*E2736)</f>
        <v/>
      </c>
      <c r="I2736" s="8">
        <f>IF(OR(D2736="",E2736=""),"",E2736*(1+D2736/30))</f>
        <v/>
      </c>
      <c r="J2736">
        <f>IF(I2736="","",IF(I2736&gt;=MAXIFS($I$2:$I$5001,$B$2:$B$5001,B2736,$A$2:$A$5001,"&lt;="&amp;A2736),"PR",""))</f>
        <v/>
      </c>
    </row>
    <row r="2737">
      <c r="A2737" s="7" t="n"/>
      <c r="H2737" s="11">
        <f>IF(OR(D2737="",E2737=""),"",D2737*E2737)</f>
        <v/>
      </c>
      <c r="I2737" s="8">
        <f>IF(OR(D2737="",E2737=""),"",E2737*(1+D2737/30))</f>
        <v/>
      </c>
      <c r="J2737">
        <f>IF(I2737="","",IF(I2737&gt;=MAXIFS($I$2:$I$5001,$B$2:$B$5001,B2737,$A$2:$A$5001,"&lt;="&amp;A2737),"PR",""))</f>
        <v/>
      </c>
    </row>
    <row r="2738">
      <c r="A2738" s="7" t="n"/>
      <c r="H2738" s="11">
        <f>IF(OR(D2738="",E2738=""),"",D2738*E2738)</f>
        <v/>
      </c>
      <c r="I2738" s="8">
        <f>IF(OR(D2738="",E2738=""),"",E2738*(1+D2738/30))</f>
        <v/>
      </c>
      <c r="J2738">
        <f>IF(I2738="","",IF(I2738&gt;=MAXIFS($I$2:$I$5001,$B$2:$B$5001,B2738,$A$2:$A$5001,"&lt;="&amp;A2738),"PR",""))</f>
        <v/>
      </c>
    </row>
    <row r="2739">
      <c r="A2739" s="7" t="n"/>
      <c r="H2739" s="11">
        <f>IF(OR(D2739="",E2739=""),"",D2739*E2739)</f>
        <v/>
      </c>
      <c r="I2739" s="8">
        <f>IF(OR(D2739="",E2739=""),"",E2739*(1+D2739/30))</f>
        <v/>
      </c>
      <c r="J2739">
        <f>IF(I2739="","",IF(I2739&gt;=MAXIFS($I$2:$I$5001,$B$2:$B$5001,B2739,$A$2:$A$5001,"&lt;="&amp;A2739),"PR",""))</f>
        <v/>
      </c>
    </row>
    <row r="2740">
      <c r="A2740" s="7" t="n"/>
      <c r="H2740" s="11">
        <f>IF(OR(D2740="",E2740=""),"",D2740*E2740)</f>
        <v/>
      </c>
      <c r="I2740" s="8">
        <f>IF(OR(D2740="",E2740=""),"",E2740*(1+D2740/30))</f>
        <v/>
      </c>
      <c r="J2740">
        <f>IF(I2740="","",IF(I2740&gt;=MAXIFS($I$2:$I$5001,$B$2:$B$5001,B2740,$A$2:$A$5001,"&lt;="&amp;A2740),"PR",""))</f>
        <v/>
      </c>
    </row>
    <row r="2741">
      <c r="A2741" s="7" t="n"/>
      <c r="H2741" s="11">
        <f>IF(OR(D2741="",E2741=""),"",D2741*E2741)</f>
        <v/>
      </c>
      <c r="I2741" s="8">
        <f>IF(OR(D2741="",E2741=""),"",E2741*(1+D2741/30))</f>
        <v/>
      </c>
      <c r="J2741">
        <f>IF(I2741="","",IF(I2741&gt;=MAXIFS($I$2:$I$5001,$B$2:$B$5001,B2741,$A$2:$A$5001,"&lt;="&amp;A2741),"PR",""))</f>
        <v/>
      </c>
    </row>
    <row r="2742">
      <c r="A2742" s="7" t="n"/>
      <c r="H2742" s="11">
        <f>IF(OR(D2742="",E2742=""),"",D2742*E2742)</f>
        <v/>
      </c>
      <c r="I2742" s="8">
        <f>IF(OR(D2742="",E2742=""),"",E2742*(1+D2742/30))</f>
        <v/>
      </c>
      <c r="J2742">
        <f>IF(I2742="","",IF(I2742&gt;=MAXIFS($I$2:$I$5001,$B$2:$B$5001,B2742,$A$2:$A$5001,"&lt;="&amp;A2742),"PR",""))</f>
        <v/>
      </c>
    </row>
    <row r="2743">
      <c r="A2743" s="7" t="n"/>
      <c r="H2743" s="11">
        <f>IF(OR(D2743="",E2743=""),"",D2743*E2743)</f>
        <v/>
      </c>
      <c r="I2743" s="8">
        <f>IF(OR(D2743="",E2743=""),"",E2743*(1+D2743/30))</f>
        <v/>
      </c>
      <c r="J2743">
        <f>IF(I2743="","",IF(I2743&gt;=MAXIFS($I$2:$I$5001,$B$2:$B$5001,B2743,$A$2:$A$5001,"&lt;="&amp;A2743),"PR",""))</f>
        <v/>
      </c>
    </row>
    <row r="2744">
      <c r="A2744" s="7" t="n"/>
      <c r="H2744" s="11">
        <f>IF(OR(D2744="",E2744=""),"",D2744*E2744)</f>
        <v/>
      </c>
      <c r="I2744" s="8">
        <f>IF(OR(D2744="",E2744=""),"",E2744*(1+D2744/30))</f>
        <v/>
      </c>
      <c r="J2744">
        <f>IF(I2744="","",IF(I2744&gt;=MAXIFS($I$2:$I$5001,$B$2:$B$5001,B2744,$A$2:$A$5001,"&lt;="&amp;A2744),"PR",""))</f>
        <v/>
      </c>
    </row>
    <row r="2745">
      <c r="A2745" s="7" t="n"/>
      <c r="H2745" s="11">
        <f>IF(OR(D2745="",E2745=""),"",D2745*E2745)</f>
        <v/>
      </c>
      <c r="I2745" s="8">
        <f>IF(OR(D2745="",E2745=""),"",E2745*(1+D2745/30))</f>
        <v/>
      </c>
      <c r="J2745">
        <f>IF(I2745="","",IF(I2745&gt;=MAXIFS($I$2:$I$5001,$B$2:$B$5001,B2745,$A$2:$A$5001,"&lt;="&amp;A2745),"PR",""))</f>
        <v/>
      </c>
    </row>
    <row r="2746">
      <c r="A2746" s="7" t="n"/>
      <c r="H2746" s="11">
        <f>IF(OR(D2746="",E2746=""),"",D2746*E2746)</f>
        <v/>
      </c>
      <c r="I2746" s="8">
        <f>IF(OR(D2746="",E2746=""),"",E2746*(1+D2746/30))</f>
        <v/>
      </c>
      <c r="J2746">
        <f>IF(I2746="","",IF(I2746&gt;=MAXIFS($I$2:$I$5001,$B$2:$B$5001,B2746,$A$2:$A$5001,"&lt;="&amp;A2746),"PR",""))</f>
        <v/>
      </c>
    </row>
    <row r="2747">
      <c r="A2747" s="7" t="n"/>
      <c r="H2747" s="11">
        <f>IF(OR(D2747="",E2747=""),"",D2747*E2747)</f>
        <v/>
      </c>
      <c r="I2747" s="8">
        <f>IF(OR(D2747="",E2747=""),"",E2747*(1+D2747/30))</f>
        <v/>
      </c>
      <c r="J2747">
        <f>IF(I2747="","",IF(I2747&gt;=MAXIFS($I$2:$I$5001,$B$2:$B$5001,B2747,$A$2:$A$5001,"&lt;="&amp;A2747),"PR",""))</f>
        <v/>
      </c>
    </row>
    <row r="2748">
      <c r="A2748" s="7" t="n"/>
      <c r="H2748" s="11">
        <f>IF(OR(D2748="",E2748=""),"",D2748*E2748)</f>
        <v/>
      </c>
      <c r="I2748" s="8">
        <f>IF(OR(D2748="",E2748=""),"",E2748*(1+D2748/30))</f>
        <v/>
      </c>
      <c r="J2748">
        <f>IF(I2748="","",IF(I2748&gt;=MAXIFS($I$2:$I$5001,$B$2:$B$5001,B2748,$A$2:$A$5001,"&lt;="&amp;A2748),"PR",""))</f>
        <v/>
      </c>
    </row>
    <row r="2749">
      <c r="A2749" s="7" t="n"/>
      <c r="H2749" s="11">
        <f>IF(OR(D2749="",E2749=""),"",D2749*E2749)</f>
        <v/>
      </c>
      <c r="I2749" s="8">
        <f>IF(OR(D2749="",E2749=""),"",E2749*(1+D2749/30))</f>
        <v/>
      </c>
      <c r="J2749">
        <f>IF(I2749="","",IF(I2749&gt;=MAXIFS($I$2:$I$5001,$B$2:$B$5001,B2749,$A$2:$A$5001,"&lt;="&amp;A2749),"PR",""))</f>
        <v/>
      </c>
    </row>
    <row r="2750">
      <c r="A2750" s="7" t="n"/>
      <c r="H2750" s="11">
        <f>IF(OR(D2750="",E2750=""),"",D2750*E2750)</f>
        <v/>
      </c>
      <c r="I2750" s="8">
        <f>IF(OR(D2750="",E2750=""),"",E2750*(1+D2750/30))</f>
        <v/>
      </c>
      <c r="J2750">
        <f>IF(I2750="","",IF(I2750&gt;=MAXIFS($I$2:$I$5001,$B$2:$B$5001,B2750,$A$2:$A$5001,"&lt;="&amp;A2750),"PR",""))</f>
        <v/>
      </c>
    </row>
    <row r="2751">
      <c r="A2751" s="7" t="n"/>
      <c r="H2751" s="11">
        <f>IF(OR(D2751="",E2751=""),"",D2751*E2751)</f>
        <v/>
      </c>
      <c r="I2751" s="8">
        <f>IF(OR(D2751="",E2751=""),"",E2751*(1+D2751/30))</f>
        <v/>
      </c>
      <c r="J2751">
        <f>IF(I2751="","",IF(I2751&gt;=MAXIFS($I$2:$I$5001,$B$2:$B$5001,B2751,$A$2:$A$5001,"&lt;="&amp;A2751),"PR",""))</f>
        <v/>
      </c>
    </row>
    <row r="2752">
      <c r="A2752" s="7" t="n"/>
      <c r="H2752" s="11">
        <f>IF(OR(D2752="",E2752=""),"",D2752*E2752)</f>
        <v/>
      </c>
      <c r="I2752" s="8">
        <f>IF(OR(D2752="",E2752=""),"",E2752*(1+D2752/30))</f>
        <v/>
      </c>
      <c r="J2752">
        <f>IF(I2752="","",IF(I2752&gt;=MAXIFS($I$2:$I$5001,$B$2:$B$5001,B2752,$A$2:$A$5001,"&lt;="&amp;A2752),"PR",""))</f>
        <v/>
      </c>
    </row>
    <row r="2753">
      <c r="A2753" s="7" t="n"/>
      <c r="H2753" s="11">
        <f>IF(OR(D2753="",E2753=""),"",D2753*E2753)</f>
        <v/>
      </c>
      <c r="I2753" s="8">
        <f>IF(OR(D2753="",E2753=""),"",E2753*(1+D2753/30))</f>
        <v/>
      </c>
      <c r="J2753">
        <f>IF(I2753="","",IF(I2753&gt;=MAXIFS($I$2:$I$5001,$B$2:$B$5001,B2753,$A$2:$A$5001,"&lt;="&amp;A2753),"PR",""))</f>
        <v/>
      </c>
    </row>
    <row r="2754">
      <c r="A2754" s="7" t="n"/>
      <c r="H2754" s="11">
        <f>IF(OR(D2754="",E2754=""),"",D2754*E2754)</f>
        <v/>
      </c>
      <c r="I2754" s="8">
        <f>IF(OR(D2754="",E2754=""),"",E2754*(1+D2754/30))</f>
        <v/>
      </c>
      <c r="J2754">
        <f>IF(I2754="","",IF(I2754&gt;=MAXIFS($I$2:$I$5001,$B$2:$B$5001,B2754,$A$2:$A$5001,"&lt;="&amp;A2754),"PR",""))</f>
        <v/>
      </c>
    </row>
    <row r="2755">
      <c r="A2755" s="7" t="n"/>
      <c r="H2755" s="11">
        <f>IF(OR(D2755="",E2755=""),"",D2755*E2755)</f>
        <v/>
      </c>
      <c r="I2755" s="8">
        <f>IF(OR(D2755="",E2755=""),"",E2755*(1+D2755/30))</f>
        <v/>
      </c>
      <c r="J2755">
        <f>IF(I2755="","",IF(I2755&gt;=MAXIFS($I$2:$I$5001,$B$2:$B$5001,B2755,$A$2:$A$5001,"&lt;="&amp;A2755),"PR",""))</f>
        <v/>
      </c>
    </row>
    <row r="2756">
      <c r="A2756" s="7" t="n"/>
      <c r="H2756" s="11">
        <f>IF(OR(D2756="",E2756=""),"",D2756*E2756)</f>
        <v/>
      </c>
      <c r="I2756" s="8">
        <f>IF(OR(D2756="",E2756=""),"",E2756*(1+D2756/30))</f>
        <v/>
      </c>
      <c r="J2756">
        <f>IF(I2756="","",IF(I2756&gt;=MAXIFS($I$2:$I$5001,$B$2:$B$5001,B2756,$A$2:$A$5001,"&lt;="&amp;A2756),"PR",""))</f>
        <v/>
      </c>
    </row>
    <row r="2757">
      <c r="A2757" s="7" t="n"/>
      <c r="H2757" s="11">
        <f>IF(OR(D2757="",E2757=""),"",D2757*E2757)</f>
        <v/>
      </c>
      <c r="I2757" s="8">
        <f>IF(OR(D2757="",E2757=""),"",E2757*(1+D2757/30))</f>
        <v/>
      </c>
      <c r="J2757">
        <f>IF(I2757="","",IF(I2757&gt;=MAXIFS($I$2:$I$5001,$B$2:$B$5001,B2757,$A$2:$A$5001,"&lt;="&amp;A2757),"PR",""))</f>
        <v/>
      </c>
    </row>
    <row r="2758">
      <c r="A2758" s="7" t="n"/>
      <c r="H2758" s="11">
        <f>IF(OR(D2758="",E2758=""),"",D2758*E2758)</f>
        <v/>
      </c>
      <c r="I2758" s="8">
        <f>IF(OR(D2758="",E2758=""),"",E2758*(1+D2758/30))</f>
        <v/>
      </c>
      <c r="J2758">
        <f>IF(I2758="","",IF(I2758&gt;=MAXIFS($I$2:$I$5001,$B$2:$B$5001,B2758,$A$2:$A$5001,"&lt;="&amp;A2758),"PR",""))</f>
        <v/>
      </c>
    </row>
    <row r="2759">
      <c r="A2759" s="7" t="n"/>
      <c r="H2759" s="11">
        <f>IF(OR(D2759="",E2759=""),"",D2759*E2759)</f>
        <v/>
      </c>
      <c r="I2759" s="8">
        <f>IF(OR(D2759="",E2759=""),"",E2759*(1+D2759/30))</f>
        <v/>
      </c>
      <c r="J2759">
        <f>IF(I2759="","",IF(I2759&gt;=MAXIFS($I$2:$I$5001,$B$2:$B$5001,B2759,$A$2:$A$5001,"&lt;="&amp;A2759),"PR",""))</f>
        <v/>
      </c>
    </row>
    <row r="2760">
      <c r="A2760" s="7" t="n"/>
      <c r="H2760" s="11">
        <f>IF(OR(D2760="",E2760=""),"",D2760*E2760)</f>
        <v/>
      </c>
      <c r="I2760" s="8">
        <f>IF(OR(D2760="",E2760=""),"",E2760*(1+D2760/30))</f>
        <v/>
      </c>
      <c r="J2760">
        <f>IF(I2760="","",IF(I2760&gt;=MAXIFS($I$2:$I$5001,$B$2:$B$5001,B2760,$A$2:$A$5001,"&lt;="&amp;A2760),"PR",""))</f>
        <v/>
      </c>
    </row>
    <row r="2761">
      <c r="A2761" s="7" t="n"/>
      <c r="H2761" s="11">
        <f>IF(OR(D2761="",E2761=""),"",D2761*E2761)</f>
        <v/>
      </c>
      <c r="I2761" s="8">
        <f>IF(OR(D2761="",E2761=""),"",E2761*(1+D2761/30))</f>
        <v/>
      </c>
      <c r="J2761">
        <f>IF(I2761="","",IF(I2761&gt;=MAXIFS($I$2:$I$5001,$B$2:$B$5001,B2761,$A$2:$A$5001,"&lt;="&amp;A2761),"PR",""))</f>
        <v/>
      </c>
    </row>
    <row r="2762">
      <c r="A2762" s="7" t="n"/>
      <c r="H2762" s="11">
        <f>IF(OR(D2762="",E2762=""),"",D2762*E2762)</f>
        <v/>
      </c>
      <c r="I2762" s="8">
        <f>IF(OR(D2762="",E2762=""),"",E2762*(1+D2762/30))</f>
        <v/>
      </c>
      <c r="J2762">
        <f>IF(I2762="","",IF(I2762&gt;=MAXIFS($I$2:$I$5001,$B$2:$B$5001,B2762,$A$2:$A$5001,"&lt;="&amp;A2762),"PR",""))</f>
        <v/>
      </c>
    </row>
    <row r="2763">
      <c r="A2763" s="7" t="n"/>
      <c r="H2763" s="11">
        <f>IF(OR(D2763="",E2763=""),"",D2763*E2763)</f>
        <v/>
      </c>
      <c r="I2763" s="8">
        <f>IF(OR(D2763="",E2763=""),"",E2763*(1+D2763/30))</f>
        <v/>
      </c>
      <c r="J2763">
        <f>IF(I2763="","",IF(I2763&gt;=MAXIFS($I$2:$I$5001,$B$2:$B$5001,B2763,$A$2:$A$5001,"&lt;="&amp;A2763),"PR",""))</f>
        <v/>
      </c>
    </row>
    <row r="2764">
      <c r="A2764" s="7" t="n"/>
      <c r="H2764" s="11">
        <f>IF(OR(D2764="",E2764=""),"",D2764*E2764)</f>
        <v/>
      </c>
      <c r="I2764" s="8">
        <f>IF(OR(D2764="",E2764=""),"",E2764*(1+D2764/30))</f>
        <v/>
      </c>
      <c r="J2764">
        <f>IF(I2764="","",IF(I2764&gt;=MAXIFS($I$2:$I$5001,$B$2:$B$5001,B2764,$A$2:$A$5001,"&lt;="&amp;A2764),"PR",""))</f>
        <v/>
      </c>
    </row>
    <row r="2765">
      <c r="A2765" s="7" t="n"/>
      <c r="H2765" s="11">
        <f>IF(OR(D2765="",E2765=""),"",D2765*E2765)</f>
        <v/>
      </c>
      <c r="I2765" s="8">
        <f>IF(OR(D2765="",E2765=""),"",E2765*(1+D2765/30))</f>
        <v/>
      </c>
      <c r="J2765">
        <f>IF(I2765="","",IF(I2765&gt;=MAXIFS($I$2:$I$5001,$B$2:$B$5001,B2765,$A$2:$A$5001,"&lt;="&amp;A2765),"PR",""))</f>
        <v/>
      </c>
    </row>
    <row r="2766">
      <c r="A2766" s="7" t="n"/>
      <c r="H2766" s="11">
        <f>IF(OR(D2766="",E2766=""),"",D2766*E2766)</f>
        <v/>
      </c>
      <c r="I2766" s="8">
        <f>IF(OR(D2766="",E2766=""),"",E2766*(1+D2766/30))</f>
        <v/>
      </c>
      <c r="J2766">
        <f>IF(I2766="","",IF(I2766&gt;=MAXIFS($I$2:$I$5001,$B$2:$B$5001,B2766,$A$2:$A$5001,"&lt;="&amp;A2766),"PR",""))</f>
        <v/>
      </c>
    </row>
    <row r="2767">
      <c r="A2767" s="7" t="n"/>
      <c r="H2767" s="11">
        <f>IF(OR(D2767="",E2767=""),"",D2767*E2767)</f>
        <v/>
      </c>
      <c r="I2767" s="8">
        <f>IF(OR(D2767="",E2767=""),"",E2767*(1+D2767/30))</f>
        <v/>
      </c>
      <c r="J2767">
        <f>IF(I2767="","",IF(I2767&gt;=MAXIFS($I$2:$I$5001,$B$2:$B$5001,B2767,$A$2:$A$5001,"&lt;="&amp;A2767),"PR",""))</f>
        <v/>
      </c>
    </row>
    <row r="2768">
      <c r="A2768" s="7" t="n"/>
      <c r="H2768" s="11">
        <f>IF(OR(D2768="",E2768=""),"",D2768*E2768)</f>
        <v/>
      </c>
      <c r="I2768" s="8">
        <f>IF(OR(D2768="",E2768=""),"",E2768*(1+D2768/30))</f>
        <v/>
      </c>
      <c r="J2768">
        <f>IF(I2768="","",IF(I2768&gt;=MAXIFS($I$2:$I$5001,$B$2:$B$5001,B2768,$A$2:$A$5001,"&lt;="&amp;A2768),"PR",""))</f>
        <v/>
      </c>
    </row>
    <row r="2769">
      <c r="A2769" s="7" t="n"/>
      <c r="H2769" s="11">
        <f>IF(OR(D2769="",E2769=""),"",D2769*E2769)</f>
        <v/>
      </c>
      <c r="I2769" s="8">
        <f>IF(OR(D2769="",E2769=""),"",E2769*(1+D2769/30))</f>
        <v/>
      </c>
      <c r="J2769">
        <f>IF(I2769="","",IF(I2769&gt;=MAXIFS($I$2:$I$5001,$B$2:$B$5001,B2769,$A$2:$A$5001,"&lt;="&amp;A2769),"PR",""))</f>
        <v/>
      </c>
    </row>
    <row r="2770">
      <c r="A2770" s="7" t="n"/>
      <c r="H2770" s="11">
        <f>IF(OR(D2770="",E2770=""),"",D2770*E2770)</f>
        <v/>
      </c>
      <c r="I2770" s="8">
        <f>IF(OR(D2770="",E2770=""),"",E2770*(1+D2770/30))</f>
        <v/>
      </c>
      <c r="J2770">
        <f>IF(I2770="","",IF(I2770&gt;=MAXIFS($I$2:$I$5001,$B$2:$B$5001,B2770,$A$2:$A$5001,"&lt;="&amp;A2770),"PR",""))</f>
        <v/>
      </c>
    </row>
    <row r="2771">
      <c r="A2771" s="7" t="n"/>
      <c r="H2771" s="11">
        <f>IF(OR(D2771="",E2771=""),"",D2771*E2771)</f>
        <v/>
      </c>
      <c r="I2771" s="8">
        <f>IF(OR(D2771="",E2771=""),"",E2771*(1+D2771/30))</f>
        <v/>
      </c>
      <c r="J2771">
        <f>IF(I2771="","",IF(I2771&gt;=MAXIFS($I$2:$I$5001,$B$2:$B$5001,B2771,$A$2:$A$5001,"&lt;="&amp;A2771),"PR",""))</f>
        <v/>
      </c>
    </row>
    <row r="2772">
      <c r="A2772" s="7" t="n"/>
      <c r="H2772" s="11">
        <f>IF(OR(D2772="",E2772=""),"",D2772*E2772)</f>
        <v/>
      </c>
      <c r="I2772" s="8">
        <f>IF(OR(D2772="",E2772=""),"",E2772*(1+D2772/30))</f>
        <v/>
      </c>
      <c r="J2772">
        <f>IF(I2772="","",IF(I2772&gt;=MAXIFS($I$2:$I$5001,$B$2:$B$5001,B2772,$A$2:$A$5001,"&lt;="&amp;A2772),"PR",""))</f>
        <v/>
      </c>
    </row>
    <row r="2773">
      <c r="A2773" s="7" t="n"/>
      <c r="H2773" s="11">
        <f>IF(OR(D2773="",E2773=""),"",D2773*E2773)</f>
        <v/>
      </c>
      <c r="I2773" s="8">
        <f>IF(OR(D2773="",E2773=""),"",E2773*(1+D2773/30))</f>
        <v/>
      </c>
      <c r="J2773">
        <f>IF(I2773="","",IF(I2773&gt;=MAXIFS($I$2:$I$5001,$B$2:$B$5001,B2773,$A$2:$A$5001,"&lt;="&amp;A2773),"PR",""))</f>
        <v/>
      </c>
    </row>
    <row r="2774">
      <c r="A2774" s="7" t="n"/>
      <c r="H2774" s="11">
        <f>IF(OR(D2774="",E2774=""),"",D2774*E2774)</f>
        <v/>
      </c>
      <c r="I2774" s="8">
        <f>IF(OR(D2774="",E2774=""),"",E2774*(1+D2774/30))</f>
        <v/>
      </c>
      <c r="J2774">
        <f>IF(I2774="","",IF(I2774&gt;=MAXIFS($I$2:$I$5001,$B$2:$B$5001,B2774,$A$2:$A$5001,"&lt;="&amp;A2774),"PR",""))</f>
        <v/>
      </c>
    </row>
    <row r="2775">
      <c r="A2775" s="7" t="n"/>
      <c r="H2775" s="11">
        <f>IF(OR(D2775="",E2775=""),"",D2775*E2775)</f>
        <v/>
      </c>
      <c r="I2775" s="8">
        <f>IF(OR(D2775="",E2775=""),"",E2775*(1+D2775/30))</f>
        <v/>
      </c>
      <c r="J2775">
        <f>IF(I2775="","",IF(I2775&gt;=MAXIFS($I$2:$I$5001,$B$2:$B$5001,B2775,$A$2:$A$5001,"&lt;="&amp;A2775),"PR",""))</f>
        <v/>
      </c>
    </row>
    <row r="2776">
      <c r="A2776" s="7" t="n"/>
      <c r="H2776" s="11">
        <f>IF(OR(D2776="",E2776=""),"",D2776*E2776)</f>
        <v/>
      </c>
      <c r="I2776" s="8">
        <f>IF(OR(D2776="",E2776=""),"",E2776*(1+D2776/30))</f>
        <v/>
      </c>
      <c r="J2776">
        <f>IF(I2776="","",IF(I2776&gt;=MAXIFS($I$2:$I$5001,$B$2:$B$5001,B2776,$A$2:$A$5001,"&lt;="&amp;A2776),"PR",""))</f>
        <v/>
      </c>
    </row>
    <row r="2777">
      <c r="A2777" s="7" t="n"/>
      <c r="H2777" s="11">
        <f>IF(OR(D2777="",E2777=""),"",D2777*E2777)</f>
        <v/>
      </c>
      <c r="I2777" s="8">
        <f>IF(OR(D2777="",E2777=""),"",E2777*(1+D2777/30))</f>
        <v/>
      </c>
      <c r="J2777">
        <f>IF(I2777="","",IF(I2777&gt;=MAXIFS($I$2:$I$5001,$B$2:$B$5001,B2777,$A$2:$A$5001,"&lt;="&amp;A2777),"PR",""))</f>
        <v/>
      </c>
    </row>
    <row r="2778">
      <c r="A2778" s="7" t="n"/>
      <c r="H2778" s="11">
        <f>IF(OR(D2778="",E2778=""),"",D2778*E2778)</f>
        <v/>
      </c>
      <c r="I2778" s="8">
        <f>IF(OR(D2778="",E2778=""),"",E2778*(1+D2778/30))</f>
        <v/>
      </c>
      <c r="J2778">
        <f>IF(I2778="","",IF(I2778&gt;=MAXIFS($I$2:$I$5001,$B$2:$B$5001,B2778,$A$2:$A$5001,"&lt;="&amp;A2778),"PR",""))</f>
        <v/>
      </c>
    </row>
    <row r="2779">
      <c r="A2779" s="7" t="n"/>
      <c r="H2779" s="11">
        <f>IF(OR(D2779="",E2779=""),"",D2779*E2779)</f>
        <v/>
      </c>
      <c r="I2779" s="8">
        <f>IF(OR(D2779="",E2779=""),"",E2779*(1+D2779/30))</f>
        <v/>
      </c>
      <c r="J2779">
        <f>IF(I2779="","",IF(I2779&gt;=MAXIFS($I$2:$I$5001,$B$2:$B$5001,B2779,$A$2:$A$5001,"&lt;="&amp;A2779),"PR",""))</f>
        <v/>
      </c>
    </row>
    <row r="2780">
      <c r="A2780" s="7" t="n"/>
      <c r="H2780" s="11">
        <f>IF(OR(D2780="",E2780=""),"",D2780*E2780)</f>
        <v/>
      </c>
      <c r="I2780" s="8">
        <f>IF(OR(D2780="",E2780=""),"",E2780*(1+D2780/30))</f>
        <v/>
      </c>
      <c r="J2780">
        <f>IF(I2780="","",IF(I2780&gt;=MAXIFS($I$2:$I$5001,$B$2:$B$5001,B2780,$A$2:$A$5001,"&lt;="&amp;A2780),"PR",""))</f>
        <v/>
      </c>
    </row>
    <row r="2781">
      <c r="A2781" s="7" t="n"/>
      <c r="H2781" s="11">
        <f>IF(OR(D2781="",E2781=""),"",D2781*E2781)</f>
        <v/>
      </c>
      <c r="I2781" s="8">
        <f>IF(OR(D2781="",E2781=""),"",E2781*(1+D2781/30))</f>
        <v/>
      </c>
      <c r="J2781">
        <f>IF(I2781="","",IF(I2781&gt;=MAXIFS($I$2:$I$5001,$B$2:$B$5001,B2781,$A$2:$A$5001,"&lt;="&amp;A2781),"PR",""))</f>
        <v/>
      </c>
    </row>
    <row r="2782">
      <c r="A2782" s="7" t="n"/>
      <c r="H2782" s="11">
        <f>IF(OR(D2782="",E2782=""),"",D2782*E2782)</f>
        <v/>
      </c>
      <c r="I2782" s="8">
        <f>IF(OR(D2782="",E2782=""),"",E2782*(1+D2782/30))</f>
        <v/>
      </c>
      <c r="J2782">
        <f>IF(I2782="","",IF(I2782&gt;=MAXIFS($I$2:$I$5001,$B$2:$B$5001,B2782,$A$2:$A$5001,"&lt;="&amp;A2782),"PR",""))</f>
        <v/>
      </c>
    </row>
    <row r="2783">
      <c r="A2783" s="7" t="n"/>
      <c r="H2783" s="11">
        <f>IF(OR(D2783="",E2783=""),"",D2783*E2783)</f>
        <v/>
      </c>
      <c r="I2783" s="8">
        <f>IF(OR(D2783="",E2783=""),"",E2783*(1+D2783/30))</f>
        <v/>
      </c>
      <c r="J2783">
        <f>IF(I2783="","",IF(I2783&gt;=MAXIFS($I$2:$I$5001,$B$2:$B$5001,B2783,$A$2:$A$5001,"&lt;="&amp;A2783),"PR",""))</f>
        <v/>
      </c>
    </row>
    <row r="2784">
      <c r="A2784" s="7" t="n"/>
      <c r="H2784" s="11">
        <f>IF(OR(D2784="",E2784=""),"",D2784*E2784)</f>
        <v/>
      </c>
      <c r="I2784" s="8">
        <f>IF(OR(D2784="",E2784=""),"",E2784*(1+D2784/30))</f>
        <v/>
      </c>
      <c r="J2784">
        <f>IF(I2784="","",IF(I2784&gt;=MAXIFS($I$2:$I$5001,$B$2:$B$5001,B2784,$A$2:$A$5001,"&lt;="&amp;A2784),"PR",""))</f>
        <v/>
      </c>
    </row>
    <row r="2785">
      <c r="A2785" s="7" t="n"/>
      <c r="H2785" s="11">
        <f>IF(OR(D2785="",E2785=""),"",D2785*E2785)</f>
        <v/>
      </c>
      <c r="I2785" s="8">
        <f>IF(OR(D2785="",E2785=""),"",E2785*(1+D2785/30))</f>
        <v/>
      </c>
      <c r="J2785">
        <f>IF(I2785="","",IF(I2785&gt;=MAXIFS($I$2:$I$5001,$B$2:$B$5001,B2785,$A$2:$A$5001,"&lt;="&amp;A2785),"PR",""))</f>
        <v/>
      </c>
    </row>
    <row r="2786">
      <c r="A2786" s="7" t="n"/>
      <c r="H2786" s="11">
        <f>IF(OR(D2786="",E2786=""),"",D2786*E2786)</f>
        <v/>
      </c>
      <c r="I2786" s="8">
        <f>IF(OR(D2786="",E2786=""),"",E2786*(1+D2786/30))</f>
        <v/>
      </c>
      <c r="J2786">
        <f>IF(I2786="","",IF(I2786&gt;=MAXIFS($I$2:$I$5001,$B$2:$B$5001,B2786,$A$2:$A$5001,"&lt;="&amp;A2786),"PR",""))</f>
        <v/>
      </c>
    </row>
    <row r="2787">
      <c r="A2787" s="7" t="n"/>
      <c r="H2787" s="11">
        <f>IF(OR(D2787="",E2787=""),"",D2787*E2787)</f>
        <v/>
      </c>
      <c r="I2787" s="8">
        <f>IF(OR(D2787="",E2787=""),"",E2787*(1+D2787/30))</f>
        <v/>
      </c>
      <c r="J2787">
        <f>IF(I2787="","",IF(I2787&gt;=MAXIFS($I$2:$I$5001,$B$2:$B$5001,B2787,$A$2:$A$5001,"&lt;="&amp;A2787),"PR",""))</f>
        <v/>
      </c>
    </row>
    <row r="2788">
      <c r="A2788" s="7" t="n"/>
      <c r="H2788" s="11">
        <f>IF(OR(D2788="",E2788=""),"",D2788*E2788)</f>
        <v/>
      </c>
      <c r="I2788" s="8">
        <f>IF(OR(D2788="",E2788=""),"",E2788*(1+D2788/30))</f>
        <v/>
      </c>
      <c r="J2788">
        <f>IF(I2788="","",IF(I2788&gt;=MAXIFS($I$2:$I$5001,$B$2:$B$5001,B2788,$A$2:$A$5001,"&lt;="&amp;A2788),"PR",""))</f>
        <v/>
      </c>
    </row>
    <row r="2789">
      <c r="A2789" s="7" t="n"/>
      <c r="H2789" s="11">
        <f>IF(OR(D2789="",E2789=""),"",D2789*E2789)</f>
        <v/>
      </c>
      <c r="I2789" s="8">
        <f>IF(OR(D2789="",E2789=""),"",E2789*(1+D2789/30))</f>
        <v/>
      </c>
      <c r="J2789">
        <f>IF(I2789="","",IF(I2789&gt;=MAXIFS($I$2:$I$5001,$B$2:$B$5001,B2789,$A$2:$A$5001,"&lt;="&amp;A2789),"PR",""))</f>
        <v/>
      </c>
    </row>
    <row r="2790">
      <c r="A2790" s="7" t="n"/>
      <c r="H2790" s="11">
        <f>IF(OR(D2790="",E2790=""),"",D2790*E2790)</f>
        <v/>
      </c>
      <c r="I2790" s="8">
        <f>IF(OR(D2790="",E2790=""),"",E2790*(1+D2790/30))</f>
        <v/>
      </c>
      <c r="J2790">
        <f>IF(I2790="","",IF(I2790&gt;=MAXIFS($I$2:$I$5001,$B$2:$B$5001,B2790,$A$2:$A$5001,"&lt;="&amp;A2790),"PR",""))</f>
        <v/>
      </c>
    </row>
    <row r="2791">
      <c r="A2791" s="7" t="n"/>
      <c r="H2791" s="11">
        <f>IF(OR(D2791="",E2791=""),"",D2791*E2791)</f>
        <v/>
      </c>
      <c r="I2791" s="8">
        <f>IF(OR(D2791="",E2791=""),"",E2791*(1+D2791/30))</f>
        <v/>
      </c>
      <c r="J2791">
        <f>IF(I2791="","",IF(I2791&gt;=MAXIFS($I$2:$I$5001,$B$2:$B$5001,B2791,$A$2:$A$5001,"&lt;="&amp;A2791),"PR",""))</f>
        <v/>
      </c>
    </row>
    <row r="2792">
      <c r="A2792" s="7" t="n"/>
      <c r="H2792" s="11">
        <f>IF(OR(D2792="",E2792=""),"",D2792*E2792)</f>
        <v/>
      </c>
      <c r="I2792" s="8">
        <f>IF(OR(D2792="",E2792=""),"",E2792*(1+D2792/30))</f>
        <v/>
      </c>
      <c r="J2792">
        <f>IF(I2792="","",IF(I2792&gt;=MAXIFS($I$2:$I$5001,$B$2:$B$5001,B2792,$A$2:$A$5001,"&lt;="&amp;A2792),"PR",""))</f>
        <v/>
      </c>
    </row>
    <row r="2793">
      <c r="A2793" s="7" t="n"/>
      <c r="H2793" s="11">
        <f>IF(OR(D2793="",E2793=""),"",D2793*E2793)</f>
        <v/>
      </c>
      <c r="I2793" s="8">
        <f>IF(OR(D2793="",E2793=""),"",E2793*(1+D2793/30))</f>
        <v/>
      </c>
      <c r="J2793">
        <f>IF(I2793="","",IF(I2793&gt;=MAXIFS($I$2:$I$5001,$B$2:$B$5001,B2793,$A$2:$A$5001,"&lt;="&amp;A2793),"PR",""))</f>
        <v/>
      </c>
    </row>
    <row r="2794">
      <c r="A2794" s="7" t="n"/>
      <c r="H2794" s="11">
        <f>IF(OR(D2794="",E2794=""),"",D2794*E2794)</f>
        <v/>
      </c>
      <c r="I2794" s="8">
        <f>IF(OR(D2794="",E2794=""),"",E2794*(1+D2794/30))</f>
        <v/>
      </c>
      <c r="J2794">
        <f>IF(I2794="","",IF(I2794&gt;=MAXIFS($I$2:$I$5001,$B$2:$B$5001,B2794,$A$2:$A$5001,"&lt;="&amp;A2794),"PR",""))</f>
        <v/>
      </c>
    </row>
    <row r="2795">
      <c r="A2795" s="7" t="n"/>
      <c r="H2795" s="11">
        <f>IF(OR(D2795="",E2795=""),"",D2795*E2795)</f>
        <v/>
      </c>
      <c r="I2795" s="8">
        <f>IF(OR(D2795="",E2795=""),"",E2795*(1+D2795/30))</f>
        <v/>
      </c>
      <c r="J2795">
        <f>IF(I2795="","",IF(I2795&gt;=MAXIFS($I$2:$I$5001,$B$2:$B$5001,B2795,$A$2:$A$5001,"&lt;="&amp;A2795),"PR",""))</f>
        <v/>
      </c>
    </row>
    <row r="2796">
      <c r="A2796" s="7" t="n"/>
      <c r="H2796" s="11">
        <f>IF(OR(D2796="",E2796=""),"",D2796*E2796)</f>
        <v/>
      </c>
      <c r="I2796" s="8">
        <f>IF(OR(D2796="",E2796=""),"",E2796*(1+D2796/30))</f>
        <v/>
      </c>
      <c r="J2796">
        <f>IF(I2796="","",IF(I2796&gt;=MAXIFS($I$2:$I$5001,$B$2:$B$5001,B2796,$A$2:$A$5001,"&lt;="&amp;A2796),"PR",""))</f>
        <v/>
      </c>
    </row>
    <row r="2797">
      <c r="A2797" s="7" t="n"/>
      <c r="H2797" s="11">
        <f>IF(OR(D2797="",E2797=""),"",D2797*E2797)</f>
        <v/>
      </c>
      <c r="I2797" s="8">
        <f>IF(OR(D2797="",E2797=""),"",E2797*(1+D2797/30))</f>
        <v/>
      </c>
      <c r="J2797">
        <f>IF(I2797="","",IF(I2797&gt;=MAXIFS($I$2:$I$5001,$B$2:$B$5001,B2797,$A$2:$A$5001,"&lt;="&amp;A2797),"PR",""))</f>
        <v/>
      </c>
    </row>
    <row r="2798">
      <c r="A2798" s="7" t="n"/>
      <c r="H2798" s="11">
        <f>IF(OR(D2798="",E2798=""),"",D2798*E2798)</f>
        <v/>
      </c>
      <c r="I2798" s="8">
        <f>IF(OR(D2798="",E2798=""),"",E2798*(1+D2798/30))</f>
        <v/>
      </c>
      <c r="J2798">
        <f>IF(I2798="","",IF(I2798&gt;=MAXIFS($I$2:$I$5001,$B$2:$B$5001,B2798,$A$2:$A$5001,"&lt;="&amp;A2798),"PR",""))</f>
        <v/>
      </c>
    </row>
    <row r="2799">
      <c r="A2799" s="7" t="n"/>
      <c r="H2799" s="11">
        <f>IF(OR(D2799="",E2799=""),"",D2799*E2799)</f>
        <v/>
      </c>
      <c r="I2799" s="8">
        <f>IF(OR(D2799="",E2799=""),"",E2799*(1+D2799/30))</f>
        <v/>
      </c>
      <c r="J2799">
        <f>IF(I2799="","",IF(I2799&gt;=MAXIFS($I$2:$I$5001,$B$2:$B$5001,B2799,$A$2:$A$5001,"&lt;="&amp;A2799),"PR",""))</f>
        <v/>
      </c>
    </row>
    <row r="2800">
      <c r="A2800" s="7" t="n"/>
      <c r="H2800" s="11">
        <f>IF(OR(D2800="",E2800=""),"",D2800*E2800)</f>
        <v/>
      </c>
      <c r="I2800" s="8">
        <f>IF(OR(D2800="",E2800=""),"",E2800*(1+D2800/30))</f>
        <v/>
      </c>
      <c r="J2800">
        <f>IF(I2800="","",IF(I2800&gt;=MAXIFS($I$2:$I$5001,$B$2:$B$5001,B2800,$A$2:$A$5001,"&lt;="&amp;A2800),"PR",""))</f>
        <v/>
      </c>
    </row>
    <row r="2801">
      <c r="A2801" s="7" t="n"/>
      <c r="H2801" s="11">
        <f>IF(OR(D2801="",E2801=""),"",D2801*E2801)</f>
        <v/>
      </c>
      <c r="I2801" s="8">
        <f>IF(OR(D2801="",E2801=""),"",E2801*(1+D2801/30))</f>
        <v/>
      </c>
      <c r="J2801">
        <f>IF(I2801="","",IF(I2801&gt;=MAXIFS($I$2:$I$5001,$B$2:$B$5001,B2801,$A$2:$A$5001,"&lt;="&amp;A2801),"PR",""))</f>
        <v/>
      </c>
    </row>
    <row r="2802">
      <c r="A2802" s="7" t="n"/>
      <c r="H2802" s="11">
        <f>IF(OR(D2802="",E2802=""),"",D2802*E2802)</f>
        <v/>
      </c>
      <c r="I2802" s="8">
        <f>IF(OR(D2802="",E2802=""),"",E2802*(1+D2802/30))</f>
        <v/>
      </c>
      <c r="J2802">
        <f>IF(I2802="","",IF(I2802&gt;=MAXIFS($I$2:$I$5001,$B$2:$B$5001,B2802,$A$2:$A$5001,"&lt;="&amp;A2802),"PR",""))</f>
        <v/>
      </c>
    </row>
    <row r="2803">
      <c r="A2803" s="7" t="n"/>
      <c r="H2803" s="11">
        <f>IF(OR(D2803="",E2803=""),"",D2803*E2803)</f>
        <v/>
      </c>
      <c r="I2803" s="8">
        <f>IF(OR(D2803="",E2803=""),"",E2803*(1+D2803/30))</f>
        <v/>
      </c>
      <c r="J2803">
        <f>IF(I2803="","",IF(I2803&gt;=MAXIFS($I$2:$I$5001,$B$2:$B$5001,B2803,$A$2:$A$5001,"&lt;="&amp;A2803),"PR",""))</f>
        <v/>
      </c>
    </row>
    <row r="2804">
      <c r="A2804" s="7" t="n"/>
      <c r="H2804" s="11">
        <f>IF(OR(D2804="",E2804=""),"",D2804*E2804)</f>
        <v/>
      </c>
      <c r="I2804" s="8">
        <f>IF(OR(D2804="",E2804=""),"",E2804*(1+D2804/30))</f>
        <v/>
      </c>
      <c r="J2804">
        <f>IF(I2804="","",IF(I2804&gt;=MAXIFS($I$2:$I$5001,$B$2:$B$5001,B2804,$A$2:$A$5001,"&lt;="&amp;A2804),"PR",""))</f>
        <v/>
      </c>
    </row>
    <row r="2805">
      <c r="A2805" s="7" t="n"/>
      <c r="H2805" s="11">
        <f>IF(OR(D2805="",E2805=""),"",D2805*E2805)</f>
        <v/>
      </c>
      <c r="I2805" s="8">
        <f>IF(OR(D2805="",E2805=""),"",E2805*(1+D2805/30))</f>
        <v/>
      </c>
      <c r="J2805">
        <f>IF(I2805="","",IF(I2805&gt;=MAXIFS($I$2:$I$5001,$B$2:$B$5001,B2805,$A$2:$A$5001,"&lt;="&amp;A2805),"PR",""))</f>
        <v/>
      </c>
    </row>
    <row r="2806">
      <c r="A2806" s="7" t="n"/>
      <c r="H2806" s="11">
        <f>IF(OR(D2806="",E2806=""),"",D2806*E2806)</f>
        <v/>
      </c>
      <c r="I2806" s="8">
        <f>IF(OR(D2806="",E2806=""),"",E2806*(1+D2806/30))</f>
        <v/>
      </c>
      <c r="J2806">
        <f>IF(I2806="","",IF(I2806&gt;=MAXIFS($I$2:$I$5001,$B$2:$B$5001,B2806,$A$2:$A$5001,"&lt;="&amp;A2806),"PR",""))</f>
        <v/>
      </c>
    </row>
    <row r="2807">
      <c r="A2807" s="7" t="n"/>
      <c r="H2807" s="11">
        <f>IF(OR(D2807="",E2807=""),"",D2807*E2807)</f>
        <v/>
      </c>
      <c r="I2807" s="8">
        <f>IF(OR(D2807="",E2807=""),"",E2807*(1+D2807/30))</f>
        <v/>
      </c>
      <c r="J2807">
        <f>IF(I2807="","",IF(I2807&gt;=MAXIFS($I$2:$I$5001,$B$2:$B$5001,B2807,$A$2:$A$5001,"&lt;="&amp;A2807),"PR",""))</f>
        <v/>
      </c>
    </row>
    <row r="2808">
      <c r="A2808" s="7" t="n"/>
      <c r="H2808" s="11">
        <f>IF(OR(D2808="",E2808=""),"",D2808*E2808)</f>
        <v/>
      </c>
      <c r="I2808" s="8">
        <f>IF(OR(D2808="",E2808=""),"",E2808*(1+D2808/30))</f>
        <v/>
      </c>
      <c r="J2808">
        <f>IF(I2808="","",IF(I2808&gt;=MAXIFS($I$2:$I$5001,$B$2:$B$5001,B2808,$A$2:$A$5001,"&lt;="&amp;A2808),"PR",""))</f>
        <v/>
      </c>
    </row>
    <row r="2809">
      <c r="A2809" s="7" t="n"/>
      <c r="H2809" s="11">
        <f>IF(OR(D2809="",E2809=""),"",D2809*E2809)</f>
        <v/>
      </c>
      <c r="I2809" s="8">
        <f>IF(OR(D2809="",E2809=""),"",E2809*(1+D2809/30))</f>
        <v/>
      </c>
      <c r="J2809">
        <f>IF(I2809="","",IF(I2809&gt;=MAXIFS($I$2:$I$5001,$B$2:$B$5001,B2809,$A$2:$A$5001,"&lt;="&amp;A2809),"PR",""))</f>
        <v/>
      </c>
    </row>
    <row r="2810">
      <c r="A2810" s="7" t="n"/>
      <c r="H2810" s="11">
        <f>IF(OR(D2810="",E2810=""),"",D2810*E2810)</f>
        <v/>
      </c>
      <c r="I2810" s="8">
        <f>IF(OR(D2810="",E2810=""),"",E2810*(1+D2810/30))</f>
        <v/>
      </c>
      <c r="J2810">
        <f>IF(I2810="","",IF(I2810&gt;=MAXIFS($I$2:$I$5001,$B$2:$B$5001,B2810,$A$2:$A$5001,"&lt;="&amp;A2810),"PR",""))</f>
        <v/>
      </c>
    </row>
    <row r="2811">
      <c r="A2811" s="7" t="n"/>
      <c r="H2811" s="11">
        <f>IF(OR(D2811="",E2811=""),"",D2811*E2811)</f>
        <v/>
      </c>
      <c r="I2811" s="8">
        <f>IF(OR(D2811="",E2811=""),"",E2811*(1+D2811/30))</f>
        <v/>
      </c>
      <c r="J2811">
        <f>IF(I2811="","",IF(I2811&gt;=MAXIFS($I$2:$I$5001,$B$2:$B$5001,B2811,$A$2:$A$5001,"&lt;="&amp;A2811),"PR",""))</f>
        <v/>
      </c>
    </row>
    <row r="2812">
      <c r="A2812" s="7" t="n"/>
      <c r="H2812" s="11">
        <f>IF(OR(D2812="",E2812=""),"",D2812*E2812)</f>
        <v/>
      </c>
      <c r="I2812" s="8">
        <f>IF(OR(D2812="",E2812=""),"",E2812*(1+D2812/30))</f>
        <v/>
      </c>
      <c r="J2812">
        <f>IF(I2812="","",IF(I2812&gt;=MAXIFS($I$2:$I$5001,$B$2:$B$5001,B2812,$A$2:$A$5001,"&lt;="&amp;A2812),"PR",""))</f>
        <v/>
      </c>
    </row>
    <row r="2813">
      <c r="A2813" s="7" t="n"/>
      <c r="H2813" s="11">
        <f>IF(OR(D2813="",E2813=""),"",D2813*E2813)</f>
        <v/>
      </c>
      <c r="I2813" s="8">
        <f>IF(OR(D2813="",E2813=""),"",E2813*(1+D2813/30))</f>
        <v/>
      </c>
      <c r="J2813">
        <f>IF(I2813="","",IF(I2813&gt;=MAXIFS($I$2:$I$5001,$B$2:$B$5001,B2813,$A$2:$A$5001,"&lt;="&amp;A2813),"PR",""))</f>
        <v/>
      </c>
    </row>
    <row r="2814">
      <c r="A2814" s="7" t="n"/>
      <c r="H2814" s="11">
        <f>IF(OR(D2814="",E2814=""),"",D2814*E2814)</f>
        <v/>
      </c>
      <c r="I2814" s="8">
        <f>IF(OR(D2814="",E2814=""),"",E2814*(1+D2814/30))</f>
        <v/>
      </c>
      <c r="J2814">
        <f>IF(I2814="","",IF(I2814&gt;=MAXIFS($I$2:$I$5001,$B$2:$B$5001,B2814,$A$2:$A$5001,"&lt;="&amp;A2814),"PR",""))</f>
        <v/>
      </c>
    </row>
    <row r="2815">
      <c r="A2815" s="7" t="n"/>
      <c r="H2815" s="11">
        <f>IF(OR(D2815="",E2815=""),"",D2815*E2815)</f>
        <v/>
      </c>
      <c r="I2815" s="8">
        <f>IF(OR(D2815="",E2815=""),"",E2815*(1+D2815/30))</f>
        <v/>
      </c>
      <c r="J2815">
        <f>IF(I2815="","",IF(I2815&gt;=MAXIFS($I$2:$I$5001,$B$2:$B$5001,B2815,$A$2:$A$5001,"&lt;="&amp;A2815),"PR",""))</f>
        <v/>
      </c>
    </row>
    <row r="2816">
      <c r="A2816" s="7" t="n"/>
      <c r="H2816" s="11">
        <f>IF(OR(D2816="",E2816=""),"",D2816*E2816)</f>
        <v/>
      </c>
      <c r="I2816" s="8">
        <f>IF(OR(D2816="",E2816=""),"",E2816*(1+D2816/30))</f>
        <v/>
      </c>
      <c r="J2816">
        <f>IF(I2816="","",IF(I2816&gt;=MAXIFS($I$2:$I$5001,$B$2:$B$5001,B2816,$A$2:$A$5001,"&lt;="&amp;A2816),"PR",""))</f>
        <v/>
      </c>
    </row>
    <row r="2817">
      <c r="A2817" s="7" t="n"/>
      <c r="H2817" s="11">
        <f>IF(OR(D2817="",E2817=""),"",D2817*E2817)</f>
        <v/>
      </c>
      <c r="I2817" s="8">
        <f>IF(OR(D2817="",E2817=""),"",E2817*(1+D2817/30))</f>
        <v/>
      </c>
      <c r="J2817">
        <f>IF(I2817="","",IF(I2817&gt;=MAXIFS($I$2:$I$5001,$B$2:$B$5001,B2817,$A$2:$A$5001,"&lt;="&amp;A2817),"PR",""))</f>
        <v/>
      </c>
    </row>
    <row r="2818">
      <c r="A2818" s="7" t="n"/>
      <c r="H2818" s="11">
        <f>IF(OR(D2818="",E2818=""),"",D2818*E2818)</f>
        <v/>
      </c>
      <c r="I2818" s="8">
        <f>IF(OR(D2818="",E2818=""),"",E2818*(1+D2818/30))</f>
        <v/>
      </c>
      <c r="J2818">
        <f>IF(I2818="","",IF(I2818&gt;=MAXIFS($I$2:$I$5001,$B$2:$B$5001,B2818,$A$2:$A$5001,"&lt;="&amp;A2818),"PR",""))</f>
        <v/>
      </c>
    </row>
    <row r="2819">
      <c r="A2819" s="7" t="n"/>
      <c r="H2819" s="11">
        <f>IF(OR(D2819="",E2819=""),"",D2819*E2819)</f>
        <v/>
      </c>
      <c r="I2819" s="8">
        <f>IF(OR(D2819="",E2819=""),"",E2819*(1+D2819/30))</f>
        <v/>
      </c>
      <c r="J2819">
        <f>IF(I2819="","",IF(I2819&gt;=MAXIFS($I$2:$I$5001,$B$2:$B$5001,B2819,$A$2:$A$5001,"&lt;="&amp;A2819),"PR",""))</f>
        <v/>
      </c>
    </row>
    <row r="2820">
      <c r="A2820" s="7" t="n"/>
      <c r="H2820" s="11">
        <f>IF(OR(D2820="",E2820=""),"",D2820*E2820)</f>
        <v/>
      </c>
      <c r="I2820" s="8">
        <f>IF(OR(D2820="",E2820=""),"",E2820*(1+D2820/30))</f>
        <v/>
      </c>
      <c r="J2820">
        <f>IF(I2820="","",IF(I2820&gt;=MAXIFS($I$2:$I$5001,$B$2:$B$5001,B2820,$A$2:$A$5001,"&lt;="&amp;A2820),"PR",""))</f>
        <v/>
      </c>
    </row>
    <row r="2821">
      <c r="A2821" s="7" t="n"/>
      <c r="H2821" s="11">
        <f>IF(OR(D2821="",E2821=""),"",D2821*E2821)</f>
        <v/>
      </c>
      <c r="I2821" s="8">
        <f>IF(OR(D2821="",E2821=""),"",E2821*(1+D2821/30))</f>
        <v/>
      </c>
      <c r="J2821">
        <f>IF(I2821="","",IF(I2821&gt;=MAXIFS($I$2:$I$5001,$B$2:$B$5001,B2821,$A$2:$A$5001,"&lt;="&amp;A2821),"PR",""))</f>
        <v/>
      </c>
    </row>
    <row r="2822">
      <c r="A2822" s="7" t="n"/>
      <c r="H2822" s="11">
        <f>IF(OR(D2822="",E2822=""),"",D2822*E2822)</f>
        <v/>
      </c>
      <c r="I2822" s="8">
        <f>IF(OR(D2822="",E2822=""),"",E2822*(1+D2822/30))</f>
        <v/>
      </c>
      <c r="J2822">
        <f>IF(I2822="","",IF(I2822&gt;=MAXIFS($I$2:$I$5001,$B$2:$B$5001,B2822,$A$2:$A$5001,"&lt;="&amp;A2822),"PR",""))</f>
        <v/>
      </c>
    </row>
    <row r="2823">
      <c r="A2823" s="7" t="n"/>
      <c r="H2823" s="11">
        <f>IF(OR(D2823="",E2823=""),"",D2823*E2823)</f>
        <v/>
      </c>
      <c r="I2823" s="8">
        <f>IF(OR(D2823="",E2823=""),"",E2823*(1+D2823/30))</f>
        <v/>
      </c>
      <c r="J2823">
        <f>IF(I2823="","",IF(I2823&gt;=MAXIFS($I$2:$I$5001,$B$2:$B$5001,B2823,$A$2:$A$5001,"&lt;="&amp;A2823),"PR",""))</f>
        <v/>
      </c>
    </row>
    <row r="2824">
      <c r="A2824" s="7" t="n"/>
      <c r="H2824" s="11">
        <f>IF(OR(D2824="",E2824=""),"",D2824*E2824)</f>
        <v/>
      </c>
      <c r="I2824" s="8">
        <f>IF(OR(D2824="",E2824=""),"",E2824*(1+D2824/30))</f>
        <v/>
      </c>
      <c r="J2824">
        <f>IF(I2824="","",IF(I2824&gt;=MAXIFS($I$2:$I$5001,$B$2:$B$5001,B2824,$A$2:$A$5001,"&lt;="&amp;A2824),"PR",""))</f>
        <v/>
      </c>
    </row>
    <row r="2825">
      <c r="A2825" s="7" t="n"/>
      <c r="H2825" s="11">
        <f>IF(OR(D2825="",E2825=""),"",D2825*E2825)</f>
        <v/>
      </c>
      <c r="I2825" s="8">
        <f>IF(OR(D2825="",E2825=""),"",E2825*(1+D2825/30))</f>
        <v/>
      </c>
      <c r="J2825">
        <f>IF(I2825="","",IF(I2825&gt;=MAXIFS($I$2:$I$5001,$B$2:$B$5001,B2825,$A$2:$A$5001,"&lt;="&amp;A2825),"PR",""))</f>
        <v/>
      </c>
    </row>
    <row r="2826">
      <c r="A2826" s="7" t="n"/>
      <c r="H2826" s="11">
        <f>IF(OR(D2826="",E2826=""),"",D2826*E2826)</f>
        <v/>
      </c>
      <c r="I2826" s="8">
        <f>IF(OR(D2826="",E2826=""),"",E2826*(1+D2826/30))</f>
        <v/>
      </c>
      <c r="J2826">
        <f>IF(I2826="","",IF(I2826&gt;=MAXIFS($I$2:$I$5001,$B$2:$B$5001,B2826,$A$2:$A$5001,"&lt;="&amp;A2826),"PR",""))</f>
        <v/>
      </c>
    </row>
    <row r="2827">
      <c r="A2827" s="7" t="n"/>
      <c r="H2827" s="11">
        <f>IF(OR(D2827="",E2827=""),"",D2827*E2827)</f>
        <v/>
      </c>
      <c r="I2827" s="8">
        <f>IF(OR(D2827="",E2827=""),"",E2827*(1+D2827/30))</f>
        <v/>
      </c>
      <c r="J2827">
        <f>IF(I2827="","",IF(I2827&gt;=MAXIFS($I$2:$I$5001,$B$2:$B$5001,B2827,$A$2:$A$5001,"&lt;="&amp;A2827),"PR",""))</f>
        <v/>
      </c>
    </row>
    <row r="2828">
      <c r="A2828" s="7" t="n"/>
      <c r="H2828" s="11">
        <f>IF(OR(D2828="",E2828=""),"",D2828*E2828)</f>
        <v/>
      </c>
      <c r="I2828" s="8">
        <f>IF(OR(D2828="",E2828=""),"",E2828*(1+D2828/30))</f>
        <v/>
      </c>
      <c r="J2828">
        <f>IF(I2828="","",IF(I2828&gt;=MAXIFS($I$2:$I$5001,$B$2:$B$5001,B2828,$A$2:$A$5001,"&lt;="&amp;A2828),"PR",""))</f>
        <v/>
      </c>
    </row>
    <row r="2829">
      <c r="A2829" s="7" t="n"/>
      <c r="H2829" s="11">
        <f>IF(OR(D2829="",E2829=""),"",D2829*E2829)</f>
        <v/>
      </c>
      <c r="I2829" s="8">
        <f>IF(OR(D2829="",E2829=""),"",E2829*(1+D2829/30))</f>
        <v/>
      </c>
      <c r="J2829">
        <f>IF(I2829="","",IF(I2829&gt;=MAXIFS($I$2:$I$5001,$B$2:$B$5001,B2829,$A$2:$A$5001,"&lt;="&amp;A2829),"PR",""))</f>
        <v/>
      </c>
    </row>
    <row r="2830">
      <c r="A2830" s="7" t="n"/>
      <c r="H2830" s="11">
        <f>IF(OR(D2830="",E2830=""),"",D2830*E2830)</f>
        <v/>
      </c>
      <c r="I2830" s="8">
        <f>IF(OR(D2830="",E2830=""),"",E2830*(1+D2830/30))</f>
        <v/>
      </c>
      <c r="J2830">
        <f>IF(I2830="","",IF(I2830&gt;=MAXIFS($I$2:$I$5001,$B$2:$B$5001,B2830,$A$2:$A$5001,"&lt;="&amp;A2830),"PR",""))</f>
        <v/>
      </c>
    </row>
    <row r="2831">
      <c r="A2831" s="7" t="n"/>
      <c r="H2831" s="11">
        <f>IF(OR(D2831="",E2831=""),"",D2831*E2831)</f>
        <v/>
      </c>
      <c r="I2831" s="8">
        <f>IF(OR(D2831="",E2831=""),"",E2831*(1+D2831/30))</f>
        <v/>
      </c>
      <c r="J2831">
        <f>IF(I2831="","",IF(I2831&gt;=MAXIFS($I$2:$I$5001,$B$2:$B$5001,B2831,$A$2:$A$5001,"&lt;="&amp;A2831),"PR",""))</f>
        <v/>
      </c>
    </row>
    <row r="2832">
      <c r="A2832" s="7" t="n"/>
      <c r="H2832" s="11">
        <f>IF(OR(D2832="",E2832=""),"",D2832*E2832)</f>
        <v/>
      </c>
      <c r="I2832" s="8">
        <f>IF(OR(D2832="",E2832=""),"",E2832*(1+D2832/30))</f>
        <v/>
      </c>
      <c r="J2832">
        <f>IF(I2832="","",IF(I2832&gt;=MAXIFS($I$2:$I$5001,$B$2:$B$5001,B2832,$A$2:$A$5001,"&lt;="&amp;A2832),"PR",""))</f>
        <v/>
      </c>
    </row>
    <row r="2833">
      <c r="A2833" s="7" t="n"/>
      <c r="H2833" s="11">
        <f>IF(OR(D2833="",E2833=""),"",D2833*E2833)</f>
        <v/>
      </c>
      <c r="I2833" s="8">
        <f>IF(OR(D2833="",E2833=""),"",E2833*(1+D2833/30))</f>
        <v/>
      </c>
      <c r="J2833">
        <f>IF(I2833="","",IF(I2833&gt;=MAXIFS($I$2:$I$5001,$B$2:$B$5001,B2833,$A$2:$A$5001,"&lt;="&amp;A2833),"PR",""))</f>
        <v/>
      </c>
    </row>
    <row r="2834">
      <c r="A2834" s="7" t="n"/>
      <c r="H2834" s="11">
        <f>IF(OR(D2834="",E2834=""),"",D2834*E2834)</f>
        <v/>
      </c>
      <c r="I2834" s="8">
        <f>IF(OR(D2834="",E2834=""),"",E2834*(1+D2834/30))</f>
        <v/>
      </c>
      <c r="J2834">
        <f>IF(I2834="","",IF(I2834&gt;=MAXIFS($I$2:$I$5001,$B$2:$B$5001,B2834,$A$2:$A$5001,"&lt;="&amp;A2834),"PR",""))</f>
        <v/>
      </c>
    </row>
    <row r="2835">
      <c r="A2835" s="7" t="n"/>
      <c r="H2835" s="11">
        <f>IF(OR(D2835="",E2835=""),"",D2835*E2835)</f>
        <v/>
      </c>
      <c r="I2835" s="8">
        <f>IF(OR(D2835="",E2835=""),"",E2835*(1+D2835/30))</f>
        <v/>
      </c>
      <c r="J2835">
        <f>IF(I2835="","",IF(I2835&gt;=MAXIFS($I$2:$I$5001,$B$2:$B$5001,B2835,$A$2:$A$5001,"&lt;="&amp;A2835),"PR",""))</f>
        <v/>
      </c>
    </row>
    <row r="2836">
      <c r="A2836" s="7" t="n"/>
      <c r="H2836" s="11">
        <f>IF(OR(D2836="",E2836=""),"",D2836*E2836)</f>
        <v/>
      </c>
      <c r="I2836" s="8">
        <f>IF(OR(D2836="",E2836=""),"",E2836*(1+D2836/30))</f>
        <v/>
      </c>
      <c r="J2836">
        <f>IF(I2836="","",IF(I2836&gt;=MAXIFS($I$2:$I$5001,$B$2:$B$5001,B2836,$A$2:$A$5001,"&lt;="&amp;A2836),"PR",""))</f>
        <v/>
      </c>
    </row>
    <row r="2837">
      <c r="A2837" s="7" t="n"/>
      <c r="H2837" s="11">
        <f>IF(OR(D2837="",E2837=""),"",D2837*E2837)</f>
        <v/>
      </c>
      <c r="I2837" s="8">
        <f>IF(OR(D2837="",E2837=""),"",E2837*(1+D2837/30))</f>
        <v/>
      </c>
      <c r="J2837">
        <f>IF(I2837="","",IF(I2837&gt;=MAXIFS($I$2:$I$5001,$B$2:$B$5001,B2837,$A$2:$A$5001,"&lt;="&amp;A2837),"PR",""))</f>
        <v/>
      </c>
    </row>
    <row r="2838">
      <c r="A2838" s="7" t="n"/>
      <c r="H2838" s="11">
        <f>IF(OR(D2838="",E2838=""),"",D2838*E2838)</f>
        <v/>
      </c>
      <c r="I2838" s="8">
        <f>IF(OR(D2838="",E2838=""),"",E2838*(1+D2838/30))</f>
        <v/>
      </c>
      <c r="J2838">
        <f>IF(I2838="","",IF(I2838&gt;=MAXIFS($I$2:$I$5001,$B$2:$B$5001,B2838,$A$2:$A$5001,"&lt;="&amp;A2838),"PR",""))</f>
        <v/>
      </c>
    </row>
    <row r="2839">
      <c r="A2839" s="7" t="n"/>
      <c r="H2839" s="11">
        <f>IF(OR(D2839="",E2839=""),"",D2839*E2839)</f>
        <v/>
      </c>
      <c r="I2839" s="8">
        <f>IF(OR(D2839="",E2839=""),"",E2839*(1+D2839/30))</f>
        <v/>
      </c>
      <c r="J2839">
        <f>IF(I2839="","",IF(I2839&gt;=MAXIFS($I$2:$I$5001,$B$2:$B$5001,B2839,$A$2:$A$5001,"&lt;="&amp;A2839),"PR",""))</f>
        <v/>
      </c>
    </row>
    <row r="2840">
      <c r="A2840" s="7" t="n"/>
      <c r="H2840" s="11">
        <f>IF(OR(D2840="",E2840=""),"",D2840*E2840)</f>
        <v/>
      </c>
      <c r="I2840" s="8">
        <f>IF(OR(D2840="",E2840=""),"",E2840*(1+D2840/30))</f>
        <v/>
      </c>
      <c r="J2840">
        <f>IF(I2840="","",IF(I2840&gt;=MAXIFS($I$2:$I$5001,$B$2:$B$5001,B2840,$A$2:$A$5001,"&lt;="&amp;A2840),"PR",""))</f>
        <v/>
      </c>
    </row>
    <row r="2841">
      <c r="A2841" s="7" t="n"/>
      <c r="H2841" s="11">
        <f>IF(OR(D2841="",E2841=""),"",D2841*E2841)</f>
        <v/>
      </c>
      <c r="I2841" s="8">
        <f>IF(OR(D2841="",E2841=""),"",E2841*(1+D2841/30))</f>
        <v/>
      </c>
      <c r="J2841">
        <f>IF(I2841="","",IF(I2841&gt;=MAXIFS($I$2:$I$5001,$B$2:$B$5001,B2841,$A$2:$A$5001,"&lt;="&amp;A2841),"PR",""))</f>
        <v/>
      </c>
    </row>
    <row r="2842">
      <c r="A2842" s="7" t="n"/>
      <c r="H2842" s="11">
        <f>IF(OR(D2842="",E2842=""),"",D2842*E2842)</f>
        <v/>
      </c>
      <c r="I2842" s="8">
        <f>IF(OR(D2842="",E2842=""),"",E2842*(1+D2842/30))</f>
        <v/>
      </c>
      <c r="J2842">
        <f>IF(I2842="","",IF(I2842&gt;=MAXIFS($I$2:$I$5001,$B$2:$B$5001,B2842,$A$2:$A$5001,"&lt;="&amp;A2842),"PR",""))</f>
        <v/>
      </c>
    </row>
    <row r="2843">
      <c r="A2843" s="7" t="n"/>
      <c r="H2843" s="11">
        <f>IF(OR(D2843="",E2843=""),"",D2843*E2843)</f>
        <v/>
      </c>
      <c r="I2843" s="8">
        <f>IF(OR(D2843="",E2843=""),"",E2843*(1+D2843/30))</f>
        <v/>
      </c>
      <c r="J2843">
        <f>IF(I2843="","",IF(I2843&gt;=MAXIFS($I$2:$I$5001,$B$2:$B$5001,B2843,$A$2:$A$5001,"&lt;="&amp;A2843),"PR",""))</f>
        <v/>
      </c>
    </row>
    <row r="2844">
      <c r="A2844" s="7" t="n"/>
      <c r="H2844" s="11">
        <f>IF(OR(D2844="",E2844=""),"",D2844*E2844)</f>
        <v/>
      </c>
      <c r="I2844" s="8">
        <f>IF(OR(D2844="",E2844=""),"",E2844*(1+D2844/30))</f>
        <v/>
      </c>
      <c r="J2844">
        <f>IF(I2844="","",IF(I2844&gt;=MAXIFS($I$2:$I$5001,$B$2:$B$5001,B2844,$A$2:$A$5001,"&lt;="&amp;A2844),"PR",""))</f>
        <v/>
      </c>
    </row>
    <row r="2845">
      <c r="A2845" s="7" t="n"/>
      <c r="H2845" s="11">
        <f>IF(OR(D2845="",E2845=""),"",D2845*E2845)</f>
        <v/>
      </c>
      <c r="I2845" s="8">
        <f>IF(OR(D2845="",E2845=""),"",E2845*(1+D2845/30))</f>
        <v/>
      </c>
      <c r="J2845">
        <f>IF(I2845="","",IF(I2845&gt;=MAXIFS($I$2:$I$5001,$B$2:$B$5001,B2845,$A$2:$A$5001,"&lt;="&amp;A2845),"PR",""))</f>
        <v/>
      </c>
    </row>
    <row r="2846">
      <c r="A2846" s="7" t="n"/>
      <c r="H2846" s="11">
        <f>IF(OR(D2846="",E2846=""),"",D2846*E2846)</f>
        <v/>
      </c>
      <c r="I2846" s="8">
        <f>IF(OR(D2846="",E2846=""),"",E2846*(1+D2846/30))</f>
        <v/>
      </c>
      <c r="J2846">
        <f>IF(I2846="","",IF(I2846&gt;=MAXIFS($I$2:$I$5001,$B$2:$B$5001,B2846,$A$2:$A$5001,"&lt;="&amp;A2846),"PR",""))</f>
        <v/>
      </c>
    </row>
    <row r="2847">
      <c r="A2847" s="7" t="n"/>
      <c r="H2847" s="11">
        <f>IF(OR(D2847="",E2847=""),"",D2847*E2847)</f>
        <v/>
      </c>
      <c r="I2847" s="8">
        <f>IF(OR(D2847="",E2847=""),"",E2847*(1+D2847/30))</f>
        <v/>
      </c>
      <c r="J2847">
        <f>IF(I2847="","",IF(I2847&gt;=MAXIFS($I$2:$I$5001,$B$2:$B$5001,B2847,$A$2:$A$5001,"&lt;="&amp;A2847),"PR",""))</f>
        <v/>
      </c>
    </row>
    <row r="2848">
      <c r="A2848" s="7" t="n"/>
      <c r="H2848" s="11">
        <f>IF(OR(D2848="",E2848=""),"",D2848*E2848)</f>
        <v/>
      </c>
      <c r="I2848" s="8">
        <f>IF(OR(D2848="",E2848=""),"",E2848*(1+D2848/30))</f>
        <v/>
      </c>
      <c r="J2848">
        <f>IF(I2848="","",IF(I2848&gt;=MAXIFS($I$2:$I$5001,$B$2:$B$5001,B2848,$A$2:$A$5001,"&lt;="&amp;A2848),"PR",""))</f>
        <v/>
      </c>
    </row>
    <row r="2849">
      <c r="A2849" s="7" t="n"/>
      <c r="H2849" s="11">
        <f>IF(OR(D2849="",E2849=""),"",D2849*E2849)</f>
        <v/>
      </c>
      <c r="I2849" s="8">
        <f>IF(OR(D2849="",E2849=""),"",E2849*(1+D2849/30))</f>
        <v/>
      </c>
      <c r="J2849">
        <f>IF(I2849="","",IF(I2849&gt;=MAXIFS($I$2:$I$5001,$B$2:$B$5001,B2849,$A$2:$A$5001,"&lt;="&amp;A2849),"PR",""))</f>
        <v/>
      </c>
    </row>
    <row r="2850">
      <c r="A2850" s="7" t="n"/>
      <c r="H2850" s="11">
        <f>IF(OR(D2850="",E2850=""),"",D2850*E2850)</f>
        <v/>
      </c>
      <c r="I2850" s="8">
        <f>IF(OR(D2850="",E2850=""),"",E2850*(1+D2850/30))</f>
        <v/>
      </c>
      <c r="J2850">
        <f>IF(I2850="","",IF(I2850&gt;=MAXIFS($I$2:$I$5001,$B$2:$B$5001,B2850,$A$2:$A$5001,"&lt;="&amp;A2850),"PR",""))</f>
        <v/>
      </c>
    </row>
    <row r="2851">
      <c r="A2851" s="7" t="n"/>
      <c r="H2851" s="11">
        <f>IF(OR(D2851="",E2851=""),"",D2851*E2851)</f>
        <v/>
      </c>
      <c r="I2851" s="8">
        <f>IF(OR(D2851="",E2851=""),"",E2851*(1+D2851/30))</f>
        <v/>
      </c>
      <c r="J2851">
        <f>IF(I2851="","",IF(I2851&gt;=MAXIFS($I$2:$I$5001,$B$2:$B$5001,B2851,$A$2:$A$5001,"&lt;="&amp;A2851),"PR",""))</f>
        <v/>
      </c>
    </row>
    <row r="2852">
      <c r="A2852" s="7" t="n"/>
      <c r="H2852" s="11">
        <f>IF(OR(D2852="",E2852=""),"",D2852*E2852)</f>
        <v/>
      </c>
      <c r="I2852" s="8">
        <f>IF(OR(D2852="",E2852=""),"",E2852*(1+D2852/30))</f>
        <v/>
      </c>
      <c r="J2852">
        <f>IF(I2852="","",IF(I2852&gt;=MAXIFS($I$2:$I$5001,$B$2:$B$5001,B2852,$A$2:$A$5001,"&lt;="&amp;A2852),"PR",""))</f>
        <v/>
      </c>
    </row>
    <row r="2853">
      <c r="A2853" s="7" t="n"/>
      <c r="H2853" s="11">
        <f>IF(OR(D2853="",E2853=""),"",D2853*E2853)</f>
        <v/>
      </c>
      <c r="I2853" s="8">
        <f>IF(OR(D2853="",E2853=""),"",E2853*(1+D2853/30))</f>
        <v/>
      </c>
      <c r="J2853">
        <f>IF(I2853="","",IF(I2853&gt;=MAXIFS($I$2:$I$5001,$B$2:$B$5001,B2853,$A$2:$A$5001,"&lt;="&amp;A2853),"PR",""))</f>
        <v/>
      </c>
    </row>
    <row r="2854">
      <c r="A2854" s="7" t="n"/>
      <c r="H2854" s="11">
        <f>IF(OR(D2854="",E2854=""),"",D2854*E2854)</f>
        <v/>
      </c>
      <c r="I2854" s="8">
        <f>IF(OR(D2854="",E2854=""),"",E2854*(1+D2854/30))</f>
        <v/>
      </c>
      <c r="J2854">
        <f>IF(I2854="","",IF(I2854&gt;=MAXIFS($I$2:$I$5001,$B$2:$B$5001,B2854,$A$2:$A$5001,"&lt;="&amp;A2854),"PR",""))</f>
        <v/>
      </c>
    </row>
    <row r="2855">
      <c r="A2855" s="7" t="n"/>
      <c r="H2855" s="11">
        <f>IF(OR(D2855="",E2855=""),"",D2855*E2855)</f>
        <v/>
      </c>
      <c r="I2855" s="8">
        <f>IF(OR(D2855="",E2855=""),"",E2855*(1+D2855/30))</f>
        <v/>
      </c>
      <c r="J2855">
        <f>IF(I2855="","",IF(I2855&gt;=MAXIFS($I$2:$I$5001,$B$2:$B$5001,B2855,$A$2:$A$5001,"&lt;="&amp;A2855),"PR",""))</f>
        <v/>
      </c>
    </row>
    <row r="2856">
      <c r="A2856" s="7" t="n"/>
      <c r="H2856" s="11">
        <f>IF(OR(D2856="",E2856=""),"",D2856*E2856)</f>
        <v/>
      </c>
      <c r="I2856" s="8">
        <f>IF(OR(D2856="",E2856=""),"",E2856*(1+D2856/30))</f>
        <v/>
      </c>
      <c r="J2856">
        <f>IF(I2856="","",IF(I2856&gt;=MAXIFS($I$2:$I$5001,$B$2:$B$5001,B2856,$A$2:$A$5001,"&lt;="&amp;A2856),"PR",""))</f>
        <v/>
      </c>
    </row>
    <row r="2857">
      <c r="A2857" s="7" t="n"/>
      <c r="H2857" s="11">
        <f>IF(OR(D2857="",E2857=""),"",D2857*E2857)</f>
        <v/>
      </c>
      <c r="I2857" s="8">
        <f>IF(OR(D2857="",E2857=""),"",E2857*(1+D2857/30))</f>
        <v/>
      </c>
      <c r="J2857">
        <f>IF(I2857="","",IF(I2857&gt;=MAXIFS($I$2:$I$5001,$B$2:$B$5001,B2857,$A$2:$A$5001,"&lt;="&amp;A2857),"PR",""))</f>
        <v/>
      </c>
    </row>
    <row r="2858">
      <c r="A2858" s="7" t="n"/>
      <c r="H2858" s="11">
        <f>IF(OR(D2858="",E2858=""),"",D2858*E2858)</f>
        <v/>
      </c>
      <c r="I2858" s="8">
        <f>IF(OR(D2858="",E2858=""),"",E2858*(1+D2858/30))</f>
        <v/>
      </c>
      <c r="J2858">
        <f>IF(I2858="","",IF(I2858&gt;=MAXIFS($I$2:$I$5001,$B$2:$B$5001,B2858,$A$2:$A$5001,"&lt;="&amp;A2858),"PR",""))</f>
        <v/>
      </c>
    </row>
    <row r="2859">
      <c r="A2859" s="7" t="n"/>
      <c r="H2859" s="11">
        <f>IF(OR(D2859="",E2859=""),"",D2859*E2859)</f>
        <v/>
      </c>
      <c r="I2859" s="8">
        <f>IF(OR(D2859="",E2859=""),"",E2859*(1+D2859/30))</f>
        <v/>
      </c>
      <c r="J2859">
        <f>IF(I2859="","",IF(I2859&gt;=MAXIFS($I$2:$I$5001,$B$2:$B$5001,B2859,$A$2:$A$5001,"&lt;="&amp;A2859),"PR",""))</f>
        <v/>
      </c>
    </row>
    <row r="2860">
      <c r="A2860" s="7" t="n"/>
      <c r="H2860" s="11">
        <f>IF(OR(D2860="",E2860=""),"",D2860*E2860)</f>
        <v/>
      </c>
      <c r="I2860" s="8">
        <f>IF(OR(D2860="",E2860=""),"",E2860*(1+D2860/30))</f>
        <v/>
      </c>
      <c r="J2860">
        <f>IF(I2860="","",IF(I2860&gt;=MAXIFS($I$2:$I$5001,$B$2:$B$5001,B2860,$A$2:$A$5001,"&lt;="&amp;A2860),"PR",""))</f>
        <v/>
      </c>
    </row>
    <row r="2861">
      <c r="A2861" s="7" t="n"/>
      <c r="H2861" s="11">
        <f>IF(OR(D2861="",E2861=""),"",D2861*E2861)</f>
        <v/>
      </c>
      <c r="I2861" s="8">
        <f>IF(OR(D2861="",E2861=""),"",E2861*(1+D2861/30))</f>
        <v/>
      </c>
      <c r="J2861">
        <f>IF(I2861="","",IF(I2861&gt;=MAXIFS($I$2:$I$5001,$B$2:$B$5001,B2861,$A$2:$A$5001,"&lt;="&amp;A2861),"PR",""))</f>
        <v/>
      </c>
    </row>
    <row r="2862">
      <c r="A2862" s="7" t="n"/>
      <c r="H2862" s="11">
        <f>IF(OR(D2862="",E2862=""),"",D2862*E2862)</f>
        <v/>
      </c>
      <c r="I2862" s="8">
        <f>IF(OR(D2862="",E2862=""),"",E2862*(1+D2862/30))</f>
        <v/>
      </c>
      <c r="J2862">
        <f>IF(I2862="","",IF(I2862&gt;=MAXIFS($I$2:$I$5001,$B$2:$B$5001,B2862,$A$2:$A$5001,"&lt;="&amp;A2862),"PR",""))</f>
        <v/>
      </c>
    </row>
    <row r="2863">
      <c r="A2863" s="7" t="n"/>
      <c r="H2863" s="11">
        <f>IF(OR(D2863="",E2863=""),"",D2863*E2863)</f>
        <v/>
      </c>
      <c r="I2863" s="8">
        <f>IF(OR(D2863="",E2863=""),"",E2863*(1+D2863/30))</f>
        <v/>
      </c>
      <c r="J2863">
        <f>IF(I2863="","",IF(I2863&gt;=MAXIFS($I$2:$I$5001,$B$2:$B$5001,B2863,$A$2:$A$5001,"&lt;="&amp;A2863),"PR",""))</f>
        <v/>
      </c>
    </row>
    <row r="2864">
      <c r="A2864" s="7" t="n"/>
      <c r="H2864" s="11">
        <f>IF(OR(D2864="",E2864=""),"",D2864*E2864)</f>
        <v/>
      </c>
      <c r="I2864" s="8">
        <f>IF(OR(D2864="",E2864=""),"",E2864*(1+D2864/30))</f>
        <v/>
      </c>
      <c r="J2864">
        <f>IF(I2864="","",IF(I2864&gt;=MAXIFS($I$2:$I$5001,$B$2:$B$5001,B2864,$A$2:$A$5001,"&lt;="&amp;A2864),"PR",""))</f>
        <v/>
      </c>
    </row>
    <row r="2865">
      <c r="A2865" s="7" t="n"/>
      <c r="H2865" s="11">
        <f>IF(OR(D2865="",E2865=""),"",D2865*E2865)</f>
        <v/>
      </c>
      <c r="I2865" s="8">
        <f>IF(OR(D2865="",E2865=""),"",E2865*(1+D2865/30))</f>
        <v/>
      </c>
      <c r="J2865">
        <f>IF(I2865="","",IF(I2865&gt;=MAXIFS($I$2:$I$5001,$B$2:$B$5001,B2865,$A$2:$A$5001,"&lt;="&amp;A2865),"PR",""))</f>
        <v/>
      </c>
    </row>
    <row r="2866">
      <c r="A2866" s="7" t="n"/>
      <c r="H2866" s="11">
        <f>IF(OR(D2866="",E2866=""),"",D2866*E2866)</f>
        <v/>
      </c>
      <c r="I2866" s="8">
        <f>IF(OR(D2866="",E2866=""),"",E2866*(1+D2866/30))</f>
        <v/>
      </c>
      <c r="J2866">
        <f>IF(I2866="","",IF(I2866&gt;=MAXIFS($I$2:$I$5001,$B$2:$B$5001,B2866,$A$2:$A$5001,"&lt;="&amp;A2866),"PR",""))</f>
        <v/>
      </c>
    </row>
    <row r="2867">
      <c r="A2867" s="7" t="n"/>
      <c r="H2867" s="11">
        <f>IF(OR(D2867="",E2867=""),"",D2867*E2867)</f>
        <v/>
      </c>
      <c r="I2867" s="8">
        <f>IF(OR(D2867="",E2867=""),"",E2867*(1+D2867/30))</f>
        <v/>
      </c>
      <c r="J2867">
        <f>IF(I2867="","",IF(I2867&gt;=MAXIFS($I$2:$I$5001,$B$2:$B$5001,B2867,$A$2:$A$5001,"&lt;="&amp;A2867),"PR",""))</f>
        <v/>
      </c>
    </row>
    <row r="2868">
      <c r="A2868" s="7" t="n"/>
      <c r="H2868" s="11">
        <f>IF(OR(D2868="",E2868=""),"",D2868*E2868)</f>
        <v/>
      </c>
      <c r="I2868" s="8">
        <f>IF(OR(D2868="",E2868=""),"",E2868*(1+D2868/30))</f>
        <v/>
      </c>
      <c r="J2868">
        <f>IF(I2868="","",IF(I2868&gt;=MAXIFS($I$2:$I$5001,$B$2:$B$5001,B2868,$A$2:$A$5001,"&lt;="&amp;A2868),"PR",""))</f>
        <v/>
      </c>
    </row>
    <row r="2869">
      <c r="A2869" s="7" t="n"/>
      <c r="H2869" s="11">
        <f>IF(OR(D2869="",E2869=""),"",D2869*E2869)</f>
        <v/>
      </c>
      <c r="I2869" s="8">
        <f>IF(OR(D2869="",E2869=""),"",E2869*(1+D2869/30))</f>
        <v/>
      </c>
      <c r="J2869">
        <f>IF(I2869="","",IF(I2869&gt;=MAXIFS($I$2:$I$5001,$B$2:$B$5001,B2869,$A$2:$A$5001,"&lt;="&amp;A2869),"PR",""))</f>
        <v/>
      </c>
    </row>
    <row r="2870">
      <c r="A2870" s="7" t="n"/>
      <c r="H2870" s="11">
        <f>IF(OR(D2870="",E2870=""),"",D2870*E2870)</f>
        <v/>
      </c>
      <c r="I2870" s="8">
        <f>IF(OR(D2870="",E2870=""),"",E2870*(1+D2870/30))</f>
        <v/>
      </c>
      <c r="J2870">
        <f>IF(I2870="","",IF(I2870&gt;=MAXIFS($I$2:$I$5001,$B$2:$B$5001,B2870,$A$2:$A$5001,"&lt;="&amp;A2870),"PR",""))</f>
        <v/>
      </c>
    </row>
    <row r="2871">
      <c r="A2871" s="7" t="n"/>
      <c r="H2871" s="11">
        <f>IF(OR(D2871="",E2871=""),"",D2871*E2871)</f>
        <v/>
      </c>
      <c r="I2871" s="8">
        <f>IF(OR(D2871="",E2871=""),"",E2871*(1+D2871/30))</f>
        <v/>
      </c>
      <c r="J2871">
        <f>IF(I2871="","",IF(I2871&gt;=MAXIFS($I$2:$I$5001,$B$2:$B$5001,B2871,$A$2:$A$5001,"&lt;="&amp;A2871),"PR",""))</f>
        <v/>
      </c>
    </row>
    <row r="2872">
      <c r="A2872" s="7" t="n"/>
      <c r="H2872" s="11">
        <f>IF(OR(D2872="",E2872=""),"",D2872*E2872)</f>
        <v/>
      </c>
      <c r="I2872" s="8">
        <f>IF(OR(D2872="",E2872=""),"",E2872*(1+D2872/30))</f>
        <v/>
      </c>
      <c r="J2872">
        <f>IF(I2872="","",IF(I2872&gt;=MAXIFS($I$2:$I$5001,$B$2:$B$5001,B2872,$A$2:$A$5001,"&lt;="&amp;A2872),"PR",""))</f>
        <v/>
      </c>
    </row>
    <row r="2873">
      <c r="A2873" s="7" t="n"/>
      <c r="H2873" s="11">
        <f>IF(OR(D2873="",E2873=""),"",D2873*E2873)</f>
        <v/>
      </c>
      <c r="I2873" s="8">
        <f>IF(OR(D2873="",E2873=""),"",E2873*(1+D2873/30))</f>
        <v/>
      </c>
      <c r="J2873">
        <f>IF(I2873="","",IF(I2873&gt;=MAXIFS($I$2:$I$5001,$B$2:$B$5001,B2873,$A$2:$A$5001,"&lt;="&amp;A2873),"PR",""))</f>
        <v/>
      </c>
    </row>
    <row r="2874">
      <c r="A2874" s="7" t="n"/>
      <c r="H2874" s="11">
        <f>IF(OR(D2874="",E2874=""),"",D2874*E2874)</f>
        <v/>
      </c>
      <c r="I2874" s="8">
        <f>IF(OR(D2874="",E2874=""),"",E2874*(1+D2874/30))</f>
        <v/>
      </c>
      <c r="J2874">
        <f>IF(I2874="","",IF(I2874&gt;=MAXIFS($I$2:$I$5001,$B$2:$B$5001,B2874,$A$2:$A$5001,"&lt;="&amp;A2874),"PR",""))</f>
        <v/>
      </c>
    </row>
    <row r="2875">
      <c r="A2875" s="7" t="n"/>
      <c r="H2875" s="11">
        <f>IF(OR(D2875="",E2875=""),"",D2875*E2875)</f>
        <v/>
      </c>
      <c r="I2875" s="8">
        <f>IF(OR(D2875="",E2875=""),"",E2875*(1+D2875/30))</f>
        <v/>
      </c>
      <c r="J2875">
        <f>IF(I2875="","",IF(I2875&gt;=MAXIFS($I$2:$I$5001,$B$2:$B$5001,B2875,$A$2:$A$5001,"&lt;="&amp;A2875),"PR",""))</f>
        <v/>
      </c>
    </row>
    <row r="2876">
      <c r="A2876" s="7" t="n"/>
      <c r="H2876" s="11">
        <f>IF(OR(D2876="",E2876=""),"",D2876*E2876)</f>
        <v/>
      </c>
      <c r="I2876" s="8">
        <f>IF(OR(D2876="",E2876=""),"",E2876*(1+D2876/30))</f>
        <v/>
      </c>
      <c r="J2876">
        <f>IF(I2876="","",IF(I2876&gt;=MAXIFS($I$2:$I$5001,$B$2:$B$5001,B2876,$A$2:$A$5001,"&lt;="&amp;A2876),"PR",""))</f>
        <v/>
      </c>
    </row>
    <row r="2877">
      <c r="A2877" s="7" t="n"/>
      <c r="H2877" s="11">
        <f>IF(OR(D2877="",E2877=""),"",D2877*E2877)</f>
        <v/>
      </c>
      <c r="I2877" s="8">
        <f>IF(OR(D2877="",E2877=""),"",E2877*(1+D2877/30))</f>
        <v/>
      </c>
      <c r="J2877">
        <f>IF(I2877="","",IF(I2877&gt;=MAXIFS($I$2:$I$5001,$B$2:$B$5001,B2877,$A$2:$A$5001,"&lt;="&amp;A2877),"PR",""))</f>
        <v/>
      </c>
    </row>
    <row r="2878">
      <c r="A2878" s="7" t="n"/>
      <c r="H2878" s="11">
        <f>IF(OR(D2878="",E2878=""),"",D2878*E2878)</f>
        <v/>
      </c>
      <c r="I2878" s="8">
        <f>IF(OR(D2878="",E2878=""),"",E2878*(1+D2878/30))</f>
        <v/>
      </c>
      <c r="J2878">
        <f>IF(I2878="","",IF(I2878&gt;=MAXIFS($I$2:$I$5001,$B$2:$B$5001,B2878,$A$2:$A$5001,"&lt;="&amp;A2878),"PR",""))</f>
        <v/>
      </c>
    </row>
    <row r="2879">
      <c r="A2879" s="7" t="n"/>
      <c r="H2879" s="11">
        <f>IF(OR(D2879="",E2879=""),"",D2879*E2879)</f>
        <v/>
      </c>
      <c r="I2879" s="8">
        <f>IF(OR(D2879="",E2879=""),"",E2879*(1+D2879/30))</f>
        <v/>
      </c>
      <c r="J2879">
        <f>IF(I2879="","",IF(I2879&gt;=MAXIFS($I$2:$I$5001,$B$2:$B$5001,B2879,$A$2:$A$5001,"&lt;="&amp;A2879),"PR",""))</f>
        <v/>
      </c>
    </row>
    <row r="2880">
      <c r="A2880" s="7" t="n"/>
      <c r="H2880" s="11">
        <f>IF(OR(D2880="",E2880=""),"",D2880*E2880)</f>
        <v/>
      </c>
      <c r="I2880" s="8">
        <f>IF(OR(D2880="",E2880=""),"",E2880*(1+D2880/30))</f>
        <v/>
      </c>
      <c r="J2880">
        <f>IF(I2880="","",IF(I2880&gt;=MAXIFS($I$2:$I$5001,$B$2:$B$5001,B2880,$A$2:$A$5001,"&lt;="&amp;A2880),"PR",""))</f>
        <v/>
      </c>
    </row>
    <row r="2881">
      <c r="A2881" s="7" t="n"/>
      <c r="H2881" s="11">
        <f>IF(OR(D2881="",E2881=""),"",D2881*E2881)</f>
        <v/>
      </c>
      <c r="I2881" s="8">
        <f>IF(OR(D2881="",E2881=""),"",E2881*(1+D2881/30))</f>
        <v/>
      </c>
      <c r="J2881">
        <f>IF(I2881="","",IF(I2881&gt;=MAXIFS($I$2:$I$5001,$B$2:$B$5001,B2881,$A$2:$A$5001,"&lt;="&amp;A2881),"PR",""))</f>
        <v/>
      </c>
    </row>
    <row r="2882">
      <c r="A2882" s="7" t="n"/>
      <c r="H2882" s="11">
        <f>IF(OR(D2882="",E2882=""),"",D2882*E2882)</f>
        <v/>
      </c>
      <c r="I2882" s="8">
        <f>IF(OR(D2882="",E2882=""),"",E2882*(1+D2882/30))</f>
        <v/>
      </c>
      <c r="J2882">
        <f>IF(I2882="","",IF(I2882&gt;=MAXIFS($I$2:$I$5001,$B$2:$B$5001,B2882,$A$2:$A$5001,"&lt;="&amp;A2882),"PR",""))</f>
        <v/>
      </c>
    </row>
    <row r="2883">
      <c r="A2883" s="7" t="n"/>
      <c r="H2883" s="11">
        <f>IF(OR(D2883="",E2883=""),"",D2883*E2883)</f>
        <v/>
      </c>
      <c r="I2883" s="8">
        <f>IF(OR(D2883="",E2883=""),"",E2883*(1+D2883/30))</f>
        <v/>
      </c>
      <c r="J2883">
        <f>IF(I2883="","",IF(I2883&gt;=MAXIFS($I$2:$I$5001,$B$2:$B$5001,B2883,$A$2:$A$5001,"&lt;="&amp;A2883),"PR",""))</f>
        <v/>
      </c>
    </row>
    <row r="2884">
      <c r="A2884" s="7" t="n"/>
      <c r="H2884" s="11">
        <f>IF(OR(D2884="",E2884=""),"",D2884*E2884)</f>
        <v/>
      </c>
      <c r="I2884" s="8">
        <f>IF(OR(D2884="",E2884=""),"",E2884*(1+D2884/30))</f>
        <v/>
      </c>
      <c r="J2884">
        <f>IF(I2884="","",IF(I2884&gt;=MAXIFS($I$2:$I$5001,$B$2:$B$5001,B2884,$A$2:$A$5001,"&lt;="&amp;A2884),"PR",""))</f>
        <v/>
      </c>
    </row>
    <row r="2885">
      <c r="A2885" s="7" t="n"/>
      <c r="H2885" s="11">
        <f>IF(OR(D2885="",E2885=""),"",D2885*E2885)</f>
        <v/>
      </c>
      <c r="I2885" s="8">
        <f>IF(OR(D2885="",E2885=""),"",E2885*(1+D2885/30))</f>
        <v/>
      </c>
      <c r="J2885">
        <f>IF(I2885="","",IF(I2885&gt;=MAXIFS($I$2:$I$5001,$B$2:$B$5001,B2885,$A$2:$A$5001,"&lt;="&amp;A2885),"PR",""))</f>
        <v/>
      </c>
    </row>
    <row r="2886">
      <c r="A2886" s="7" t="n"/>
      <c r="H2886" s="11">
        <f>IF(OR(D2886="",E2886=""),"",D2886*E2886)</f>
        <v/>
      </c>
      <c r="I2886" s="8">
        <f>IF(OR(D2886="",E2886=""),"",E2886*(1+D2886/30))</f>
        <v/>
      </c>
      <c r="J2886">
        <f>IF(I2886="","",IF(I2886&gt;=MAXIFS($I$2:$I$5001,$B$2:$B$5001,B2886,$A$2:$A$5001,"&lt;="&amp;A2886),"PR",""))</f>
        <v/>
      </c>
    </row>
    <row r="2887">
      <c r="A2887" s="7" t="n"/>
      <c r="H2887" s="11">
        <f>IF(OR(D2887="",E2887=""),"",D2887*E2887)</f>
        <v/>
      </c>
      <c r="I2887" s="8">
        <f>IF(OR(D2887="",E2887=""),"",E2887*(1+D2887/30))</f>
        <v/>
      </c>
      <c r="J2887">
        <f>IF(I2887="","",IF(I2887&gt;=MAXIFS($I$2:$I$5001,$B$2:$B$5001,B2887,$A$2:$A$5001,"&lt;="&amp;A2887),"PR",""))</f>
        <v/>
      </c>
    </row>
    <row r="2888">
      <c r="A2888" s="7" t="n"/>
      <c r="H2888" s="11">
        <f>IF(OR(D2888="",E2888=""),"",D2888*E2888)</f>
        <v/>
      </c>
      <c r="I2888" s="8">
        <f>IF(OR(D2888="",E2888=""),"",E2888*(1+D2888/30))</f>
        <v/>
      </c>
      <c r="J2888">
        <f>IF(I2888="","",IF(I2888&gt;=MAXIFS($I$2:$I$5001,$B$2:$B$5001,B2888,$A$2:$A$5001,"&lt;="&amp;A2888),"PR",""))</f>
        <v/>
      </c>
    </row>
    <row r="2889">
      <c r="A2889" s="7" t="n"/>
      <c r="H2889" s="11">
        <f>IF(OR(D2889="",E2889=""),"",D2889*E2889)</f>
        <v/>
      </c>
      <c r="I2889" s="8">
        <f>IF(OR(D2889="",E2889=""),"",E2889*(1+D2889/30))</f>
        <v/>
      </c>
      <c r="J2889">
        <f>IF(I2889="","",IF(I2889&gt;=MAXIFS($I$2:$I$5001,$B$2:$B$5001,B2889,$A$2:$A$5001,"&lt;="&amp;A2889),"PR",""))</f>
        <v/>
      </c>
    </row>
    <row r="2890">
      <c r="A2890" s="7" t="n"/>
      <c r="H2890" s="11">
        <f>IF(OR(D2890="",E2890=""),"",D2890*E2890)</f>
        <v/>
      </c>
      <c r="I2890" s="8">
        <f>IF(OR(D2890="",E2890=""),"",E2890*(1+D2890/30))</f>
        <v/>
      </c>
      <c r="J2890">
        <f>IF(I2890="","",IF(I2890&gt;=MAXIFS($I$2:$I$5001,$B$2:$B$5001,B2890,$A$2:$A$5001,"&lt;="&amp;A2890),"PR",""))</f>
        <v/>
      </c>
    </row>
    <row r="2891">
      <c r="A2891" s="7" t="n"/>
      <c r="H2891" s="11">
        <f>IF(OR(D2891="",E2891=""),"",D2891*E2891)</f>
        <v/>
      </c>
      <c r="I2891" s="8">
        <f>IF(OR(D2891="",E2891=""),"",E2891*(1+D2891/30))</f>
        <v/>
      </c>
      <c r="J2891">
        <f>IF(I2891="","",IF(I2891&gt;=MAXIFS($I$2:$I$5001,$B$2:$B$5001,B2891,$A$2:$A$5001,"&lt;="&amp;A2891),"PR",""))</f>
        <v/>
      </c>
    </row>
    <row r="2892">
      <c r="A2892" s="7" t="n"/>
      <c r="H2892" s="11">
        <f>IF(OR(D2892="",E2892=""),"",D2892*E2892)</f>
        <v/>
      </c>
      <c r="I2892" s="8">
        <f>IF(OR(D2892="",E2892=""),"",E2892*(1+D2892/30))</f>
        <v/>
      </c>
      <c r="J2892">
        <f>IF(I2892="","",IF(I2892&gt;=MAXIFS($I$2:$I$5001,$B$2:$B$5001,B2892,$A$2:$A$5001,"&lt;="&amp;A2892),"PR",""))</f>
        <v/>
      </c>
    </row>
    <row r="2893">
      <c r="A2893" s="7" t="n"/>
      <c r="H2893" s="11">
        <f>IF(OR(D2893="",E2893=""),"",D2893*E2893)</f>
        <v/>
      </c>
      <c r="I2893" s="8">
        <f>IF(OR(D2893="",E2893=""),"",E2893*(1+D2893/30))</f>
        <v/>
      </c>
      <c r="J2893">
        <f>IF(I2893="","",IF(I2893&gt;=MAXIFS($I$2:$I$5001,$B$2:$B$5001,B2893,$A$2:$A$5001,"&lt;="&amp;A2893),"PR",""))</f>
        <v/>
      </c>
    </row>
    <row r="2894">
      <c r="A2894" s="7" t="n"/>
      <c r="H2894" s="11">
        <f>IF(OR(D2894="",E2894=""),"",D2894*E2894)</f>
        <v/>
      </c>
      <c r="I2894" s="8">
        <f>IF(OR(D2894="",E2894=""),"",E2894*(1+D2894/30))</f>
        <v/>
      </c>
      <c r="J2894">
        <f>IF(I2894="","",IF(I2894&gt;=MAXIFS($I$2:$I$5001,$B$2:$B$5001,B2894,$A$2:$A$5001,"&lt;="&amp;A2894),"PR",""))</f>
        <v/>
      </c>
    </row>
    <row r="2895">
      <c r="A2895" s="7" t="n"/>
      <c r="H2895" s="11">
        <f>IF(OR(D2895="",E2895=""),"",D2895*E2895)</f>
        <v/>
      </c>
      <c r="I2895" s="8">
        <f>IF(OR(D2895="",E2895=""),"",E2895*(1+D2895/30))</f>
        <v/>
      </c>
      <c r="J2895">
        <f>IF(I2895="","",IF(I2895&gt;=MAXIFS($I$2:$I$5001,$B$2:$B$5001,B2895,$A$2:$A$5001,"&lt;="&amp;A2895),"PR",""))</f>
        <v/>
      </c>
    </row>
    <row r="2896">
      <c r="A2896" s="7" t="n"/>
      <c r="H2896" s="11">
        <f>IF(OR(D2896="",E2896=""),"",D2896*E2896)</f>
        <v/>
      </c>
      <c r="I2896" s="8">
        <f>IF(OR(D2896="",E2896=""),"",E2896*(1+D2896/30))</f>
        <v/>
      </c>
      <c r="J2896">
        <f>IF(I2896="","",IF(I2896&gt;=MAXIFS($I$2:$I$5001,$B$2:$B$5001,B2896,$A$2:$A$5001,"&lt;="&amp;A2896),"PR",""))</f>
        <v/>
      </c>
    </row>
    <row r="2897">
      <c r="A2897" s="7" t="n"/>
      <c r="H2897" s="11">
        <f>IF(OR(D2897="",E2897=""),"",D2897*E2897)</f>
        <v/>
      </c>
      <c r="I2897" s="8">
        <f>IF(OR(D2897="",E2897=""),"",E2897*(1+D2897/30))</f>
        <v/>
      </c>
      <c r="J2897">
        <f>IF(I2897="","",IF(I2897&gt;=MAXIFS($I$2:$I$5001,$B$2:$B$5001,B2897,$A$2:$A$5001,"&lt;="&amp;A2897),"PR",""))</f>
        <v/>
      </c>
    </row>
    <row r="2898">
      <c r="A2898" s="7" t="n"/>
      <c r="H2898" s="11">
        <f>IF(OR(D2898="",E2898=""),"",D2898*E2898)</f>
        <v/>
      </c>
      <c r="I2898" s="8">
        <f>IF(OR(D2898="",E2898=""),"",E2898*(1+D2898/30))</f>
        <v/>
      </c>
      <c r="J2898">
        <f>IF(I2898="","",IF(I2898&gt;=MAXIFS($I$2:$I$5001,$B$2:$B$5001,B2898,$A$2:$A$5001,"&lt;="&amp;A2898),"PR",""))</f>
        <v/>
      </c>
    </row>
    <row r="2899">
      <c r="A2899" s="7" t="n"/>
      <c r="H2899" s="11">
        <f>IF(OR(D2899="",E2899=""),"",D2899*E2899)</f>
        <v/>
      </c>
      <c r="I2899" s="8">
        <f>IF(OR(D2899="",E2899=""),"",E2899*(1+D2899/30))</f>
        <v/>
      </c>
      <c r="J2899">
        <f>IF(I2899="","",IF(I2899&gt;=MAXIFS($I$2:$I$5001,$B$2:$B$5001,B2899,$A$2:$A$5001,"&lt;="&amp;A2899),"PR",""))</f>
        <v/>
      </c>
    </row>
    <row r="2900">
      <c r="A2900" s="7" t="n"/>
      <c r="H2900" s="11">
        <f>IF(OR(D2900="",E2900=""),"",D2900*E2900)</f>
        <v/>
      </c>
      <c r="I2900" s="8">
        <f>IF(OR(D2900="",E2900=""),"",E2900*(1+D2900/30))</f>
        <v/>
      </c>
      <c r="J2900">
        <f>IF(I2900="","",IF(I2900&gt;=MAXIFS($I$2:$I$5001,$B$2:$B$5001,B2900,$A$2:$A$5001,"&lt;="&amp;A2900),"PR",""))</f>
        <v/>
      </c>
    </row>
    <row r="2901">
      <c r="A2901" s="7" t="n"/>
      <c r="H2901" s="11">
        <f>IF(OR(D2901="",E2901=""),"",D2901*E2901)</f>
        <v/>
      </c>
      <c r="I2901" s="8">
        <f>IF(OR(D2901="",E2901=""),"",E2901*(1+D2901/30))</f>
        <v/>
      </c>
      <c r="J2901">
        <f>IF(I2901="","",IF(I2901&gt;=MAXIFS($I$2:$I$5001,$B$2:$B$5001,B2901,$A$2:$A$5001,"&lt;="&amp;A2901),"PR",""))</f>
        <v/>
      </c>
    </row>
    <row r="2902">
      <c r="A2902" s="7" t="n"/>
      <c r="H2902" s="11">
        <f>IF(OR(D2902="",E2902=""),"",D2902*E2902)</f>
        <v/>
      </c>
      <c r="I2902" s="8">
        <f>IF(OR(D2902="",E2902=""),"",E2902*(1+D2902/30))</f>
        <v/>
      </c>
      <c r="J2902">
        <f>IF(I2902="","",IF(I2902&gt;=MAXIFS($I$2:$I$5001,$B$2:$B$5001,B2902,$A$2:$A$5001,"&lt;="&amp;A2902),"PR",""))</f>
        <v/>
      </c>
    </row>
    <row r="2903">
      <c r="A2903" s="7" t="n"/>
      <c r="H2903" s="11">
        <f>IF(OR(D2903="",E2903=""),"",D2903*E2903)</f>
        <v/>
      </c>
      <c r="I2903" s="8">
        <f>IF(OR(D2903="",E2903=""),"",E2903*(1+D2903/30))</f>
        <v/>
      </c>
      <c r="J2903">
        <f>IF(I2903="","",IF(I2903&gt;=MAXIFS($I$2:$I$5001,$B$2:$B$5001,B2903,$A$2:$A$5001,"&lt;="&amp;A2903),"PR",""))</f>
        <v/>
      </c>
    </row>
    <row r="2904">
      <c r="A2904" s="7" t="n"/>
      <c r="H2904" s="11">
        <f>IF(OR(D2904="",E2904=""),"",D2904*E2904)</f>
        <v/>
      </c>
      <c r="I2904" s="8">
        <f>IF(OR(D2904="",E2904=""),"",E2904*(1+D2904/30))</f>
        <v/>
      </c>
      <c r="J2904">
        <f>IF(I2904="","",IF(I2904&gt;=MAXIFS($I$2:$I$5001,$B$2:$B$5001,B2904,$A$2:$A$5001,"&lt;="&amp;A2904),"PR",""))</f>
        <v/>
      </c>
    </row>
    <row r="2905">
      <c r="A2905" s="7" t="n"/>
      <c r="H2905" s="11">
        <f>IF(OR(D2905="",E2905=""),"",D2905*E2905)</f>
        <v/>
      </c>
      <c r="I2905" s="8">
        <f>IF(OR(D2905="",E2905=""),"",E2905*(1+D2905/30))</f>
        <v/>
      </c>
      <c r="J2905">
        <f>IF(I2905="","",IF(I2905&gt;=MAXIFS($I$2:$I$5001,$B$2:$B$5001,B2905,$A$2:$A$5001,"&lt;="&amp;A2905),"PR",""))</f>
        <v/>
      </c>
    </row>
    <row r="2906">
      <c r="A2906" s="7" t="n"/>
      <c r="H2906" s="11">
        <f>IF(OR(D2906="",E2906=""),"",D2906*E2906)</f>
        <v/>
      </c>
      <c r="I2906" s="8">
        <f>IF(OR(D2906="",E2906=""),"",E2906*(1+D2906/30))</f>
        <v/>
      </c>
      <c r="J2906">
        <f>IF(I2906="","",IF(I2906&gt;=MAXIFS($I$2:$I$5001,$B$2:$B$5001,B2906,$A$2:$A$5001,"&lt;="&amp;A2906),"PR",""))</f>
        <v/>
      </c>
    </row>
    <row r="2907">
      <c r="A2907" s="7" t="n"/>
      <c r="H2907" s="11">
        <f>IF(OR(D2907="",E2907=""),"",D2907*E2907)</f>
        <v/>
      </c>
      <c r="I2907" s="8">
        <f>IF(OR(D2907="",E2907=""),"",E2907*(1+D2907/30))</f>
        <v/>
      </c>
      <c r="J2907">
        <f>IF(I2907="","",IF(I2907&gt;=MAXIFS($I$2:$I$5001,$B$2:$B$5001,B2907,$A$2:$A$5001,"&lt;="&amp;A2907),"PR",""))</f>
        <v/>
      </c>
    </row>
    <row r="2908">
      <c r="A2908" s="7" t="n"/>
      <c r="H2908" s="11">
        <f>IF(OR(D2908="",E2908=""),"",D2908*E2908)</f>
        <v/>
      </c>
      <c r="I2908" s="8">
        <f>IF(OR(D2908="",E2908=""),"",E2908*(1+D2908/30))</f>
        <v/>
      </c>
      <c r="J2908">
        <f>IF(I2908="","",IF(I2908&gt;=MAXIFS($I$2:$I$5001,$B$2:$B$5001,B2908,$A$2:$A$5001,"&lt;="&amp;A2908),"PR",""))</f>
        <v/>
      </c>
    </row>
    <row r="2909">
      <c r="A2909" s="7" t="n"/>
      <c r="H2909" s="11">
        <f>IF(OR(D2909="",E2909=""),"",D2909*E2909)</f>
        <v/>
      </c>
      <c r="I2909" s="8">
        <f>IF(OR(D2909="",E2909=""),"",E2909*(1+D2909/30))</f>
        <v/>
      </c>
      <c r="J2909">
        <f>IF(I2909="","",IF(I2909&gt;=MAXIFS($I$2:$I$5001,$B$2:$B$5001,B2909,$A$2:$A$5001,"&lt;="&amp;A2909),"PR",""))</f>
        <v/>
      </c>
    </row>
    <row r="2910">
      <c r="A2910" s="7" t="n"/>
      <c r="H2910" s="11">
        <f>IF(OR(D2910="",E2910=""),"",D2910*E2910)</f>
        <v/>
      </c>
      <c r="I2910" s="8">
        <f>IF(OR(D2910="",E2910=""),"",E2910*(1+D2910/30))</f>
        <v/>
      </c>
      <c r="J2910">
        <f>IF(I2910="","",IF(I2910&gt;=MAXIFS($I$2:$I$5001,$B$2:$B$5001,B2910,$A$2:$A$5001,"&lt;="&amp;A2910),"PR",""))</f>
        <v/>
      </c>
    </row>
    <row r="2911">
      <c r="A2911" s="7" t="n"/>
      <c r="H2911" s="11">
        <f>IF(OR(D2911="",E2911=""),"",D2911*E2911)</f>
        <v/>
      </c>
      <c r="I2911" s="8">
        <f>IF(OR(D2911="",E2911=""),"",E2911*(1+D2911/30))</f>
        <v/>
      </c>
      <c r="J2911">
        <f>IF(I2911="","",IF(I2911&gt;=MAXIFS($I$2:$I$5001,$B$2:$B$5001,B2911,$A$2:$A$5001,"&lt;="&amp;A2911),"PR",""))</f>
        <v/>
      </c>
    </row>
    <row r="2912">
      <c r="A2912" s="7" t="n"/>
      <c r="H2912" s="11">
        <f>IF(OR(D2912="",E2912=""),"",D2912*E2912)</f>
        <v/>
      </c>
      <c r="I2912" s="8">
        <f>IF(OR(D2912="",E2912=""),"",E2912*(1+D2912/30))</f>
        <v/>
      </c>
      <c r="J2912">
        <f>IF(I2912="","",IF(I2912&gt;=MAXIFS($I$2:$I$5001,$B$2:$B$5001,B2912,$A$2:$A$5001,"&lt;="&amp;A2912),"PR",""))</f>
        <v/>
      </c>
    </row>
    <row r="2913">
      <c r="A2913" s="7" t="n"/>
      <c r="H2913" s="11">
        <f>IF(OR(D2913="",E2913=""),"",D2913*E2913)</f>
        <v/>
      </c>
      <c r="I2913" s="8">
        <f>IF(OR(D2913="",E2913=""),"",E2913*(1+D2913/30))</f>
        <v/>
      </c>
      <c r="J2913">
        <f>IF(I2913="","",IF(I2913&gt;=MAXIFS($I$2:$I$5001,$B$2:$B$5001,B2913,$A$2:$A$5001,"&lt;="&amp;A2913),"PR",""))</f>
        <v/>
      </c>
    </row>
    <row r="2914">
      <c r="A2914" s="7" t="n"/>
      <c r="H2914" s="11">
        <f>IF(OR(D2914="",E2914=""),"",D2914*E2914)</f>
        <v/>
      </c>
      <c r="I2914" s="8">
        <f>IF(OR(D2914="",E2914=""),"",E2914*(1+D2914/30))</f>
        <v/>
      </c>
      <c r="J2914">
        <f>IF(I2914="","",IF(I2914&gt;=MAXIFS($I$2:$I$5001,$B$2:$B$5001,B2914,$A$2:$A$5001,"&lt;="&amp;A2914),"PR",""))</f>
        <v/>
      </c>
    </row>
    <row r="2915">
      <c r="A2915" s="7" t="n"/>
      <c r="H2915" s="11">
        <f>IF(OR(D2915="",E2915=""),"",D2915*E2915)</f>
        <v/>
      </c>
      <c r="I2915" s="8">
        <f>IF(OR(D2915="",E2915=""),"",E2915*(1+D2915/30))</f>
        <v/>
      </c>
      <c r="J2915">
        <f>IF(I2915="","",IF(I2915&gt;=MAXIFS($I$2:$I$5001,$B$2:$B$5001,B2915,$A$2:$A$5001,"&lt;="&amp;A2915),"PR",""))</f>
        <v/>
      </c>
    </row>
    <row r="2916">
      <c r="A2916" s="7" t="n"/>
      <c r="H2916" s="11">
        <f>IF(OR(D2916="",E2916=""),"",D2916*E2916)</f>
        <v/>
      </c>
      <c r="I2916" s="8">
        <f>IF(OR(D2916="",E2916=""),"",E2916*(1+D2916/30))</f>
        <v/>
      </c>
      <c r="J2916">
        <f>IF(I2916="","",IF(I2916&gt;=MAXIFS($I$2:$I$5001,$B$2:$B$5001,B2916,$A$2:$A$5001,"&lt;="&amp;A2916),"PR",""))</f>
        <v/>
      </c>
    </row>
    <row r="2917">
      <c r="A2917" s="7" t="n"/>
      <c r="H2917" s="11">
        <f>IF(OR(D2917="",E2917=""),"",D2917*E2917)</f>
        <v/>
      </c>
      <c r="I2917" s="8">
        <f>IF(OR(D2917="",E2917=""),"",E2917*(1+D2917/30))</f>
        <v/>
      </c>
      <c r="J2917">
        <f>IF(I2917="","",IF(I2917&gt;=MAXIFS($I$2:$I$5001,$B$2:$B$5001,B2917,$A$2:$A$5001,"&lt;="&amp;A2917),"PR",""))</f>
        <v/>
      </c>
    </row>
    <row r="2918">
      <c r="A2918" s="7" t="n"/>
      <c r="H2918" s="11">
        <f>IF(OR(D2918="",E2918=""),"",D2918*E2918)</f>
        <v/>
      </c>
      <c r="I2918" s="8">
        <f>IF(OR(D2918="",E2918=""),"",E2918*(1+D2918/30))</f>
        <v/>
      </c>
      <c r="J2918">
        <f>IF(I2918="","",IF(I2918&gt;=MAXIFS($I$2:$I$5001,$B$2:$B$5001,B2918,$A$2:$A$5001,"&lt;="&amp;A2918),"PR",""))</f>
        <v/>
      </c>
    </row>
    <row r="2919">
      <c r="A2919" s="7" t="n"/>
      <c r="H2919" s="11">
        <f>IF(OR(D2919="",E2919=""),"",D2919*E2919)</f>
        <v/>
      </c>
      <c r="I2919" s="8">
        <f>IF(OR(D2919="",E2919=""),"",E2919*(1+D2919/30))</f>
        <v/>
      </c>
      <c r="J2919">
        <f>IF(I2919="","",IF(I2919&gt;=MAXIFS($I$2:$I$5001,$B$2:$B$5001,B2919,$A$2:$A$5001,"&lt;="&amp;A2919),"PR",""))</f>
        <v/>
      </c>
    </row>
    <row r="2920">
      <c r="A2920" s="7" t="n"/>
      <c r="H2920" s="11">
        <f>IF(OR(D2920="",E2920=""),"",D2920*E2920)</f>
        <v/>
      </c>
      <c r="I2920" s="8">
        <f>IF(OR(D2920="",E2920=""),"",E2920*(1+D2920/30))</f>
        <v/>
      </c>
      <c r="J2920">
        <f>IF(I2920="","",IF(I2920&gt;=MAXIFS($I$2:$I$5001,$B$2:$B$5001,B2920,$A$2:$A$5001,"&lt;="&amp;A2920),"PR",""))</f>
        <v/>
      </c>
    </row>
    <row r="2921">
      <c r="A2921" s="7" t="n"/>
      <c r="H2921" s="11">
        <f>IF(OR(D2921="",E2921=""),"",D2921*E2921)</f>
        <v/>
      </c>
      <c r="I2921" s="8">
        <f>IF(OR(D2921="",E2921=""),"",E2921*(1+D2921/30))</f>
        <v/>
      </c>
      <c r="J2921">
        <f>IF(I2921="","",IF(I2921&gt;=MAXIFS($I$2:$I$5001,$B$2:$B$5001,B2921,$A$2:$A$5001,"&lt;="&amp;A2921),"PR",""))</f>
        <v/>
      </c>
    </row>
    <row r="2922">
      <c r="A2922" s="7" t="n"/>
      <c r="H2922" s="11">
        <f>IF(OR(D2922="",E2922=""),"",D2922*E2922)</f>
        <v/>
      </c>
      <c r="I2922" s="8">
        <f>IF(OR(D2922="",E2922=""),"",E2922*(1+D2922/30))</f>
        <v/>
      </c>
      <c r="J2922">
        <f>IF(I2922="","",IF(I2922&gt;=MAXIFS($I$2:$I$5001,$B$2:$B$5001,B2922,$A$2:$A$5001,"&lt;="&amp;A2922),"PR",""))</f>
        <v/>
      </c>
    </row>
    <row r="2923">
      <c r="A2923" s="7" t="n"/>
      <c r="H2923" s="11">
        <f>IF(OR(D2923="",E2923=""),"",D2923*E2923)</f>
        <v/>
      </c>
      <c r="I2923" s="8">
        <f>IF(OR(D2923="",E2923=""),"",E2923*(1+D2923/30))</f>
        <v/>
      </c>
      <c r="J2923">
        <f>IF(I2923="","",IF(I2923&gt;=MAXIFS($I$2:$I$5001,$B$2:$B$5001,B2923,$A$2:$A$5001,"&lt;="&amp;A2923),"PR",""))</f>
        <v/>
      </c>
    </row>
    <row r="2924">
      <c r="A2924" s="7" t="n"/>
      <c r="H2924" s="11">
        <f>IF(OR(D2924="",E2924=""),"",D2924*E2924)</f>
        <v/>
      </c>
      <c r="I2924" s="8">
        <f>IF(OR(D2924="",E2924=""),"",E2924*(1+D2924/30))</f>
        <v/>
      </c>
      <c r="J2924">
        <f>IF(I2924="","",IF(I2924&gt;=MAXIFS($I$2:$I$5001,$B$2:$B$5001,B2924,$A$2:$A$5001,"&lt;="&amp;A2924),"PR",""))</f>
        <v/>
      </c>
    </row>
    <row r="2925">
      <c r="A2925" s="7" t="n"/>
      <c r="H2925" s="11">
        <f>IF(OR(D2925="",E2925=""),"",D2925*E2925)</f>
        <v/>
      </c>
      <c r="I2925" s="8">
        <f>IF(OR(D2925="",E2925=""),"",E2925*(1+D2925/30))</f>
        <v/>
      </c>
      <c r="J2925">
        <f>IF(I2925="","",IF(I2925&gt;=MAXIFS($I$2:$I$5001,$B$2:$B$5001,B2925,$A$2:$A$5001,"&lt;="&amp;A2925),"PR",""))</f>
        <v/>
      </c>
    </row>
    <row r="2926">
      <c r="A2926" s="7" t="n"/>
      <c r="H2926" s="11">
        <f>IF(OR(D2926="",E2926=""),"",D2926*E2926)</f>
        <v/>
      </c>
      <c r="I2926" s="8">
        <f>IF(OR(D2926="",E2926=""),"",E2926*(1+D2926/30))</f>
        <v/>
      </c>
      <c r="J2926">
        <f>IF(I2926="","",IF(I2926&gt;=MAXIFS($I$2:$I$5001,$B$2:$B$5001,B2926,$A$2:$A$5001,"&lt;="&amp;A2926),"PR",""))</f>
        <v/>
      </c>
    </row>
    <row r="2927">
      <c r="A2927" s="7" t="n"/>
      <c r="H2927" s="11">
        <f>IF(OR(D2927="",E2927=""),"",D2927*E2927)</f>
        <v/>
      </c>
      <c r="I2927" s="8">
        <f>IF(OR(D2927="",E2927=""),"",E2927*(1+D2927/30))</f>
        <v/>
      </c>
      <c r="J2927">
        <f>IF(I2927="","",IF(I2927&gt;=MAXIFS($I$2:$I$5001,$B$2:$B$5001,B2927,$A$2:$A$5001,"&lt;="&amp;A2927),"PR",""))</f>
        <v/>
      </c>
    </row>
    <row r="2928">
      <c r="A2928" s="7" t="n"/>
      <c r="H2928" s="11">
        <f>IF(OR(D2928="",E2928=""),"",D2928*E2928)</f>
        <v/>
      </c>
      <c r="I2928" s="8">
        <f>IF(OR(D2928="",E2928=""),"",E2928*(1+D2928/30))</f>
        <v/>
      </c>
      <c r="J2928">
        <f>IF(I2928="","",IF(I2928&gt;=MAXIFS($I$2:$I$5001,$B$2:$B$5001,B2928,$A$2:$A$5001,"&lt;="&amp;A2928),"PR",""))</f>
        <v/>
      </c>
    </row>
    <row r="2929">
      <c r="A2929" s="7" t="n"/>
      <c r="H2929" s="11">
        <f>IF(OR(D2929="",E2929=""),"",D2929*E2929)</f>
        <v/>
      </c>
      <c r="I2929" s="8">
        <f>IF(OR(D2929="",E2929=""),"",E2929*(1+D2929/30))</f>
        <v/>
      </c>
      <c r="J2929">
        <f>IF(I2929="","",IF(I2929&gt;=MAXIFS($I$2:$I$5001,$B$2:$B$5001,B2929,$A$2:$A$5001,"&lt;="&amp;A2929),"PR",""))</f>
        <v/>
      </c>
    </row>
    <row r="2930">
      <c r="A2930" s="7" t="n"/>
      <c r="H2930" s="11">
        <f>IF(OR(D2930="",E2930=""),"",D2930*E2930)</f>
        <v/>
      </c>
      <c r="I2930" s="8">
        <f>IF(OR(D2930="",E2930=""),"",E2930*(1+D2930/30))</f>
        <v/>
      </c>
      <c r="J2930">
        <f>IF(I2930="","",IF(I2930&gt;=MAXIFS($I$2:$I$5001,$B$2:$B$5001,B2930,$A$2:$A$5001,"&lt;="&amp;A2930),"PR",""))</f>
        <v/>
      </c>
    </row>
    <row r="2931">
      <c r="A2931" s="7" t="n"/>
      <c r="H2931" s="11">
        <f>IF(OR(D2931="",E2931=""),"",D2931*E2931)</f>
        <v/>
      </c>
      <c r="I2931" s="8">
        <f>IF(OR(D2931="",E2931=""),"",E2931*(1+D2931/30))</f>
        <v/>
      </c>
      <c r="J2931">
        <f>IF(I2931="","",IF(I2931&gt;=MAXIFS($I$2:$I$5001,$B$2:$B$5001,B2931,$A$2:$A$5001,"&lt;="&amp;A2931),"PR",""))</f>
        <v/>
      </c>
    </row>
    <row r="2932">
      <c r="A2932" s="7" t="n"/>
      <c r="H2932" s="11">
        <f>IF(OR(D2932="",E2932=""),"",D2932*E2932)</f>
        <v/>
      </c>
      <c r="I2932" s="8">
        <f>IF(OR(D2932="",E2932=""),"",E2932*(1+D2932/30))</f>
        <v/>
      </c>
      <c r="J2932">
        <f>IF(I2932="","",IF(I2932&gt;=MAXIFS($I$2:$I$5001,$B$2:$B$5001,B2932,$A$2:$A$5001,"&lt;="&amp;A2932),"PR",""))</f>
        <v/>
      </c>
    </row>
    <row r="2933">
      <c r="A2933" s="7" t="n"/>
      <c r="H2933" s="11">
        <f>IF(OR(D2933="",E2933=""),"",D2933*E2933)</f>
        <v/>
      </c>
      <c r="I2933" s="8">
        <f>IF(OR(D2933="",E2933=""),"",E2933*(1+D2933/30))</f>
        <v/>
      </c>
      <c r="J2933">
        <f>IF(I2933="","",IF(I2933&gt;=MAXIFS($I$2:$I$5001,$B$2:$B$5001,B2933,$A$2:$A$5001,"&lt;="&amp;A2933),"PR",""))</f>
        <v/>
      </c>
    </row>
    <row r="2934">
      <c r="A2934" s="7" t="n"/>
      <c r="H2934" s="11">
        <f>IF(OR(D2934="",E2934=""),"",D2934*E2934)</f>
        <v/>
      </c>
      <c r="I2934" s="8">
        <f>IF(OR(D2934="",E2934=""),"",E2934*(1+D2934/30))</f>
        <v/>
      </c>
      <c r="J2934">
        <f>IF(I2934="","",IF(I2934&gt;=MAXIFS($I$2:$I$5001,$B$2:$B$5001,B2934,$A$2:$A$5001,"&lt;="&amp;A2934),"PR",""))</f>
        <v/>
      </c>
    </row>
    <row r="2935">
      <c r="A2935" s="7" t="n"/>
      <c r="H2935" s="11">
        <f>IF(OR(D2935="",E2935=""),"",D2935*E2935)</f>
        <v/>
      </c>
      <c r="I2935" s="8">
        <f>IF(OR(D2935="",E2935=""),"",E2935*(1+D2935/30))</f>
        <v/>
      </c>
      <c r="J2935">
        <f>IF(I2935="","",IF(I2935&gt;=MAXIFS($I$2:$I$5001,$B$2:$B$5001,B2935,$A$2:$A$5001,"&lt;="&amp;A2935),"PR",""))</f>
        <v/>
      </c>
    </row>
    <row r="2936">
      <c r="A2936" s="7" t="n"/>
      <c r="H2936" s="11">
        <f>IF(OR(D2936="",E2936=""),"",D2936*E2936)</f>
        <v/>
      </c>
      <c r="I2936" s="8">
        <f>IF(OR(D2936="",E2936=""),"",E2936*(1+D2936/30))</f>
        <v/>
      </c>
      <c r="J2936">
        <f>IF(I2936="","",IF(I2936&gt;=MAXIFS($I$2:$I$5001,$B$2:$B$5001,B2936,$A$2:$A$5001,"&lt;="&amp;A2936),"PR",""))</f>
        <v/>
      </c>
    </row>
    <row r="2937">
      <c r="A2937" s="7" t="n"/>
      <c r="H2937" s="11">
        <f>IF(OR(D2937="",E2937=""),"",D2937*E2937)</f>
        <v/>
      </c>
      <c r="I2937" s="8">
        <f>IF(OR(D2937="",E2937=""),"",E2937*(1+D2937/30))</f>
        <v/>
      </c>
      <c r="J2937">
        <f>IF(I2937="","",IF(I2937&gt;=MAXIFS($I$2:$I$5001,$B$2:$B$5001,B2937,$A$2:$A$5001,"&lt;="&amp;A2937),"PR",""))</f>
        <v/>
      </c>
    </row>
    <row r="2938">
      <c r="A2938" s="7" t="n"/>
      <c r="H2938" s="11">
        <f>IF(OR(D2938="",E2938=""),"",D2938*E2938)</f>
        <v/>
      </c>
      <c r="I2938" s="8">
        <f>IF(OR(D2938="",E2938=""),"",E2938*(1+D2938/30))</f>
        <v/>
      </c>
      <c r="J2938">
        <f>IF(I2938="","",IF(I2938&gt;=MAXIFS($I$2:$I$5001,$B$2:$B$5001,B2938,$A$2:$A$5001,"&lt;="&amp;A2938),"PR",""))</f>
        <v/>
      </c>
    </row>
    <row r="2939">
      <c r="A2939" s="7" t="n"/>
      <c r="H2939" s="11">
        <f>IF(OR(D2939="",E2939=""),"",D2939*E2939)</f>
        <v/>
      </c>
      <c r="I2939" s="8">
        <f>IF(OR(D2939="",E2939=""),"",E2939*(1+D2939/30))</f>
        <v/>
      </c>
      <c r="J2939">
        <f>IF(I2939="","",IF(I2939&gt;=MAXIFS($I$2:$I$5001,$B$2:$B$5001,B2939,$A$2:$A$5001,"&lt;="&amp;A2939),"PR",""))</f>
        <v/>
      </c>
    </row>
    <row r="2940">
      <c r="A2940" s="7" t="n"/>
      <c r="H2940" s="11">
        <f>IF(OR(D2940="",E2940=""),"",D2940*E2940)</f>
        <v/>
      </c>
      <c r="I2940" s="8">
        <f>IF(OR(D2940="",E2940=""),"",E2940*(1+D2940/30))</f>
        <v/>
      </c>
      <c r="J2940">
        <f>IF(I2940="","",IF(I2940&gt;=MAXIFS($I$2:$I$5001,$B$2:$B$5001,B2940,$A$2:$A$5001,"&lt;="&amp;A2940),"PR",""))</f>
        <v/>
      </c>
    </row>
    <row r="2941">
      <c r="A2941" s="7" t="n"/>
      <c r="H2941" s="11">
        <f>IF(OR(D2941="",E2941=""),"",D2941*E2941)</f>
        <v/>
      </c>
      <c r="I2941" s="8">
        <f>IF(OR(D2941="",E2941=""),"",E2941*(1+D2941/30))</f>
        <v/>
      </c>
      <c r="J2941">
        <f>IF(I2941="","",IF(I2941&gt;=MAXIFS($I$2:$I$5001,$B$2:$B$5001,B2941,$A$2:$A$5001,"&lt;="&amp;A2941),"PR",""))</f>
        <v/>
      </c>
    </row>
    <row r="2942">
      <c r="A2942" s="7" t="n"/>
      <c r="H2942" s="11">
        <f>IF(OR(D2942="",E2942=""),"",D2942*E2942)</f>
        <v/>
      </c>
      <c r="I2942" s="8">
        <f>IF(OR(D2942="",E2942=""),"",E2942*(1+D2942/30))</f>
        <v/>
      </c>
      <c r="J2942">
        <f>IF(I2942="","",IF(I2942&gt;=MAXIFS($I$2:$I$5001,$B$2:$B$5001,B2942,$A$2:$A$5001,"&lt;="&amp;A2942),"PR",""))</f>
        <v/>
      </c>
    </row>
    <row r="2943">
      <c r="A2943" s="7" t="n"/>
      <c r="H2943" s="11">
        <f>IF(OR(D2943="",E2943=""),"",D2943*E2943)</f>
        <v/>
      </c>
      <c r="I2943" s="8">
        <f>IF(OR(D2943="",E2943=""),"",E2943*(1+D2943/30))</f>
        <v/>
      </c>
      <c r="J2943">
        <f>IF(I2943="","",IF(I2943&gt;=MAXIFS($I$2:$I$5001,$B$2:$B$5001,B2943,$A$2:$A$5001,"&lt;="&amp;A2943),"PR",""))</f>
        <v/>
      </c>
    </row>
    <row r="2944">
      <c r="A2944" s="7" t="n"/>
      <c r="H2944" s="11">
        <f>IF(OR(D2944="",E2944=""),"",D2944*E2944)</f>
        <v/>
      </c>
      <c r="I2944" s="8">
        <f>IF(OR(D2944="",E2944=""),"",E2944*(1+D2944/30))</f>
        <v/>
      </c>
      <c r="J2944">
        <f>IF(I2944="","",IF(I2944&gt;=MAXIFS($I$2:$I$5001,$B$2:$B$5001,B2944,$A$2:$A$5001,"&lt;="&amp;A2944),"PR",""))</f>
        <v/>
      </c>
    </row>
    <row r="2945">
      <c r="A2945" s="7" t="n"/>
      <c r="H2945" s="11">
        <f>IF(OR(D2945="",E2945=""),"",D2945*E2945)</f>
        <v/>
      </c>
      <c r="I2945" s="8">
        <f>IF(OR(D2945="",E2945=""),"",E2945*(1+D2945/30))</f>
        <v/>
      </c>
      <c r="J2945">
        <f>IF(I2945="","",IF(I2945&gt;=MAXIFS($I$2:$I$5001,$B$2:$B$5001,B2945,$A$2:$A$5001,"&lt;="&amp;A2945),"PR",""))</f>
        <v/>
      </c>
    </row>
    <row r="2946">
      <c r="A2946" s="7" t="n"/>
      <c r="H2946" s="11">
        <f>IF(OR(D2946="",E2946=""),"",D2946*E2946)</f>
        <v/>
      </c>
      <c r="I2946" s="8">
        <f>IF(OR(D2946="",E2946=""),"",E2946*(1+D2946/30))</f>
        <v/>
      </c>
      <c r="J2946">
        <f>IF(I2946="","",IF(I2946&gt;=MAXIFS($I$2:$I$5001,$B$2:$B$5001,B2946,$A$2:$A$5001,"&lt;="&amp;A2946),"PR",""))</f>
        <v/>
      </c>
    </row>
    <row r="2947">
      <c r="A2947" s="7" t="n"/>
      <c r="H2947" s="11">
        <f>IF(OR(D2947="",E2947=""),"",D2947*E2947)</f>
        <v/>
      </c>
      <c r="I2947" s="8">
        <f>IF(OR(D2947="",E2947=""),"",E2947*(1+D2947/30))</f>
        <v/>
      </c>
      <c r="J2947">
        <f>IF(I2947="","",IF(I2947&gt;=MAXIFS($I$2:$I$5001,$B$2:$B$5001,B2947,$A$2:$A$5001,"&lt;="&amp;A2947),"PR",""))</f>
        <v/>
      </c>
    </row>
    <row r="2948">
      <c r="A2948" s="7" t="n"/>
      <c r="H2948" s="11">
        <f>IF(OR(D2948="",E2948=""),"",D2948*E2948)</f>
        <v/>
      </c>
      <c r="I2948" s="8">
        <f>IF(OR(D2948="",E2948=""),"",E2948*(1+D2948/30))</f>
        <v/>
      </c>
      <c r="J2948">
        <f>IF(I2948="","",IF(I2948&gt;=MAXIFS($I$2:$I$5001,$B$2:$B$5001,B2948,$A$2:$A$5001,"&lt;="&amp;A2948),"PR",""))</f>
        <v/>
      </c>
    </row>
    <row r="2949">
      <c r="A2949" s="7" t="n"/>
      <c r="H2949" s="11">
        <f>IF(OR(D2949="",E2949=""),"",D2949*E2949)</f>
        <v/>
      </c>
      <c r="I2949" s="8">
        <f>IF(OR(D2949="",E2949=""),"",E2949*(1+D2949/30))</f>
        <v/>
      </c>
      <c r="J2949">
        <f>IF(I2949="","",IF(I2949&gt;=MAXIFS($I$2:$I$5001,$B$2:$B$5001,B2949,$A$2:$A$5001,"&lt;="&amp;A2949),"PR",""))</f>
        <v/>
      </c>
    </row>
    <row r="2950">
      <c r="A2950" s="7" t="n"/>
      <c r="H2950" s="11">
        <f>IF(OR(D2950="",E2950=""),"",D2950*E2950)</f>
        <v/>
      </c>
      <c r="I2950" s="8">
        <f>IF(OR(D2950="",E2950=""),"",E2950*(1+D2950/30))</f>
        <v/>
      </c>
      <c r="J2950">
        <f>IF(I2950="","",IF(I2950&gt;=MAXIFS($I$2:$I$5001,$B$2:$B$5001,B2950,$A$2:$A$5001,"&lt;="&amp;A2950),"PR",""))</f>
        <v/>
      </c>
    </row>
    <row r="2951">
      <c r="A2951" s="7" t="n"/>
      <c r="H2951" s="11">
        <f>IF(OR(D2951="",E2951=""),"",D2951*E2951)</f>
        <v/>
      </c>
      <c r="I2951" s="8">
        <f>IF(OR(D2951="",E2951=""),"",E2951*(1+D2951/30))</f>
        <v/>
      </c>
      <c r="J2951">
        <f>IF(I2951="","",IF(I2951&gt;=MAXIFS($I$2:$I$5001,$B$2:$B$5001,B2951,$A$2:$A$5001,"&lt;="&amp;A2951),"PR",""))</f>
        <v/>
      </c>
    </row>
    <row r="2952">
      <c r="A2952" s="7" t="n"/>
      <c r="H2952" s="11">
        <f>IF(OR(D2952="",E2952=""),"",D2952*E2952)</f>
        <v/>
      </c>
      <c r="I2952" s="8">
        <f>IF(OR(D2952="",E2952=""),"",E2952*(1+D2952/30))</f>
        <v/>
      </c>
      <c r="J2952">
        <f>IF(I2952="","",IF(I2952&gt;=MAXIFS($I$2:$I$5001,$B$2:$B$5001,B2952,$A$2:$A$5001,"&lt;="&amp;A2952),"PR",""))</f>
        <v/>
      </c>
    </row>
    <row r="2953">
      <c r="A2953" s="7" t="n"/>
      <c r="H2953" s="11">
        <f>IF(OR(D2953="",E2953=""),"",D2953*E2953)</f>
        <v/>
      </c>
      <c r="I2953" s="8">
        <f>IF(OR(D2953="",E2953=""),"",E2953*(1+D2953/30))</f>
        <v/>
      </c>
      <c r="J2953">
        <f>IF(I2953="","",IF(I2953&gt;=MAXIFS($I$2:$I$5001,$B$2:$B$5001,B2953,$A$2:$A$5001,"&lt;="&amp;A2953),"PR",""))</f>
        <v/>
      </c>
    </row>
    <row r="2954">
      <c r="A2954" s="7" t="n"/>
      <c r="H2954" s="11">
        <f>IF(OR(D2954="",E2954=""),"",D2954*E2954)</f>
        <v/>
      </c>
      <c r="I2954" s="8">
        <f>IF(OR(D2954="",E2954=""),"",E2954*(1+D2954/30))</f>
        <v/>
      </c>
      <c r="J2954">
        <f>IF(I2954="","",IF(I2954&gt;=MAXIFS($I$2:$I$5001,$B$2:$B$5001,B2954,$A$2:$A$5001,"&lt;="&amp;A2954),"PR",""))</f>
        <v/>
      </c>
    </row>
    <row r="2955">
      <c r="A2955" s="7" t="n"/>
      <c r="H2955" s="11">
        <f>IF(OR(D2955="",E2955=""),"",D2955*E2955)</f>
        <v/>
      </c>
      <c r="I2955" s="8">
        <f>IF(OR(D2955="",E2955=""),"",E2955*(1+D2955/30))</f>
        <v/>
      </c>
      <c r="J2955">
        <f>IF(I2955="","",IF(I2955&gt;=MAXIFS($I$2:$I$5001,$B$2:$B$5001,B2955,$A$2:$A$5001,"&lt;="&amp;A2955),"PR",""))</f>
        <v/>
      </c>
    </row>
    <row r="2956">
      <c r="A2956" s="7" t="n"/>
      <c r="H2956" s="11">
        <f>IF(OR(D2956="",E2956=""),"",D2956*E2956)</f>
        <v/>
      </c>
      <c r="I2956" s="8">
        <f>IF(OR(D2956="",E2956=""),"",E2956*(1+D2956/30))</f>
        <v/>
      </c>
      <c r="J2956">
        <f>IF(I2956="","",IF(I2956&gt;=MAXIFS($I$2:$I$5001,$B$2:$B$5001,B2956,$A$2:$A$5001,"&lt;="&amp;A2956),"PR",""))</f>
        <v/>
      </c>
    </row>
    <row r="2957">
      <c r="A2957" s="7" t="n"/>
      <c r="H2957" s="11">
        <f>IF(OR(D2957="",E2957=""),"",D2957*E2957)</f>
        <v/>
      </c>
      <c r="I2957" s="8">
        <f>IF(OR(D2957="",E2957=""),"",E2957*(1+D2957/30))</f>
        <v/>
      </c>
      <c r="J2957">
        <f>IF(I2957="","",IF(I2957&gt;=MAXIFS($I$2:$I$5001,$B$2:$B$5001,B2957,$A$2:$A$5001,"&lt;="&amp;A2957),"PR",""))</f>
        <v/>
      </c>
    </row>
    <row r="2958">
      <c r="A2958" s="7" t="n"/>
      <c r="H2958" s="11">
        <f>IF(OR(D2958="",E2958=""),"",D2958*E2958)</f>
        <v/>
      </c>
      <c r="I2958" s="8">
        <f>IF(OR(D2958="",E2958=""),"",E2958*(1+D2958/30))</f>
        <v/>
      </c>
      <c r="J2958">
        <f>IF(I2958="","",IF(I2958&gt;=MAXIFS($I$2:$I$5001,$B$2:$B$5001,B2958,$A$2:$A$5001,"&lt;="&amp;A2958),"PR",""))</f>
        <v/>
      </c>
    </row>
    <row r="2959">
      <c r="A2959" s="7" t="n"/>
      <c r="H2959" s="11">
        <f>IF(OR(D2959="",E2959=""),"",D2959*E2959)</f>
        <v/>
      </c>
      <c r="I2959" s="8">
        <f>IF(OR(D2959="",E2959=""),"",E2959*(1+D2959/30))</f>
        <v/>
      </c>
      <c r="J2959">
        <f>IF(I2959="","",IF(I2959&gt;=MAXIFS($I$2:$I$5001,$B$2:$B$5001,B2959,$A$2:$A$5001,"&lt;="&amp;A2959),"PR",""))</f>
        <v/>
      </c>
    </row>
    <row r="2960">
      <c r="A2960" s="7" t="n"/>
      <c r="H2960" s="11">
        <f>IF(OR(D2960="",E2960=""),"",D2960*E2960)</f>
        <v/>
      </c>
      <c r="I2960" s="8">
        <f>IF(OR(D2960="",E2960=""),"",E2960*(1+D2960/30))</f>
        <v/>
      </c>
      <c r="J2960">
        <f>IF(I2960="","",IF(I2960&gt;=MAXIFS($I$2:$I$5001,$B$2:$B$5001,B2960,$A$2:$A$5001,"&lt;="&amp;A2960),"PR",""))</f>
        <v/>
      </c>
    </row>
    <row r="2961">
      <c r="A2961" s="7" t="n"/>
      <c r="H2961" s="11">
        <f>IF(OR(D2961="",E2961=""),"",D2961*E2961)</f>
        <v/>
      </c>
      <c r="I2961" s="8">
        <f>IF(OR(D2961="",E2961=""),"",E2961*(1+D2961/30))</f>
        <v/>
      </c>
      <c r="J2961">
        <f>IF(I2961="","",IF(I2961&gt;=MAXIFS($I$2:$I$5001,$B$2:$B$5001,B2961,$A$2:$A$5001,"&lt;="&amp;A2961),"PR",""))</f>
        <v/>
      </c>
    </row>
    <row r="2962">
      <c r="A2962" s="7" t="n"/>
      <c r="H2962" s="11">
        <f>IF(OR(D2962="",E2962=""),"",D2962*E2962)</f>
        <v/>
      </c>
      <c r="I2962" s="8">
        <f>IF(OR(D2962="",E2962=""),"",E2962*(1+D2962/30))</f>
        <v/>
      </c>
      <c r="J2962">
        <f>IF(I2962="","",IF(I2962&gt;=MAXIFS($I$2:$I$5001,$B$2:$B$5001,B2962,$A$2:$A$5001,"&lt;="&amp;A2962),"PR",""))</f>
        <v/>
      </c>
    </row>
    <row r="2963">
      <c r="A2963" s="7" t="n"/>
      <c r="H2963" s="11">
        <f>IF(OR(D2963="",E2963=""),"",D2963*E2963)</f>
        <v/>
      </c>
      <c r="I2963" s="8">
        <f>IF(OR(D2963="",E2963=""),"",E2963*(1+D2963/30))</f>
        <v/>
      </c>
      <c r="J2963">
        <f>IF(I2963="","",IF(I2963&gt;=MAXIFS($I$2:$I$5001,$B$2:$B$5001,B2963,$A$2:$A$5001,"&lt;="&amp;A2963),"PR",""))</f>
        <v/>
      </c>
    </row>
    <row r="2964">
      <c r="A2964" s="7" t="n"/>
      <c r="H2964" s="11">
        <f>IF(OR(D2964="",E2964=""),"",D2964*E2964)</f>
        <v/>
      </c>
      <c r="I2964" s="8">
        <f>IF(OR(D2964="",E2964=""),"",E2964*(1+D2964/30))</f>
        <v/>
      </c>
      <c r="J2964">
        <f>IF(I2964="","",IF(I2964&gt;=MAXIFS($I$2:$I$5001,$B$2:$B$5001,B2964,$A$2:$A$5001,"&lt;="&amp;A2964),"PR",""))</f>
        <v/>
      </c>
    </row>
    <row r="2965">
      <c r="A2965" s="7" t="n"/>
      <c r="H2965" s="11">
        <f>IF(OR(D2965="",E2965=""),"",D2965*E2965)</f>
        <v/>
      </c>
      <c r="I2965" s="8">
        <f>IF(OR(D2965="",E2965=""),"",E2965*(1+D2965/30))</f>
        <v/>
      </c>
      <c r="J2965">
        <f>IF(I2965="","",IF(I2965&gt;=MAXIFS($I$2:$I$5001,$B$2:$B$5001,B2965,$A$2:$A$5001,"&lt;="&amp;A2965),"PR",""))</f>
        <v/>
      </c>
    </row>
    <row r="2966">
      <c r="A2966" s="7" t="n"/>
      <c r="H2966" s="11">
        <f>IF(OR(D2966="",E2966=""),"",D2966*E2966)</f>
        <v/>
      </c>
      <c r="I2966" s="8">
        <f>IF(OR(D2966="",E2966=""),"",E2966*(1+D2966/30))</f>
        <v/>
      </c>
      <c r="J2966">
        <f>IF(I2966="","",IF(I2966&gt;=MAXIFS($I$2:$I$5001,$B$2:$B$5001,B2966,$A$2:$A$5001,"&lt;="&amp;A2966),"PR",""))</f>
        <v/>
      </c>
    </row>
    <row r="2967">
      <c r="A2967" s="7" t="n"/>
      <c r="H2967" s="11">
        <f>IF(OR(D2967="",E2967=""),"",D2967*E2967)</f>
        <v/>
      </c>
      <c r="I2967" s="8">
        <f>IF(OR(D2967="",E2967=""),"",E2967*(1+D2967/30))</f>
        <v/>
      </c>
      <c r="J2967">
        <f>IF(I2967="","",IF(I2967&gt;=MAXIFS($I$2:$I$5001,$B$2:$B$5001,B2967,$A$2:$A$5001,"&lt;="&amp;A2967),"PR",""))</f>
        <v/>
      </c>
    </row>
    <row r="2968">
      <c r="A2968" s="7" t="n"/>
      <c r="H2968" s="11">
        <f>IF(OR(D2968="",E2968=""),"",D2968*E2968)</f>
        <v/>
      </c>
      <c r="I2968" s="8">
        <f>IF(OR(D2968="",E2968=""),"",E2968*(1+D2968/30))</f>
        <v/>
      </c>
      <c r="J2968">
        <f>IF(I2968="","",IF(I2968&gt;=MAXIFS($I$2:$I$5001,$B$2:$B$5001,B2968,$A$2:$A$5001,"&lt;="&amp;A2968),"PR",""))</f>
        <v/>
      </c>
    </row>
    <row r="2969">
      <c r="A2969" s="7" t="n"/>
      <c r="H2969" s="11">
        <f>IF(OR(D2969="",E2969=""),"",D2969*E2969)</f>
        <v/>
      </c>
      <c r="I2969" s="8">
        <f>IF(OR(D2969="",E2969=""),"",E2969*(1+D2969/30))</f>
        <v/>
      </c>
      <c r="J2969">
        <f>IF(I2969="","",IF(I2969&gt;=MAXIFS($I$2:$I$5001,$B$2:$B$5001,B2969,$A$2:$A$5001,"&lt;="&amp;A2969),"PR",""))</f>
        <v/>
      </c>
    </row>
    <row r="2970">
      <c r="A2970" s="7" t="n"/>
      <c r="H2970" s="11">
        <f>IF(OR(D2970="",E2970=""),"",D2970*E2970)</f>
        <v/>
      </c>
      <c r="I2970" s="8">
        <f>IF(OR(D2970="",E2970=""),"",E2970*(1+D2970/30))</f>
        <v/>
      </c>
      <c r="J2970">
        <f>IF(I2970="","",IF(I2970&gt;=MAXIFS($I$2:$I$5001,$B$2:$B$5001,B2970,$A$2:$A$5001,"&lt;="&amp;A2970),"PR",""))</f>
        <v/>
      </c>
    </row>
    <row r="2971">
      <c r="A2971" s="7" t="n"/>
      <c r="H2971" s="11">
        <f>IF(OR(D2971="",E2971=""),"",D2971*E2971)</f>
        <v/>
      </c>
      <c r="I2971" s="8">
        <f>IF(OR(D2971="",E2971=""),"",E2971*(1+D2971/30))</f>
        <v/>
      </c>
      <c r="J2971">
        <f>IF(I2971="","",IF(I2971&gt;=MAXIFS($I$2:$I$5001,$B$2:$B$5001,B2971,$A$2:$A$5001,"&lt;="&amp;A2971),"PR",""))</f>
        <v/>
      </c>
    </row>
    <row r="2972">
      <c r="A2972" s="7" t="n"/>
      <c r="H2972" s="11">
        <f>IF(OR(D2972="",E2972=""),"",D2972*E2972)</f>
        <v/>
      </c>
      <c r="I2972" s="8">
        <f>IF(OR(D2972="",E2972=""),"",E2972*(1+D2972/30))</f>
        <v/>
      </c>
      <c r="J2972">
        <f>IF(I2972="","",IF(I2972&gt;=MAXIFS($I$2:$I$5001,$B$2:$B$5001,B2972,$A$2:$A$5001,"&lt;="&amp;A2972),"PR",""))</f>
        <v/>
      </c>
    </row>
    <row r="2973">
      <c r="A2973" s="7" t="n"/>
      <c r="H2973" s="11">
        <f>IF(OR(D2973="",E2973=""),"",D2973*E2973)</f>
        <v/>
      </c>
      <c r="I2973" s="8">
        <f>IF(OR(D2973="",E2973=""),"",E2973*(1+D2973/30))</f>
        <v/>
      </c>
      <c r="J2973">
        <f>IF(I2973="","",IF(I2973&gt;=MAXIFS($I$2:$I$5001,$B$2:$B$5001,B2973,$A$2:$A$5001,"&lt;="&amp;A2973),"PR",""))</f>
        <v/>
      </c>
    </row>
    <row r="2974">
      <c r="A2974" s="7" t="n"/>
      <c r="H2974" s="11">
        <f>IF(OR(D2974="",E2974=""),"",D2974*E2974)</f>
        <v/>
      </c>
      <c r="I2974" s="8">
        <f>IF(OR(D2974="",E2974=""),"",E2974*(1+D2974/30))</f>
        <v/>
      </c>
      <c r="J2974">
        <f>IF(I2974="","",IF(I2974&gt;=MAXIFS($I$2:$I$5001,$B$2:$B$5001,B2974,$A$2:$A$5001,"&lt;="&amp;A2974),"PR",""))</f>
        <v/>
      </c>
    </row>
    <row r="2975">
      <c r="A2975" s="7" t="n"/>
      <c r="H2975" s="11">
        <f>IF(OR(D2975="",E2975=""),"",D2975*E2975)</f>
        <v/>
      </c>
      <c r="I2975" s="8">
        <f>IF(OR(D2975="",E2975=""),"",E2975*(1+D2975/30))</f>
        <v/>
      </c>
      <c r="J2975">
        <f>IF(I2975="","",IF(I2975&gt;=MAXIFS($I$2:$I$5001,$B$2:$B$5001,B2975,$A$2:$A$5001,"&lt;="&amp;A2975),"PR",""))</f>
        <v/>
      </c>
    </row>
    <row r="2976">
      <c r="A2976" s="7" t="n"/>
      <c r="H2976" s="11">
        <f>IF(OR(D2976="",E2976=""),"",D2976*E2976)</f>
        <v/>
      </c>
      <c r="I2976" s="8">
        <f>IF(OR(D2976="",E2976=""),"",E2976*(1+D2976/30))</f>
        <v/>
      </c>
      <c r="J2976">
        <f>IF(I2976="","",IF(I2976&gt;=MAXIFS($I$2:$I$5001,$B$2:$B$5001,B2976,$A$2:$A$5001,"&lt;="&amp;A2976),"PR",""))</f>
        <v/>
      </c>
    </row>
    <row r="2977">
      <c r="A2977" s="7" t="n"/>
      <c r="H2977" s="11">
        <f>IF(OR(D2977="",E2977=""),"",D2977*E2977)</f>
        <v/>
      </c>
      <c r="I2977" s="8">
        <f>IF(OR(D2977="",E2977=""),"",E2977*(1+D2977/30))</f>
        <v/>
      </c>
      <c r="J2977">
        <f>IF(I2977="","",IF(I2977&gt;=MAXIFS($I$2:$I$5001,$B$2:$B$5001,B2977,$A$2:$A$5001,"&lt;="&amp;A2977),"PR",""))</f>
        <v/>
      </c>
    </row>
    <row r="2978">
      <c r="A2978" s="7" t="n"/>
      <c r="H2978" s="11">
        <f>IF(OR(D2978="",E2978=""),"",D2978*E2978)</f>
        <v/>
      </c>
      <c r="I2978" s="8">
        <f>IF(OR(D2978="",E2978=""),"",E2978*(1+D2978/30))</f>
        <v/>
      </c>
      <c r="J2978">
        <f>IF(I2978="","",IF(I2978&gt;=MAXIFS($I$2:$I$5001,$B$2:$B$5001,B2978,$A$2:$A$5001,"&lt;="&amp;A2978),"PR",""))</f>
        <v/>
      </c>
    </row>
    <row r="2979">
      <c r="A2979" s="7" t="n"/>
      <c r="H2979" s="11">
        <f>IF(OR(D2979="",E2979=""),"",D2979*E2979)</f>
        <v/>
      </c>
      <c r="I2979" s="8">
        <f>IF(OR(D2979="",E2979=""),"",E2979*(1+D2979/30))</f>
        <v/>
      </c>
      <c r="J2979">
        <f>IF(I2979="","",IF(I2979&gt;=MAXIFS($I$2:$I$5001,$B$2:$B$5001,B2979,$A$2:$A$5001,"&lt;="&amp;A2979),"PR",""))</f>
        <v/>
      </c>
    </row>
    <row r="2980">
      <c r="A2980" s="7" t="n"/>
      <c r="H2980" s="11">
        <f>IF(OR(D2980="",E2980=""),"",D2980*E2980)</f>
        <v/>
      </c>
      <c r="I2980" s="8">
        <f>IF(OR(D2980="",E2980=""),"",E2980*(1+D2980/30))</f>
        <v/>
      </c>
      <c r="J2980">
        <f>IF(I2980="","",IF(I2980&gt;=MAXIFS($I$2:$I$5001,$B$2:$B$5001,B2980,$A$2:$A$5001,"&lt;="&amp;A2980),"PR",""))</f>
        <v/>
      </c>
    </row>
    <row r="2981">
      <c r="A2981" s="7" t="n"/>
      <c r="H2981" s="11">
        <f>IF(OR(D2981="",E2981=""),"",D2981*E2981)</f>
        <v/>
      </c>
      <c r="I2981" s="8">
        <f>IF(OR(D2981="",E2981=""),"",E2981*(1+D2981/30))</f>
        <v/>
      </c>
      <c r="J2981">
        <f>IF(I2981="","",IF(I2981&gt;=MAXIFS($I$2:$I$5001,$B$2:$B$5001,B2981,$A$2:$A$5001,"&lt;="&amp;A2981),"PR",""))</f>
        <v/>
      </c>
    </row>
    <row r="2982">
      <c r="A2982" s="7" t="n"/>
      <c r="H2982" s="11">
        <f>IF(OR(D2982="",E2982=""),"",D2982*E2982)</f>
        <v/>
      </c>
      <c r="I2982" s="8">
        <f>IF(OR(D2982="",E2982=""),"",E2982*(1+D2982/30))</f>
        <v/>
      </c>
      <c r="J2982">
        <f>IF(I2982="","",IF(I2982&gt;=MAXIFS($I$2:$I$5001,$B$2:$B$5001,B2982,$A$2:$A$5001,"&lt;="&amp;A2982),"PR",""))</f>
        <v/>
      </c>
    </row>
    <row r="2983">
      <c r="A2983" s="7" t="n"/>
      <c r="H2983" s="11">
        <f>IF(OR(D2983="",E2983=""),"",D2983*E2983)</f>
        <v/>
      </c>
      <c r="I2983" s="8">
        <f>IF(OR(D2983="",E2983=""),"",E2983*(1+D2983/30))</f>
        <v/>
      </c>
      <c r="J2983">
        <f>IF(I2983="","",IF(I2983&gt;=MAXIFS($I$2:$I$5001,$B$2:$B$5001,B2983,$A$2:$A$5001,"&lt;="&amp;A2983),"PR",""))</f>
        <v/>
      </c>
    </row>
    <row r="2984">
      <c r="A2984" s="7" t="n"/>
      <c r="H2984" s="11">
        <f>IF(OR(D2984="",E2984=""),"",D2984*E2984)</f>
        <v/>
      </c>
      <c r="I2984" s="8">
        <f>IF(OR(D2984="",E2984=""),"",E2984*(1+D2984/30))</f>
        <v/>
      </c>
      <c r="J2984">
        <f>IF(I2984="","",IF(I2984&gt;=MAXIFS($I$2:$I$5001,$B$2:$B$5001,B2984,$A$2:$A$5001,"&lt;="&amp;A2984),"PR",""))</f>
        <v/>
      </c>
    </row>
    <row r="2985">
      <c r="A2985" s="7" t="n"/>
      <c r="H2985" s="11">
        <f>IF(OR(D2985="",E2985=""),"",D2985*E2985)</f>
        <v/>
      </c>
      <c r="I2985" s="8">
        <f>IF(OR(D2985="",E2985=""),"",E2985*(1+D2985/30))</f>
        <v/>
      </c>
      <c r="J2985">
        <f>IF(I2985="","",IF(I2985&gt;=MAXIFS($I$2:$I$5001,$B$2:$B$5001,B2985,$A$2:$A$5001,"&lt;="&amp;A2985),"PR",""))</f>
        <v/>
      </c>
    </row>
    <row r="2986">
      <c r="A2986" s="7" t="n"/>
      <c r="H2986" s="11">
        <f>IF(OR(D2986="",E2986=""),"",D2986*E2986)</f>
        <v/>
      </c>
      <c r="I2986" s="8">
        <f>IF(OR(D2986="",E2986=""),"",E2986*(1+D2986/30))</f>
        <v/>
      </c>
      <c r="J2986">
        <f>IF(I2986="","",IF(I2986&gt;=MAXIFS($I$2:$I$5001,$B$2:$B$5001,B2986,$A$2:$A$5001,"&lt;="&amp;A2986),"PR",""))</f>
        <v/>
      </c>
    </row>
    <row r="2987">
      <c r="A2987" s="7" t="n"/>
      <c r="H2987" s="11">
        <f>IF(OR(D2987="",E2987=""),"",D2987*E2987)</f>
        <v/>
      </c>
      <c r="I2987" s="8">
        <f>IF(OR(D2987="",E2987=""),"",E2987*(1+D2987/30))</f>
        <v/>
      </c>
      <c r="J2987">
        <f>IF(I2987="","",IF(I2987&gt;=MAXIFS($I$2:$I$5001,$B$2:$B$5001,B2987,$A$2:$A$5001,"&lt;="&amp;A2987),"PR",""))</f>
        <v/>
      </c>
    </row>
    <row r="2988">
      <c r="A2988" s="7" t="n"/>
      <c r="H2988" s="11">
        <f>IF(OR(D2988="",E2988=""),"",D2988*E2988)</f>
        <v/>
      </c>
      <c r="I2988" s="8">
        <f>IF(OR(D2988="",E2988=""),"",E2988*(1+D2988/30))</f>
        <v/>
      </c>
      <c r="J2988">
        <f>IF(I2988="","",IF(I2988&gt;=MAXIFS($I$2:$I$5001,$B$2:$B$5001,B2988,$A$2:$A$5001,"&lt;="&amp;A2988),"PR",""))</f>
        <v/>
      </c>
    </row>
    <row r="2989">
      <c r="A2989" s="7" t="n"/>
      <c r="H2989" s="11">
        <f>IF(OR(D2989="",E2989=""),"",D2989*E2989)</f>
        <v/>
      </c>
      <c r="I2989" s="8">
        <f>IF(OR(D2989="",E2989=""),"",E2989*(1+D2989/30))</f>
        <v/>
      </c>
      <c r="J2989">
        <f>IF(I2989="","",IF(I2989&gt;=MAXIFS($I$2:$I$5001,$B$2:$B$5001,B2989,$A$2:$A$5001,"&lt;="&amp;A2989),"PR",""))</f>
        <v/>
      </c>
    </row>
    <row r="2990">
      <c r="A2990" s="7" t="n"/>
      <c r="H2990" s="11">
        <f>IF(OR(D2990="",E2990=""),"",D2990*E2990)</f>
        <v/>
      </c>
      <c r="I2990" s="8">
        <f>IF(OR(D2990="",E2990=""),"",E2990*(1+D2990/30))</f>
        <v/>
      </c>
      <c r="J2990">
        <f>IF(I2990="","",IF(I2990&gt;=MAXIFS($I$2:$I$5001,$B$2:$B$5001,B2990,$A$2:$A$5001,"&lt;="&amp;A2990),"PR",""))</f>
        <v/>
      </c>
    </row>
    <row r="2991">
      <c r="A2991" s="7" t="n"/>
      <c r="H2991" s="11">
        <f>IF(OR(D2991="",E2991=""),"",D2991*E2991)</f>
        <v/>
      </c>
      <c r="I2991" s="8">
        <f>IF(OR(D2991="",E2991=""),"",E2991*(1+D2991/30))</f>
        <v/>
      </c>
      <c r="J2991">
        <f>IF(I2991="","",IF(I2991&gt;=MAXIFS($I$2:$I$5001,$B$2:$B$5001,B2991,$A$2:$A$5001,"&lt;="&amp;A2991),"PR",""))</f>
        <v/>
      </c>
    </row>
    <row r="2992">
      <c r="A2992" s="7" t="n"/>
      <c r="H2992" s="11">
        <f>IF(OR(D2992="",E2992=""),"",D2992*E2992)</f>
        <v/>
      </c>
      <c r="I2992" s="8">
        <f>IF(OR(D2992="",E2992=""),"",E2992*(1+D2992/30))</f>
        <v/>
      </c>
      <c r="J2992">
        <f>IF(I2992="","",IF(I2992&gt;=MAXIFS($I$2:$I$5001,$B$2:$B$5001,B2992,$A$2:$A$5001,"&lt;="&amp;A2992),"PR",""))</f>
        <v/>
      </c>
    </row>
    <row r="2993">
      <c r="A2993" s="7" t="n"/>
      <c r="H2993" s="11">
        <f>IF(OR(D2993="",E2993=""),"",D2993*E2993)</f>
        <v/>
      </c>
      <c r="I2993" s="8">
        <f>IF(OR(D2993="",E2993=""),"",E2993*(1+D2993/30))</f>
        <v/>
      </c>
      <c r="J2993">
        <f>IF(I2993="","",IF(I2993&gt;=MAXIFS($I$2:$I$5001,$B$2:$B$5001,B2993,$A$2:$A$5001,"&lt;="&amp;A2993),"PR",""))</f>
        <v/>
      </c>
    </row>
    <row r="2994">
      <c r="A2994" s="7" t="n"/>
      <c r="H2994" s="11">
        <f>IF(OR(D2994="",E2994=""),"",D2994*E2994)</f>
        <v/>
      </c>
      <c r="I2994" s="8">
        <f>IF(OR(D2994="",E2994=""),"",E2994*(1+D2994/30))</f>
        <v/>
      </c>
      <c r="J2994">
        <f>IF(I2994="","",IF(I2994&gt;=MAXIFS($I$2:$I$5001,$B$2:$B$5001,B2994,$A$2:$A$5001,"&lt;="&amp;A2994),"PR",""))</f>
        <v/>
      </c>
    </row>
    <row r="2995">
      <c r="A2995" s="7" t="n"/>
      <c r="H2995" s="11">
        <f>IF(OR(D2995="",E2995=""),"",D2995*E2995)</f>
        <v/>
      </c>
      <c r="I2995" s="8">
        <f>IF(OR(D2995="",E2995=""),"",E2995*(1+D2995/30))</f>
        <v/>
      </c>
      <c r="J2995">
        <f>IF(I2995="","",IF(I2995&gt;=MAXIFS($I$2:$I$5001,$B$2:$B$5001,B2995,$A$2:$A$5001,"&lt;="&amp;A2995),"PR",""))</f>
        <v/>
      </c>
    </row>
    <row r="2996">
      <c r="A2996" s="7" t="n"/>
      <c r="H2996" s="11">
        <f>IF(OR(D2996="",E2996=""),"",D2996*E2996)</f>
        <v/>
      </c>
      <c r="I2996" s="8">
        <f>IF(OR(D2996="",E2996=""),"",E2996*(1+D2996/30))</f>
        <v/>
      </c>
      <c r="J2996">
        <f>IF(I2996="","",IF(I2996&gt;=MAXIFS($I$2:$I$5001,$B$2:$B$5001,B2996,$A$2:$A$5001,"&lt;="&amp;A2996),"PR",""))</f>
        <v/>
      </c>
    </row>
    <row r="2997">
      <c r="A2997" s="7" t="n"/>
      <c r="H2997" s="11">
        <f>IF(OR(D2997="",E2997=""),"",D2997*E2997)</f>
        <v/>
      </c>
      <c r="I2997" s="8">
        <f>IF(OR(D2997="",E2997=""),"",E2997*(1+D2997/30))</f>
        <v/>
      </c>
      <c r="J2997">
        <f>IF(I2997="","",IF(I2997&gt;=MAXIFS($I$2:$I$5001,$B$2:$B$5001,B2997,$A$2:$A$5001,"&lt;="&amp;A2997),"PR",""))</f>
        <v/>
      </c>
    </row>
    <row r="2998">
      <c r="A2998" s="7" t="n"/>
      <c r="H2998" s="11">
        <f>IF(OR(D2998="",E2998=""),"",D2998*E2998)</f>
        <v/>
      </c>
      <c r="I2998" s="8">
        <f>IF(OR(D2998="",E2998=""),"",E2998*(1+D2998/30))</f>
        <v/>
      </c>
      <c r="J2998">
        <f>IF(I2998="","",IF(I2998&gt;=MAXIFS($I$2:$I$5001,$B$2:$B$5001,B2998,$A$2:$A$5001,"&lt;="&amp;A2998),"PR",""))</f>
        <v/>
      </c>
    </row>
    <row r="2999">
      <c r="A2999" s="7" t="n"/>
      <c r="H2999" s="11">
        <f>IF(OR(D2999="",E2999=""),"",D2999*E2999)</f>
        <v/>
      </c>
      <c r="I2999" s="8">
        <f>IF(OR(D2999="",E2999=""),"",E2999*(1+D2999/30))</f>
        <v/>
      </c>
      <c r="J2999">
        <f>IF(I2999="","",IF(I2999&gt;=MAXIFS($I$2:$I$5001,$B$2:$B$5001,B2999,$A$2:$A$5001,"&lt;="&amp;A2999),"PR",""))</f>
        <v/>
      </c>
    </row>
    <row r="3000">
      <c r="A3000" s="7" t="n"/>
      <c r="H3000" s="11">
        <f>IF(OR(D3000="",E3000=""),"",D3000*E3000)</f>
        <v/>
      </c>
      <c r="I3000" s="8">
        <f>IF(OR(D3000="",E3000=""),"",E3000*(1+D3000/30))</f>
        <v/>
      </c>
      <c r="J3000">
        <f>IF(I3000="","",IF(I3000&gt;=MAXIFS($I$2:$I$5001,$B$2:$B$5001,B3000,$A$2:$A$5001,"&lt;="&amp;A3000),"PR",""))</f>
        <v/>
      </c>
    </row>
    <row r="3001">
      <c r="A3001" s="7" t="n"/>
      <c r="H3001" s="11">
        <f>IF(OR(D3001="",E3001=""),"",D3001*E3001)</f>
        <v/>
      </c>
      <c r="I3001" s="8">
        <f>IF(OR(D3001="",E3001=""),"",E3001*(1+D3001/30))</f>
        <v/>
      </c>
      <c r="J3001">
        <f>IF(I3001="","",IF(I3001&gt;=MAXIFS($I$2:$I$5001,$B$2:$B$5001,B3001,$A$2:$A$5001,"&lt;="&amp;A3001),"PR",""))</f>
        <v/>
      </c>
    </row>
    <row r="3002">
      <c r="A3002" s="7" t="n"/>
      <c r="H3002" s="11">
        <f>IF(OR(D3002="",E3002=""),"",D3002*E3002)</f>
        <v/>
      </c>
      <c r="I3002" s="8">
        <f>IF(OR(D3002="",E3002=""),"",E3002*(1+D3002/30))</f>
        <v/>
      </c>
      <c r="J3002">
        <f>IF(I3002="","",IF(I3002&gt;=MAXIFS($I$2:$I$5001,$B$2:$B$5001,B3002,$A$2:$A$5001,"&lt;="&amp;A3002),"PR",""))</f>
        <v/>
      </c>
    </row>
    <row r="3003">
      <c r="A3003" s="7" t="n"/>
      <c r="H3003" s="11">
        <f>IF(OR(D3003="",E3003=""),"",D3003*E3003)</f>
        <v/>
      </c>
      <c r="I3003" s="8">
        <f>IF(OR(D3003="",E3003=""),"",E3003*(1+D3003/30))</f>
        <v/>
      </c>
      <c r="J3003">
        <f>IF(I3003="","",IF(I3003&gt;=MAXIFS($I$2:$I$5001,$B$2:$B$5001,B3003,$A$2:$A$5001,"&lt;="&amp;A3003),"PR",""))</f>
        <v/>
      </c>
    </row>
    <row r="3004">
      <c r="A3004" s="7" t="n"/>
      <c r="H3004" s="11">
        <f>IF(OR(D3004="",E3004=""),"",D3004*E3004)</f>
        <v/>
      </c>
      <c r="I3004" s="8">
        <f>IF(OR(D3004="",E3004=""),"",E3004*(1+D3004/30))</f>
        <v/>
      </c>
      <c r="J3004">
        <f>IF(I3004="","",IF(I3004&gt;=MAXIFS($I$2:$I$5001,$B$2:$B$5001,B3004,$A$2:$A$5001,"&lt;="&amp;A3004),"PR",""))</f>
        <v/>
      </c>
    </row>
    <row r="3005">
      <c r="A3005" s="7" t="n"/>
      <c r="H3005" s="11">
        <f>IF(OR(D3005="",E3005=""),"",D3005*E3005)</f>
        <v/>
      </c>
      <c r="I3005" s="8">
        <f>IF(OR(D3005="",E3005=""),"",E3005*(1+D3005/30))</f>
        <v/>
      </c>
      <c r="J3005">
        <f>IF(I3005="","",IF(I3005&gt;=MAXIFS($I$2:$I$5001,$B$2:$B$5001,B3005,$A$2:$A$5001,"&lt;="&amp;A3005),"PR",""))</f>
        <v/>
      </c>
    </row>
    <row r="3006">
      <c r="A3006" s="7" t="n"/>
      <c r="H3006" s="11">
        <f>IF(OR(D3006="",E3006=""),"",D3006*E3006)</f>
        <v/>
      </c>
      <c r="I3006" s="8">
        <f>IF(OR(D3006="",E3006=""),"",E3006*(1+D3006/30))</f>
        <v/>
      </c>
      <c r="J3006">
        <f>IF(I3006="","",IF(I3006&gt;=MAXIFS($I$2:$I$5001,$B$2:$B$5001,B3006,$A$2:$A$5001,"&lt;="&amp;A3006),"PR",""))</f>
        <v/>
      </c>
    </row>
    <row r="3007">
      <c r="A3007" s="7" t="n"/>
      <c r="H3007" s="11">
        <f>IF(OR(D3007="",E3007=""),"",D3007*E3007)</f>
        <v/>
      </c>
      <c r="I3007" s="8">
        <f>IF(OR(D3007="",E3007=""),"",E3007*(1+D3007/30))</f>
        <v/>
      </c>
      <c r="J3007">
        <f>IF(I3007="","",IF(I3007&gt;=MAXIFS($I$2:$I$5001,$B$2:$B$5001,B3007,$A$2:$A$5001,"&lt;="&amp;A3007),"PR",""))</f>
        <v/>
      </c>
    </row>
    <row r="3008">
      <c r="A3008" s="7" t="n"/>
      <c r="H3008" s="11">
        <f>IF(OR(D3008="",E3008=""),"",D3008*E3008)</f>
        <v/>
      </c>
      <c r="I3008" s="8">
        <f>IF(OR(D3008="",E3008=""),"",E3008*(1+D3008/30))</f>
        <v/>
      </c>
      <c r="J3008">
        <f>IF(I3008="","",IF(I3008&gt;=MAXIFS($I$2:$I$5001,$B$2:$B$5001,B3008,$A$2:$A$5001,"&lt;="&amp;A3008),"PR",""))</f>
        <v/>
      </c>
    </row>
    <row r="3009">
      <c r="A3009" s="7" t="n"/>
      <c r="H3009" s="11">
        <f>IF(OR(D3009="",E3009=""),"",D3009*E3009)</f>
        <v/>
      </c>
      <c r="I3009" s="8">
        <f>IF(OR(D3009="",E3009=""),"",E3009*(1+D3009/30))</f>
        <v/>
      </c>
      <c r="J3009">
        <f>IF(I3009="","",IF(I3009&gt;=MAXIFS($I$2:$I$5001,$B$2:$B$5001,B3009,$A$2:$A$5001,"&lt;="&amp;A3009),"PR",""))</f>
        <v/>
      </c>
    </row>
    <row r="3010">
      <c r="A3010" s="7" t="n"/>
      <c r="H3010" s="11">
        <f>IF(OR(D3010="",E3010=""),"",D3010*E3010)</f>
        <v/>
      </c>
      <c r="I3010" s="8">
        <f>IF(OR(D3010="",E3010=""),"",E3010*(1+D3010/30))</f>
        <v/>
      </c>
      <c r="J3010">
        <f>IF(I3010="","",IF(I3010&gt;=MAXIFS($I$2:$I$5001,$B$2:$B$5001,B3010,$A$2:$A$5001,"&lt;="&amp;A3010),"PR",""))</f>
        <v/>
      </c>
    </row>
    <row r="3011">
      <c r="A3011" s="7" t="n"/>
      <c r="H3011" s="11">
        <f>IF(OR(D3011="",E3011=""),"",D3011*E3011)</f>
        <v/>
      </c>
      <c r="I3011" s="8">
        <f>IF(OR(D3011="",E3011=""),"",E3011*(1+D3011/30))</f>
        <v/>
      </c>
      <c r="J3011">
        <f>IF(I3011="","",IF(I3011&gt;=MAXIFS($I$2:$I$5001,$B$2:$B$5001,B3011,$A$2:$A$5001,"&lt;="&amp;A3011),"PR",""))</f>
        <v/>
      </c>
    </row>
    <row r="3012">
      <c r="A3012" s="7" t="n"/>
      <c r="H3012" s="11">
        <f>IF(OR(D3012="",E3012=""),"",D3012*E3012)</f>
        <v/>
      </c>
      <c r="I3012" s="8">
        <f>IF(OR(D3012="",E3012=""),"",E3012*(1+D3012/30))</f>
        <v/>
      </c>
      <c r="J3012">
        <f>IF(I3012="","",IF(I3012&gt;=MAXIFS($I$2:$I$5001,$B$2:$B$5001,B3012,$A$2:$A$5001,"&lt;="&amp;A3012),"PR",""))</f>
        <v/>
      </c>
    </row>
    <row r="3013">
      <c r="A3013" s="7" t="n"/>
      <c r="H3013" s="11">
        <f>IF(OR(D3013="",E3013=""),"",D3013*E3013)</f>
        <v/>
      </c>
      <c r="I3013" s="8">
        <f>IF(OR(D3013="",E3013=""),"",E3013*(1+D3013/30))</f>
        <v/>
      </c>
      <c r="J3013">
        <f>IF(I3013="","",IF(I3013&gt;=MAXIFS($I$2:$I$5001,$B$2:$B$5001,B3013,$A$2:$A$5001,"&lt;="&amp;A3013),"PR",""))</f>
        <v/>
      </c>
    </row>
    <row r="3014">
      <c r="A3014" s="7" t="n"/>
      <c r="H3014" s="11">
        <f>IF(OR(D3014="",E3014=""),"",D3014*E3014)</f>
        <v/>
      </c>
      <c r="I3014" s="8">
        <f>IF(OR(D3014="",E3014=""),"",E3014*(1+D3014/30))</f>
        <v/>
      </c>
      <c r="J3014">
        <f>IF(I3014="","",IF(I3014&gt;=MAXIFS($I$2:$I$5001,$B$2:$B$5001,B3014,$A$2:$A$5001,"&lt;="&amp;A3014),"PR",""))</f>
        <v/>
      </c>
    </row>
    <row r="3015">
      <c r="A3015" s="7" t="n"/>
      <c r="H3015" s="11">
        <f>IF(OR(D3015="",E3015=""),"",D3015*E3015)</f>
        <v/>
      </c>
      <c r="I3015" s="8">
        <f>IF(OR(D3015="",E3015=""),"",E3015*(1+D3015/30))</f>
        <v/>
      </c>
      <c r="J3015">
        <f>IF(I3015="","",IF(I3015&gt;=MAXIFS($I$2:$I$5001,$B$2:$B$5001,B3015,$A$2:$A$5001,"&lt;="&amp;A3015),"PR",""))</f>
        <v/>
      </c>
    </row>
    <row r="3016">
      <c r="A3016" s="7" t="n"/>
      <c r="H3016" s="11">
        <f>IF(OR(D3016="",E3016=""),"",D3016*E3016)</f>
        <v/>
      </c>
      <c r="I3016" s="8">
        <f>IF(OR(D3016="",E3016=""),"",E3016*(1+D3016/30))</f>
        <v/>
      </c>
      <c r="J3016">
        <f>IF(I3016="","",IF(I3016&gt;=MAXIFS($I$2:$I$5001,$B$2:$B$5001,B3016,$A$2:$A$5001,"&lt;="&amp;A3016),"PR",""))</f>
        <v/>
      </c>
    </row>
    <row r="3017">
      <c r="A3017" s="7" t="n"/>
      <c r="H3017" s="11">
        <f>IF(OR(D3017="",E3017=""),"",D3017*E3017)</f>
        <v/>
      </c>
      <c r="I3017" s="8">
        <f>IF(OR(D3017="",E3017=""),"",E3017*(1+D3017/30))</f>
        <v/>
      </c>
      <c r="J3017">
        <f>IF(I3017="","",IF(I3017&gt;=MAXIFS($I$2:$I$5001,$B$2:$B$5001,B3017,$A$2:$A$5001,"&lt;="&amp;A3017),"PR",""))</f>
        <v/>
      </c>
    </row>
    <row r="3018">
      <c r="A3018" s="7" t="n"/>
      <c r="H3018" s="11">
        <f>IF(OR(D3018="",E3018=""),"",D3018*E3018)</f>
        <v/>
      </c>
      <c r="I3018" s="8">
        <f>IF(OR(D3018="",E3018=""),"",E3018*(1+D3018/30))</f>
        <v/>
      </c>
      <c r="J3018">
        <f>IF(I3018="","",IF(I3018&gt;=MAXIFS($I$2:$I$5001,$B$2:$B$5001,B3018,$A$2:$A$5001,"&lt;="&amp;A3018),"PR",""))</f>
        <v/>
      </c>
    </row>
    <row r="3019">
      <c r="A3019" s="7" t="n"/>
      <c r="H3019" s="11">
        <f>IF(OR(D3019="",E3019=""),"",D3019*E3019)</f>
        <v/>
      </c>
      <c r="I3019" s="8">
        <f>IF(OR(D3019="",E3019=""),"",E3019*(1+D3019/30))</f>
        <v/>
      </c>
      <c r="J3019">
        <f>IF(I3019="","",IF(I3019&gt;=MAXIFS($I$2:$I$5001,$B$2:$B$5001,B3019,$A$2:$A$5001,"&lt;="&amp;A3019),"PR",""))</f>
        <v/>
      </c>
    </row>
    <row r="3020">
      <c r="A3020" s="7" t="n"/>
      <c r="H3020" s="11">
        <f>IF(OR(D3020="",E3020=""),"",D3020*E3020)</f>
        <v/>
      </c>
      <c r="I3020" s="8">
        <f>IF(OR(D3020="",E3020=""),"",E3020*(1+D3020/30))</f>
        <v/>
      </c>
      <c r="J3020">
        <f>IF(I3020="","",IF(I3020&gt;=MAXIFS($I$2:$I$5001,$B$2:$B$5001,B3020,$A$2:$A$5001,"&lt;="&amp;A3020),"PR",""))</f>
        <v/>
      </c>
    </row>
    <row r="3021">
      <c r="A3021" s="7" t="n"/>
      <c r="H3021" s="11">
        <f>IF(OR(D3021="",E3021=""),"",D3021*E3021)</f>
        <v/>
      </c>
      <c r="I3021" s="8">
        <f>IF(OR(D3021="",E3021=""),"",E3021*(1+D3021/30))</f>
        <v/>
      </c>
      <c r="J3021">
        <f>IF(I3021="","",IF(I3021&gt;=MAXIFS($I$2:$I$5001,$B$2:$B$5001,B3021,$A$2:$A$5001,"&lt;="&amp;A3021),"PR",""))</f>
        <v/>
      </c>
    </row>
    <row r="3022">
      <c r="A3022" s="7" t="n"/>
      <c r="H3022" s="11">
        <f>IF(OR(D3022="",E3022=""),"",D3022*E3022)</f>
        <v/>
      </c>
      <c r="I3022" s="8">
        <f>IF(OR(D3022="",E3022=""),"",E3022*(1+D3022/30))</f>
        <v/>
      </c>
      <c r="J3022">
        <f>IF(I3022="","",IF(I3022&gt;=MAXIFS($I$2:$I$5001,$B$2:$B$5001,B3022,$A$2:$A$5001,"&lt;="&amp;A3022),"PR",""))</f>
        <v/>
      </c>
    </row>
    <row r="3023">
      <c r="A3023" s="7" t="n"/>
      <c r="H3023" s="11">
        <f>IF(OR(D3023="",E3023=""),"",D3023*E3023)</f>
        <v/>
      </c>
      <c r="I3023" s="8">
        <f>IF(OR(D3023="",E3023=""),"",E3023*(1+D3023/30))</f>
        <v/>
      </c>
      <c r="J3023">
        <f>IF(I3023="","",IF(I3023&gt;=MAXIFS($I$2:$I$5001,$B$2:$B$5001,B3023,$A$2:$A$5001,"&lt;="&amp;A3023),"PR",""))</f>
        <v/>
      </c>
    </row>
    <row r="3024">
      <c r="A3024" s="7" t="n"/>
      <c r="H3024" s="11">
        <f>IF(OR(D3024="",E3024=""),"",D3024*E3024)</f>
        <v/>
      </c>
      <c r="I3024" s="8">
        <f>IF(OR(D3024="",E3024=""),"",E3024*(1+D3024/30))</f>
        <v/>
      </c>
      <c r="J3024">
        <f>IF(I3024="","",IF(I3024&gt;=MAXIFS($I$2:$I$5001,$B$2:$B$5001,B3024,$A$2:$A$5001,"&lt;="&amp;A3024),"PR",""))</f>
        <v/>
      </c>
    </row>
    <row r="3025">
      <c r="A3025" s="7" t="n"/>
      <c r="H3025" s="11">
        <f>IF(OR(D3025="",E3025=""),"",D3025*E3025)</f>
        <v/>
      </c>
      <c r="I3025" s="8">
        <f>IF(OR(D3025="",E3025=""),"",E3025*(1+D3025/30))</f>
        <v/>
      </c>
      <c r="J3025">
        <f>IF(I3025="","",IF(I3025&gt;=MAXIFS($I$2:$I$5001,$B$2:$B$5001,B3025,$A$2:$A$5001,"&lt;="&amp;A3025),"PR",""))</f>
        <v/>
      </c>
    </row>
    <row r="3026">
      <c r="A3026" s="7" t="n"/>
      <c r="H3026" s="11">
        <f>IF(OR(D3026="",E3026=""),"",D3026*E3026)</f>
        <v/>
      </c>
      <c r="I3026" s="8">
        <f>IF(OR(D3026="",E3026=""),"",E3026*(1+D3026/30))</f>
        <v/>
      </c>
      <c r="J3026">
        <f>IF(I3026="","",IF(I3026&gt;=MAXIFS($I$2:$I$5001,$B$2:$B$5001,B3026,$A$2:$A$5001,"&lt;="&amp;A3026),"PR",""))</f>
        <v/>
      </c>
    </row>
    <row r="3027">
      <c r="A3027" s="7" t="n"/>
      <c r="H3027" s="11">
        <f>IF(OR(D3027="",E3027=""),"",D3027*E3027)</f>
        <v/>
      </c>
      <c r="I3027" s="8">
        <f>IF(OR(D3027="",E3027=""),"",E3027*(1+D3027/30))</f>
        <v/>
      </c>
      <c r="J3027">
        <f>IF(I3027="","",IF(I3027&gt;=MAXIFS($I$2:$I$5001,$B$2:$B$5001,B3027,$A$2:$A$5001,"&lt;="&amp;A3027),"PR",""))</f>
        <v/>
      </c>
    </row>
    <row r="3028">
      <c r="A3028" s="7" t="n"/>
      <c r="H3028" s="11">
        <f>IF(OR(D3028="",E3028=""),"",D3028*E3028)</f>
        <v/>
      </c>
      <c r="I3028" s="8">
        <f>IF(OR(D3028="",E3028=""),"",E3028*(1+D3028/30))</f>
        <v/>
      </c>
      <c r="J3028">
        <f>IF(I3028="","",IF(I3028&gt;=MAXIFS($I$2:$I$5001,$B$2:$B$5001,B3028,$A$2:$A$5001,"&lt;="&amp;A3028),"PR",""))</f>
        <v/>
      </c>
    </row>
    <row r="3029">
      <c r="A3029" s="7" t="n"/>
      <c r="H3029" s="11">
        <f>IF(OR(D3029="",E3029=""),"",D3029*E3029)</f>
        <v/>
      </c>
      <c r="I3029" s="8">
        <f>IF(OR(D3029="",E3029=""),"",E3029*(1+D3029/30))</f>
        <v/>
      </c>
      <c r="J3029">
        <f>IF(I3029="","",IF(I3029&gt;=MAXIFS($I$2:$I$5001,$B$2:$B$5001,B3029,$A$2:$A$5001,"&lt;="&amp;A3029),"PR",""))</f>
        <v/>
      </c>
    </row>
    <row r="3030">
      <c r="A3030" s="7" t="n"/>
      <c r="H3030" s="11">
        <f>IF(OR(D3030="",E3030=""),"",D3030*E3030)</f>
        <v/>
      </c>
      <c r="I3030" s="8">
        <f>IF(OR(D3030="",E3030=""),"",E3030*(1+D3030/30))</f>
        <v/>
      </c>
      <c r="J3030">
        <f>IF(I3030="","",IF(I3030&gt;=MAXIFS($I$2:$I$5001,$B$2:$B$5001,B3030,$A$2:$A$5001,"&lt;="&amp;A3030),"PR",""))</f>
        <v/>
      </c>
    </row>
    <row r="3031">
      <c r="A3031" s="7" t="n"/>
      <c r="H3031" s="11">
        <f>IF(OR(D3031="",E3031=""),"",D3031*E3031)</f>
        <v/>
      </c>
      <c r="I3031" s="8">
        <f>IF(OR(D3031="",E3031=""),"",E3031*(1+D3031/30))</f>
        <v/>
      </c>
      <c r="J3031">
        <f>IF(I3031="","",IF(I3031&gt;=MAXIFS($I$2:$I$5001,$B$2:$B$5001,B3031,$A$2:$A$5001,"&lt;="&amp;A3031),"PR",""))</f>
        <v/>
      </c>
    </row>
    <row r="3032">
      <c r="A3032" s="7" t="n"/>
      <c r="H3032" s="11">
        <f>IF(OR(D3032="",E3032=""),"",D3032*E3032)</f>
        <v/>
      </c>
      <c r="I3032" s="8">
        <f>IF(OR(D3032="",E3032=""),"",E3032*(1+D3032/30))</f>
        <v/>
      </c>
      <c r="J3032">
        <f>IF(I3032="","",IF(I3032&gt;=MAXIFS($I$2:$I$5001,$B$2:$B$5001,B3032,$A$2:$A$5001,"&lt;="&amp;A3032),"PR",""))</f>
        <v/>
      </c>
    </row>
    <row r="3033">
      <c r="A3033" s="7" t="n"/>
      <c r="H3033" s="11">
        <f>IF(OR(D3033="",E3033=""),"",D3033*E3033)</f>
        <v/>
      </c>
      <c r="I3033" s="8">
        <f>IF(OR(D3033="",E3033=""),"",E3033*(1+D3033/30))</f>
        <v/>
      </c>
      <c r="J3033">
        <f>IF(I3033="","",IF(I3033&gt;=MAXIFS($I$2:$I$5001,$B$2:$B$5001,B3033,$A$2:$A$5001,"&lt;="&amp;A3033),"PR",""))</f>
        <v/>
      </c>
    </row>
    <row r="3034">
      <c r="A3034" s="7" t="n"/>
      <c r="H3034" s="11">
        <f>IF(OR(D3034="",E3034=""),"",D3034*E3034)</f>
        <v/>
      </c>
      <c r="I3034" s="8">
        <f>IF(OR(D3034="",E3034=""),"",E3034*(1+D3034/30))</f>
        <v/>
      </c>
      <c r="J3034">
        <f>IF(I3034="","",IF(I3034&gt;=MAXIFS($I$2:$I$5001,$B$2:$B$5001,B3034,$A$2:$A$5001,"&lt;="&amp;A3034),"PR",""))</f>
        <v/>
      </c>
    </row>
    <row r="3035">
      <c r="A3035" s="7" t="n"/>
      <c r="H3035" s="11">
        <f>IF(OR(D3035="",E3035=""),"",D3035*E3035)</f>
        <v/>
      </c>
      <c r="I3035" s="8">
        <f>IF(OR(D3035="",E3035=""),"",E3035*(1+D3035/30))</f>
        <v/>
      </c>
      <c r="J3035">
        <f>IF(I3035="","",IF(I3035&gt;=MAXIFS($I$2:$I$5001,$B$2:$B$5001,B3035,$A$2:$A$5001,"&lt;="&amp;A3035),"PR",""))</f>
        <v/>
      </c>
    </row>
    <row r="3036">
      <c r="A3036" s="7" t="n"/>
      <c r="H3036" s="11">
        <f>IF(OR(D3036="",E3036=""),"",D3036*E3036)</f>
        <v/>
      </c>
      <c r="I3036" s="8">
        <f>IF(OR(D3036="",E3036=""),"",E3036*(1+D3036/30))</f>
        <v/>
      </c>
      <c r="J3036">
        <f>IF(I3036="","",IF(I3036&gt;=MAXIFS($I$2:$I$5001,$B$2:$B$5001,B3036,$A$2:$A$5001,"&lt;="&amp;A3036),"PR",""))</f>
        <v/>
      </c>
    </row>
    <row r="3037">
      <c r="A3037" s="7" t="n"/>
      <c r="H3037" s="11">
        <f>IF(OR(D3037="",E3037=""),"",D3037*E3037)</f>
        <v/>
      </c>
      <c r="I3037" s="8">
        <f>IF(OR(D3037="",E3037=""),"",E3037*(1+D3037/30))</f>
        <v/>
      </c>
      <c r="J3037">
        <f>IF(I3037="","",IF(I3037&gt;=MAXIFS($I$2:$I$5001,$B$2:$B$5001,B3037,$A$2:$A$5001,"&lt;="&amp;A3037),"PR",""))</f>
        <v/>
      </c>
    </row>
    <row r="3038">
      <c r="A3038" s="7" t="n"/>
      <c r="H3038" s="11">
        <f>IF(OR(D3038="",E3038=""),"",D3038*E3038)</f>
        <v/>
      </c>
      <c r="I3038" s="8">
        <f>IF(OR(D3038="",E3038=""),"",E3038*(1+D3038/30))</f>
        <v/>
      </c>
      <c r="J3038">
        <f>IF(I3038="","",IF(I3038&gt;=MAXIFS($I$2:$I$5001,$B$2:$B$5001,B3038,$A$2:$A$5001,"&lt;="&amp;A3038),"PR",""))</f>
        <v/>
      </c>
    </row>
    <row r="3039">
      <c r="A3039" s="7" t="n"/>
      <c r="H3039" s="11">
        <f>IF(OR(D3039="",E3039=""),"",D3039*E3039)</f>
        <v/>
      </c>
      <c r="I3039" s="8">
        <f>IF(OR(D3039="",E3039=""),"",E3039*(1+D3039/30))</f>
        <v/>
      </c>
      <c r="J3039">
        <f>IF(I3039="","",IF(I3039&gt;=MAXIFS($I$2:$I$5001,$B$2:$B$5001,B3039,$A$2:$A$5001,"&lt;="&amp;A3039),"PR",""))</f>
        <v/>
      </c>
    </row>
    <row r="3040">
      <c r="A3040" s="7" t="n"/>
      <c r="H3040" s="11">
        <f>IF(OR(D3040="",E3040=""),"",D3040*E3040)</f>
        <v/>
      </c>
      <c r="I3040" s="8">
        <f>IF(OR(D3040="",E3040=""),"",E3040*(1+D3040/30))</f>
        <v/>
      </c>
      <c r="J3040">
        <f>IF(I3040="","",IF(I3040&gt;=MAXIFS($I$2:$I$5001,$B$2:$B$5001,B3040,$A$2:$A$5001,"&lt;="&amp;A3040),"PR",""))</f>
        <v/>
      </c>
    </row>
    <row r="3041">
      <c r="A3041" s="7" t="n"/>
      <c r="H3041" s="11">
        <f>IF(OR(D3041="",E3041=""),"",D3041*E3041)</f>
        <v/>
      </c>
      <c r="I3041" s="8">
        <f>IF(OR(D3041="",E3041=""),"",E3041*(1+D3041/30))</f>
        <v/>
      </c>
      <c r="J3041">
        <f>IF(I3041="","",IF(I3041&gt;=MAXIFS($I$2:$I$5001,$B$2:$B$5001,B3041,$A$2:$A$5001,"&lt;="&amp;A3041),"PR",""))</f>
        <v/>
      </c>
    </row>
    <row r="3042">
      <c r="A3042" s="7" t="n"/>
      <c r="H3042" s="11">
        <f>IF(OR(D3042="",E3042=""),"",D3042*E3042)</f>
        <v/>
      </c>
      <c r="I3042" s="8">
        <f>IF(OR(D3042="",E3042=""),"",E3042*(1+D3042/30))</f>
        <v/>
      </c>
      <c r="J3042">
        <f>IF(I3042="","",IF(I3042&gt;=MAXIFS($I$2:$I$5001,$B$2:$B$5001,B3042,$A$2:$A$5001,"&lt;="&amp;A3042),"PR",""))</f>
        <v/>
      </c>
    </row>
    <row r="3043">
      <c r="A3043" s="7" t="n"/>
      <c r="H3043" s="11">
        <f>IF(OR(D3043="",E3043=""),"",D3043*E3043)</f>
        <v/>
      </c>
      <c r="I3043" s="8">
        <f>IF(OR(D3043="",E3043=""),"",E3043*(1+D3043/30))</f>
        <v/>
      </c>
      <c r="J3043">
        <f>IF(I3043="","",IF(I3043&gt;=MAXIFS($I$2:$I$5001,$B$2:$B$5001,B3043,$A$2:$A$5001,"&lt;="&amp;A3043),"PR",""))</f>
        <v/>
      </c>
    </row>
    <row r="3044">
      <c r="A3044" s="7" t="n"/>
      <c r="H3044" s="11">
        <f>IF(OR(D3044="",E3044=""),"",D3044*E3044)</f>
        <v/>
      </c>
      <c r="I3044" s="8">
        <f>IF(OR(D3044="",E3044=""),"",E3044*(1+D3044/30))</f>
        <v/>
      </c>
      <c r="J3044">
        <f>IF(I3044="","",IF(I3044&gt;=MAXIFS($I$2:$I$5001,$B$2:$B$5001,B3044,$A$2:$A$5001,"&lt;="&amp;A3044),"PR",""))</f>
        <v/>
      </c>
    </row>
    <row r="3045">
      <c r="A3045" s="7" t="n"/>
      <c r="H3045" s="11">
        <f>IF(OR(D3045="",E3045=""),"",D3045*E3045)</f>
        <v/>
      </c>
      <c r="I3045" s="8">
        <f>IF(OR(D3045="",E3045=""),"",E3045*(1+D3045/30))</f>
        <v/>
      </c>
      <c r="J3045">
        <f>IF(I3045="","",IF(I3045&gt;=MAXIFS($I$2:$I$5001,$B$2:$B$5001,B3045,$A$2:$A$5001,"&lt;="&amp;A3045),"PR",""))</f>
        <v/>
      </c>
    </row>
    <row r="3046">
      <c r="A3046" s="7" t="n"/>
      <c r="H3046" s="11">
        <f>IF(OR(D3046="",E3046=""),"",D3046*E3046)</f>
        <v/>
      </c>
      <c r="I3046" s="8">
        <f>IF(OR(D3046="",E3046=""),"",E3046*(1+D3046/30))</f>
        <v/>
      </c>
      <c r="J3046">
        <f>IF(I3046="","",IF(I3046&gt;=MAXIFS($I$2:$I$5001,$B$2:$B$5001,B3046,$A$2:$A$5001,"&lt;="&amp;A3046),"PR",""))</f>
        <v/>
      </c>
    </row>
    <row r="3047">
      <c r="A3047" s="7" t="n"/>
      <c r="H3047" s="11">
        <f>IF(OR(D3047="",E3047=""),"",D3047*E3047)</f>
        <v/>
      </c>
      <c r="I3047" s="8">
        <f>IF(OR(D3047="",E3047=""),"",E3047*(1+D3047/30))</f>
        <v/>
      </c>
      <c r="J3047">
        <f>IF(I3047="","",IF(I3047&gt;=MAXIFS($I$2:$I$5001,$B$2:$B$5001,B3047,$A$2:$A$5001,"&lt;="&amp;A3047),"PR",""))</f>
        <v/>
      </c>
    </row>
    <row r="3048">
      <c r="A3048" s="7" t="n"/>
      <c r="H3048" s="11">
        <f>IF(OR(D3048="",E3048=""),"",D3048*E3048)</f>
        <v/>
      </c>
      <c r="I3048" s="8">
        <f>IF(OR(D3048="",E3048=""),"",E3048*(1+D3048/30))</f>
        <v/>
      </c>
      <c r="J3048">
        <f>IF(I3048="","",IF(I3048&gt;=MAXIFS($I$2:$I$5001,$B$2:$B$5001,B3048,$A$2:$A$5001,"&lt;="&amp;A3048),"PR",""))</f>
        <v/>
      </c>
    </row>
    <row r="3049">
      <c r="A3049" s="7" t="n"/>
      <c r="H3049" s="11">
        <f>IF(OR(D3049="",E3049=""),"",D3049*E3049)</f>
        <v/>
      </c>
      <c r="I3049" s="8">
        <f>IF(OR(D3049="",E3049=""),"",E3049*(1+D3049/30))</f>
        <v/>
      </c>
      <c r="J3049">
        <f>IF(I3049="","",IF(I3049&gt;=MAXIFS($I$2:$I$5001,$B$2:$B$5001,B3049,$A$2:$A$5001,"&lt;="&amp;A3049),"PR",""))</f>
        <v/>
      </c>
    </row>
    <row r="3050">
      <c r="A3050" s="7" t="n"/>
      <c r="H3050" s="11">
        <f>IF(OR(D3050="",E3050=""),"",D3050*E3050)</f>
        <v/>
      </c>
      <c r="I3050" s="8">
        <f>IF(OR(D3050="",E3050=""),"",E3050*(1+D3050/30))</f>
        <v/>
      </c>
      <c r="J3050">
        <f>IF(I3050="","",IF(I3050&gt;=MAXIFS($I$2:$I$5001,$B$2:$B$5001,B3050,$A$2:$A$5001,"&lt;="&amp;A3050),"PR",""))</f>
        <v/>
      </c>
    </row>
    <row r="3051">
      <c r="A3051" s="7" t="n"/>
      <c r="H3051" s="11">
        <f>IF(OR(D3051="",E3051=""),"",D3051*E3051)</f>
        <v/>
      </c>
      <c r="I3051" s="8">
        <f>IF(OR(D3051="",E3051=""),"",E3051*(1+D3051/30))</f>
        <v/>
      </c>
      <c r="J3051">
        <f>IF(I3051="","",IF(I3051&gt;=MAXIFS($I$2:$I$5001,$B$2:$B$5001,B3051,$A$2:$A$5001,"&lt;="&amp;A3051),"PR",""))</f>
        <v/>
      </c>
    </row>
    <row r="3052">
      <c r="A3052" s="7" t="n"/>
      <c r="H3052" s="11">
        <f>IF(OR(D3052="",E3052=""),"",D3052*E3052)</f>
        <v/>
      </c>
      <c r="I3052" s="8">
        <f>IF(OR(D3052="",E3052=""),"",E3052*(1+D3052/30))</f>
        <v/>
      </c>
      <c r="J3052">
        <f>IF(I3052="","",IF(I3052&gt;=MAXIFS($I$2:$I$5001,$B$2:$B$5001,B3052,$A$2:$A$5001,"&lt;="&amp;A3052),"PR",""))</f>
        <v/>
      </c>
    </row>
    <row r="3053">
      <c r="A3053" s="7" t="n"/>
      <c r="H3053" s="11">
        <f>IF(OR(D3053="",E3053=""),"",D3053*E3053)</f>
        <v/>
      </c>
      <c r="I3053" s="8">
        <f>IF(OR(D3053="",E3053=""),"",E3053*(1+D3053/30))</f>
        <v/>
      </c>
      <c r="J3053">
        <f>IF(I3053="","",IF(I3053&gt;=MAXIFS($I$2:$I$5001,$B$2:$B$5001,B3053,$A$2:$A$5001,"&lt;="&amp;A3053),"PR",""))</f>
        <v/>
      </c>
    </row>
    <row r="3054">
      <c r="A3054" s="7" t="n"/>
      <c r="H3054" s="11">
        <f>IF(OR(D3054="",E3054=""),"",D3054*E3054)</f>
        <v/>
      </c>
      <c r="I3054" s="8">
        <f>IF(OR(D3054="",E3054=""),"",E3054*(1+D3054/30))</f>
        <v/>
      </c>
      <c r="J3054">
        <f>IF(I3054="","",IF(I3054&gt;=MAXIFS($I$2:$I$5001,$B$2:$B$5001,B3054,$A$2:$A$5001,"&lt;="&amp;A3054),"PR",""))</f>
        <v/>
      </c>
    </row>
    <row r="3055">
      <c r="A3055" s="7" t="n"/>
      <c r="H3055" s="11">
        <f>IF(OR(D3055="",E3055=""),"",D3055*E3055)</f>
        <v/>
      </c>
      <c r="I3055" s="8">
        <f>IF(OR(D3055="",E3055=""),"",E3055*(1+D3055/30))</f>
        <v/>
      </c>
      <c r="J3055">
        <f>IF(I3055="","",IF(I3055&gt;=MAXIFS($I$2:$I$5001,$B$2:$B$5001,B3055,$A$2:$A$5001,"&lt;="&amp;A3055),"PR",""))</f>
        <v/>
      </c>
    </row>
    <row r="3056">
      <c r="A3056" s="7" t="n"/>
      <c r="H3056" s="11">
        <f>IF(OR(D3056="",E3056=""),"",D3056*E3056)</f>
        <v/>
      </c>
      <c r="I3056" s="8">
        <f>IF(OR(D3056="",E3056=""),"",E3056*(1+D3056/30))</f>
        <v/>
      </c>
      <c r="J3056">
        <f>IF(I3056="","",IF(I3056&gt;=MAXIFS($I$2:$I$5001,$B$2:$B$5001,B3056,$A$2:$A$5001,"&lt;="&amp;A3056),"PR",""))</f>
        <v/>
      </c>
    </row>
    <row r="3057">
      <c r="A3057" s="7" t="n"/>
      <c r="H3057" s="11">
        <f>IF(OR(D3057="",E3057=""),"",D3057*E3057)</f>
        <v/>
      </c>
      <c r="I3057" s="8">
        <f>IF(OR(D3057="",E3057=""),"",E3057*(1+D3057/30))</f>
        <v/>
      </c>
      <c r="J3057">
        <f>IF(I3057="","",IF(I3057&gt;=MAXIFS($I$2:$I$5001,$B$2:$B$5001,B3057,$A$2:$A$5001,"&lt;="&amp;A3057),"PR",""))</f>
        <v/>
      </c>
    </row>
    <row r="3058">
      <c r="A3058" s="7" t="n"/>
      <c r="H3058" s="11">
        <f>IF(OR(D3058="",E3058=""),"",D3058*E3058)</f>
        <v/>
      </c>
      <c r="I3058" s="8">
        <f>IF(OR(D3058="",E3058=""),"",E3058*(1+D3058/30))</f>
        <v/>
      </c>
      <c r="J3058">
        <f>IF(I3058="","",IF(I3058&gt;=MAXIFS($I$2:$I$5001,$B$2:$B$5001,B3058,$A$2:$A$5001,"&lt;="&amp;A3058),"PR",""))</f>
        <v/>
      </c>
    </row>
    <row r="3059">
      <c r="A3059" s="7" t="n"/>
      <c r="H3059" s="11">
        <f>IF(OR(D3059="",E3059=""),"",D3059*E3059)</f>
        <v/>
      </c>
      <c r="I3059" s="8">
        <f>IF(OR(D3059="",E3059=""),"",E3059*(1+D3059/30))</f>
        <v/>
      </c>
      <c r="J3059">
        <f>IF(I3059="","",IF(I3059&gt;=MAXIFS($I$2:$I$5001,$B$2:$B$5001,B3059,$A$2:$A$5001,"&lt;="&amp;A3059),"PR",""))</f>
        <v/>
      </c>
    </row>
    <row r="3060">
      <c r="A3060" s="7" t="n"/>
      <c r="H3060" s="11">
        <f>IF(OR(D3060="",E3060=""),"",D3060*E3060)</f>
        <v/>
      </c>
      <c r="I3060" s="8">
        <f>IF(OR(D3060="",E3060=""),"",E3060*(1+D3060/30))</f>
        <v/>
      </c>
      <c r="J3060">
        <f>IF(I3060="","",IF(I3060&gt;=MAXIFS($I$2:$I$5001,$B$2:$B$5001,B3060,$A$2:$A$5001,"&lt;="&amp;A3060),"PR",""))</f>
        <v/>
      </c>
    </row>
    <row r="3061">
      <c r="A3061" s="7" t="n"/>
      <c r="H3061" s="11">
        <f>IF(OR(D3061="",E3061=""),"",D3061*E3061)</f>
        <v/>
      </c>
      <c r="I3061" s="8">
        <f>IF(OR(D3061="",E3061=""),"",E3061*(1+D3061/30))</f>
        <v/>
      </c>
      <c r="J3061">
        <f>IF(I3061="","",IF(I3061&gt;=MAXIFS($I$2:$I$5001,$B$2:$B$5001,B3061,$A$2:$A$5001,"&lt;="&amp;A3061),"PR",""))</f>
        <v/>
      </c>
    </row>
    <row r="3062">
      <c r="A3062" s="7" t="n"/>
      <c r="H3062" s="11">
        <f>IF(OR(D3062="",E3062=""),"",D3062*E3062)</f>
        <v/>
      </c>
      <c r="I3062" s="8">
        <f>IF(OR(D3062="",E3062=""),"",E3062*(1+D3062/30))</f>
        <v/>
      </c>
      <c r="J3062">
        <f>IF(I3062="","",IF(I3062&gt;=MAXIFS($I$2:$I$5001,$B$2:$B$5001,B3062,$A$2:$A$5001,"&lt;="&amp;A3062),"PR",""))</f>
        <v/>
      </c>
    </row>
    <row r="3063">
      <c r="A3063" s="7" t="n"/>
      <c r="H3063" s="11">
        <f>IF(OR(D3063="",E3063=""),"",D3063*E3063)</f>
        <v/>
      </c>
      <c r="I3063" s="8">
        <f>IF(OR(D3063="",E3063=""),"",E3063*(1+D3063/30))</f>
        <v/>
      </c>
      <c r="J3063">
        <f>IF(I3063="","",IF(I3063&gt;=MAXIFS($I$2:$I$5001,$B$2:$B$5001,B3063,$A$2:$A$5001,"&lt;="&amp;A3063),"PR",""))</f>
        <v/>
      </c>
    </row>
    <row r="3064">
      <c r="A3064" s="7" t="n"/>
      <c r="H3064" s="11">
        <f>IF(OR(D3064="",E3064=""),"",D3064*E3064)</f>
        <v/>
      </c>
      <c r="I3064" s="8">
        <f>IF(OR(D3064="",E3064=""),"",E3064*(1+D3064/30))</f>
        <v/>
      </c>
      <c r="J3064">
        <f>IF(I3064="","",IF(I3064&gt;=MAXIFS($I$2:$I$5001,$B$2:$B$5001,B3064,$A$2:$A$5001,"&lt;="&amp;A3064),"PR",""))</f>
        <v/>
      </c>
    </row>
    <row r="3065">
      <c r="A3065" s="7" t="n"/>
      <c r="H3065" s="11">
        <f>IF(OR(D3065="",E3065=""),"",D3065*E3065)</f>
        <v/>
      </c>
      <c r="I3065" s="8">
        <f>IF(OR(D3065="",E3065=""),"",E3065*(1+D3065/30))</f>
        <v/>
      </c>
      <c r="J3065">
        <f>IF(I3065="","",IF(I3065&gt;=MAXIFS($I$2:$I$5001,$B$2:$B$5001,B3065,$A$2:$A$5001,"&lt;="&amp;A3065),"PR",""))</f>
        <v/>
      </c>
    </row>
    <row r="3066">
      <c r="A3066" s="7" t="n"/>
      <c r="H3066" s="11">
        <f>IF(OR(D3066="",E3066=""),"",D3066*E3066)</f>
        <v/>
      </c>
      <c r="I3066" s="8">
        <f>IF(OR(D3066="",E3066=""),"",E3066*(1+D3066/30))</f>
        <v/>
      </c>
      <c r="J3066">
        <f>IF(I3066="","",IF(I3066&gt;=MAXIFS($I$2:$I$5001,$B$2:$B$5001,B3066,$A$2:$A$5001,"&lt;="&amp;A3066),"PR",""))</f>
        <v/>
      </c>
    </row>
    <row r="3067">
      <c r="A3067" s="7" t="n"/>
      <c r="H3067" s="11">
        <f>IF(OR(D3067="",E3067=""),"",D3067*E3067)</f>
        <v/>
      </c>
      <c r="I3067" s="8">
        <f>IF(OR(D3067="",E3067=""),"",E3067*(1+D3067/30))</f>
        <v/>
      </c>
      <c r="J3067">
        <f>IF(I3067="","",IF(I3067&gt;=MAXIFS($I$2:$I$5001,$B$2:$B$5001,B3067,$A$2:$A$5001,"&lt;="&amp;A3067),"PR",""))</f>
        <v/>
      </c>
    </row>
    <row r="3068">
      <c r="A3068" s="7" t="n"/>
      <c r="H3068" s="11">
        <f>IF(OR(D3068="",E3068=""),"",D3068*E3068)</f>
        <v/>
      </c>
      <c r="I3068" s="8">
        <f>IF(OR(D3068="",E3068=""),"",E3068*(1+D3068/30))</f>
        <v/>
      </c>
      <c r="J3068">
        <f>IF(I3068="","",IF(I3068&gt;=MAXIFS($I$2:$I$5001,$B$2:$B$5001,B3068,$A$2:$A$5001,"&lt;="&amp;A3068),"PR",""))</f>
        <v/>
      </c>
    </row>
    <row r="3069">
      <c r="A3069" s="7" t="n"/>
      <c r="H3069" s="11">
        <f>IF(OR(D3069="",E3069=""),"",D3069*E3069)</f>
        <v/>
      </c>
      <c r="I3069" s="8">
        <f>IF(OR(D3069="",E3069=""),"",E3069*(1+D3069/30))</f>
        <v/>
      </c>
      <c r="J3069">
        <f>IF(I3069="","",IF(I3069&gt;=MAXIFS($I$2:$I$5001,$B$2:$B$5001,B3069,$A$2:$A$5001,"&lt;="&amp;A3069),"PR",""))</f>
        <v/>
      </c>
    </row>
    <row r="3070">
      <c r="A3070" s="7" t="n"/>
      <c r="H3070" s="11">
        <f>IF(OR(D3070="",E3070=""),"",D3070*E3070)</f>
        <v/>
      </c>
      <c r="I3070" s="8">
        <f>IF(OR(D3070="",E3070=""),"",E3070*(1+D3070/30))</f>
        <v/>
      </c>
      <c r="J3070">
        <f>IF(I3070="","",IF(I3070&gt;=MAXIFS($I$2:$I$5001,$B$2:$B$5001,B3070,$A$2:$A$5001,"&lt;="&amp;A3070),"PR",""))</f>
        <v/>
      </c>
    </row>
    <row r="3071">
      <c r="A3071" s="7" t="n"/>
      <c r="H3071" s="11">
        <f>IF(OR(D3071="",E3071=""),"",D3071*E3071)</f>
        <v/>
      </c>
      <c r="I3071" s="8">
        <f>IF(OR(D3071="",E3071=""),"",E3071*(1+D3071/30))</f>
        <v/>
      </c>
      <c r="J3071">
        <f>IF(I3071="","",IF(I3071&gt;=MAXIFS($I$2:$I$5001,$B$2:$B$5001,B3071,$A$2:$A$5001,"&lt;="&amp;A3071),"PR",""))</f>
        <v/>
      </c>
    </row>
    <row r="3072">
      <c r="A3072" s="7" t="n"/>
      <c r="H3072" s="11">
        <f>IF(OR(D3072="",E3072=""),"",D3072*E3072)</f>
        <v/>
      </c>
      <c r="I3072" s="8">
        <f>IF(OR(D3072="",E3072=""),"",E3072*(1+D3072/30))</f>
        <v/>
      </c>
      <c r="J3072">
        <f>IF(I3072="","",IF(I3072&gt;=MAXIFS($I$2:$I$5001,$B$2:$B$5001,B3072,$A$2:$A$5001,"&lt;="&amp;A3072),"PR",""))</f>
        <v/>
      </c>
    </row>
    <row r="3073">
      <c r="A3073" s="7" t="n"/>
      <c r="H3073" s="11">
        <f>IF(OR(D3073="",E3073=""),"",D3073*E3073)</f>
        <v/>
      </c>
      <c r="I3073" s="8">
        <f>IF(OR(D3073="",E3073=""),"",E3073*(1+D3073/30))</f>
        <v/>
      </c>
      <c r="J3073">
        <f>IF(I3073="","",IF(I3073&gt;=MAXIFS($I$2:$I$5001,$B$2:$B$5001,B3073,$A$2:$A$5001,"&lt;="&amp;A3073),"PR",""))</f>
        <v/>
      </c>
    </row>
    <row r="3074">
      <c r="A3074" s="7" t="n"/>
      <c r="H3074" s="11">
        <f>IF(OR(D3074="",E3074=""),"",D3074*E3074)</f>
        <v/>
      </c>
      <c r="I3074" s="8">
        <f>IF(OR(D3074="",E3074=""),"",E3074*(1+D3074/30))</f>
        <v/>
      </c>
      <c r="J3074">
        <f>IF(I3074="","",IF(I3074&gt;=MAXIFS($I$2:$I$5001,$B$2:$B$5001,B3074,$A$2:$A$5001,"&lt;="&amp;A3074),"PR",""))</f>
        <v/>
      </c>
    </row>
    <row r="3075">
      <c r="A3075" s="7" t="n"/>
      <c r="H3075" s="11">
        <f>IF(OR(D3075="",E3075=""),"",D3075*E3075)</f>
        <v/>
      </c>
      <c r="I3075" s="8">
        <f>IF(OR(D3075="",E3075=""),"",E3075*(1+D3075/30))</f>
        <v/>
      </c>
      <c r="J3075">
        <f>IF(I3075="","",IF(I3075&gt;=MAXIFS($I$2:$I$5001,$B$2:$B$5001,B3075,$A$2:$A$5001,"&lt;="&amp;A3075),"PR",""))</f>
        <v/>
      </c>
    </row>
    <row r="3076">
      <c r="A3076" s="7" t="n"/>
      <c r="H3076" s="11">
        <f>IF(OR(D3076="",E3076=""),"",D3076*E3076)</f>
        <v/>
      </c>
      <c r="I3076" s="8">
        <f>IF(OR(D3076="",E3076=""),"",E3076*(1+D3076/30))</f>
        <v/>
      </c>
      <c r="J3076">
        <f>IF(I3076="","",IF(I3076&gt;=MAXIFS($I$2:$I$5001,$B$2:$B$5001,B3076,$A$2:$A$5001,"&lt;="&amp;A3076),"PR",""))</f>
        <v/>
      </c>
    </row>
    <row r="3077">
      <c r="A3077" s="7" t="n"/>
      <c r="H3077" s="11">
        <f>IF(OR(D3077="",E3077=""),"",D3077*E3077)</f>
        <v/>
      </c>
      <c r="I3077" s="8">
        <f>IF(OR(D3077="",E3077=""),"",E3077*(1+D3077/30))</f>
        <v/>
      </c>
      <c r="J3077">
        <f>IF(I3077="","",IF(I3077&gt;=MAXIFS($I$2:$I$5001,$B$2:$B$5001,B3077,$A$2:$A$5001,"&lt;="&amp;A3077),"PR",""))</f>
        <v/>
      </c>
    </row>
    <row r="3078">
      <c r="A3078" s="7" t="n"/>
      <c r="H3078" s="11">
        <f>IF(OR(D3078="",E3078=""),"",D3078*E3078)</f>
        <v/>
      </c>
      <c r="I3078" s="8">
        <f>IF(OR(D3078="",E3078=""),"",E3078*(1+D3078/30))</f>
        <v/>
      </c>
      <c r="J3078">
        <f>IF(I3078="","",IF(I3078&gt;=MAXIFS($I$2:$I$5001,$B$2:$B$5001,B3078,$A$2:$A$5001,"&lt;="&amp;A3078),"PR",""))</f>
        <v/>
      </c>
    </row>
    <row r="3079">
      <c r="A3079" s="7" t="n"/>
      <c r="H3079" s="11">
        <f>IF(OR(D3079="",E3079=""),"",D3079*E3079)</f>
        <v/>
      </c>
      <c r="I3079" s="8">
        <f>IF(OR(D3079="",E3079=""),"",E3079*(1+D3079/30))</f>
        <v/>
      </c>
      <c r="J3079">
        <f>IF(I3079="","",IF(I3079&gt;=MAXIFS($I$2:$I$5001,$B$2:$B$5001,B3079,$A$2:$A$5001,"&lt;="&amp;A3079),"PR",""))</f>
        <v/>
      </c>
    </row>
    <row r="3080">
      <c r="A3080" s="7" t="n"/>
      <c r="H3080" s="11">
        <f>IF(OR(D3080="",E3080=""),"",D3080*E3080)</f>
        <v/>
      </c>
      <c r="I3080" s="8">
        <f>IF(OR(D3080="",E3080=""),"",E3080*(1+D3080/30))</f>
        <v/>
      </c>
      <c r="J3080">
        <f>IF(I3080="","",IF(I3080&gt;=MAXIFS($I$2:$I$5001,$B$2:$B$5001,B3080,$A$2:$A$5001,"&lt;="&amp;A3080),"PR",""))</f>
        <v/>
      </c>
    </row>
    <row r="3081">
      <c r="A3081" s="7" t="n"/>
      <c r="H3081" s="11">
        <f>IF(OR(D3081="",E3081=""),"",D3081*E3081)</f>
        <v/>
      </c>
      <c r="I3081" s="8">
        <f>IF(OR(D3081="",E3081=""),"",E3081*(1+D3081/30))</f>
        <v/>
      </c>
      <c r="J3081">
        <f>IF(I3081="","",IF(I3081&gt;=MAXIFS($I$2:$I$5001,$B$2:$B$5001,B3081,$A$2:$A$5001,"&lt;="&amp;A3081),"PR",""))</f>
        <v/>
      </c>
    </row>
    <row r="3082">
      <c r="A3082" s="7" t="n"/>
      <c r="H3082" s="11">
        <f>IF(OR(D3082="",E3082=""),"",D3082*E3082)</f>
        <v/>
      </c>
      <c r="I3082" s="8">
        <f>IF(OR(D3082="",E3082=""),"",E3082*(1+D3082/30))</f>
        <v/>
      </c>
      <c r="J3082">
        <f>IF(I3082="","",IF(I3082&gt;=MAXIFS($I$2:$I$5001,$B$2:$B$5001,B3082,$A$2:$A$5001,"&lt;="&amp;A3082),"PR",""))</f>
        <v/>
      </c>
    </row>
    <row r="3083">
      <c r="A3083" s="7" t="n"/>
      <c r="H3083" s="11">
        <f>IF(OR(D3083="",E3083=""),"",D3083*E3083)</f>
        <v/>
      </c>
      <c r="I3083" s="8">
        <f>IF(OR(D3083="",E3083=""),"",E3083*(1+D3083/30))</f>
        <v/>
      </c>
      <c r="J3083">
        <f>IF(I3083="","",IF(I3083&gt;=MAXIFS($I$2:$I$5001,$B$2:$B$5001,B3083,$A$2:$A$5001,"&lt;="&amp;A3083),"PR",""))</f>
        <v/>
      </c>
    </row>
    <row r="3084">
      <c r="A3084" s="7" t="n"/>
      <c r="H3084" s="11">
        <f>IF(OR(D3084="",E3084=""),"",D3084*E3084)</f>
        <v/>
      </c>
      <c r="I3084" s="8">
        <f>IF(OR(D3084="",E3084=""),"",E3084*(1+D3084/30))</f>
        <v/>
      </c>
      <c r="J3084">
        <f>IF(I3084="","",IF(I3084&gt;=MAXIFS($I$2:$I$5001,$B$2:$B$5001,B3084,$A$2:$A$5001,"&lt;="&amp;A3084),"PR",""))</f>
        <v/>
      </c>
    </row>
    <row r="3085">
      <c r="A3085" s="7" t="n"/>
      <c r="H3085" s="11">
        <f>IF(OR(D3085="",E3085=""),"",D3085*E3085)</f>
        <v/>
      </c>
      <c r="I3085" s="8">
        <f>IF(OR(D3085="",E3085=""),"",E3085*(1+D3085/30))</f>
        <v/>
      </c>
      <c r="J3085">
        <f>IF(I3085="","",IF(I3085&gt;=MAXIFS($I$2:$I$5001,$B$2:$B$5001,B3085,$A$2:$A$5001,"&lt;="&amp;A3085),"PR",""))</f>
        <v/>
      </c>
    </row>
    <row r="3086">
      <c r="A3086" s="7" t="n"/>
      <c r="H3086" s="11">
        <f>IF(OR(D3086="",E3086=""),"",D3086*E3086)</f>
        <v/>
      </c>
      <c r="I3086" s="8">
        <f>IF(OR(D3086="",E3086=""),"",E3086*(1+D3086/30))</f>
        <v/>
      </c>
      <c r="J3086">
        <f>IF(I3086="","",IF(I3086&gt;=MAXIFS($I$2:$I$5001,$B$2:$B$5001,B3086,$A$2:$A$5001,"&lt;="&amp;A3086),"PR",""))</f>
        <v/>
      </c>
    </row>
    <row r="3087">
      <c r="A3087" s="7" t="n"/>
      <c r="H3087" s="11">
        <f>IF(OR(D3087="",E3087=""),"",D3087*E3087)</f>
        <v/>
      </c>
      <c r="I3087" s="8">
        <f>IF(OR(D3087="",E3087=""),"",E3087*(1+D3087/30))</f>
        <v/>
      </c>
      <c r="J3087">
        <f>IF(I3087="","",IF(I3087&gt;=MAXIFS($I$2:$I$5001,$B$2:$B$5001,B3087,$A$2:$A$5001,"&lt;="&amp;A3087),"PR",""))</f>
        <v/>
      </c>
    </row>
    <row r="3088">
      <c r="A3088" s="7" t="n"/>
      <c r="H3088" s="11">
        <f>IF(OR(D3088="",E3088=""),"",D3088*E3088)</f>
        <v/>
      </c>
      <c r="I3088" s="8">
        <f>IF(OR(D3088="",E3088=""),"",E3088*(1+D3088/30))</f>
        <v/>
      </c>
      <c r="J3088">
        <f>IF(I3088="","",IF(I3088&gt;=MAXIFS($I$2:$I$5001,$B$2:$B$5001,B3088,$A$2:$A$5001,"&lt;="&amp;A3088),"PR",""))</f>
        <v/>
      </c>
    </row>
    <row r="3089">
      <c r="A3089" s="7" t="n"/>
      <c r="H3089" s="11">
        <f>IF(OR(D3089="",E3089=""),"",D3089*E3089)</f>
        <v/>
      </c>
      <c r="I3089" s="8">
        <f>IF(OR(D3089="",E3089=""),"",E3089*(1+D3089/30))</f>
        <v/>
      </c>
      <c r="J3089">
        <f>IF(I3089="","",IF(I3089&gt;=MAXIFS($I$2:$I$5001,$B$2:$B$5001,B3089,$A$2:$A$5001,"&lt;="&amp;A3089),"PR",""))</f>
        <v/>
      </c>
    </row>
    <row r="3090">
      <c r="A3090" s="7" t="n"/>
      <c r="H3090" s="11">
        <f>IF(OR(D3090="",E3090=""),"",D3090*E3090)</f>
        <v/>
      </c>
      <c r="I3090" s="8">
        <f>IF(OR(D3090="",E3090=""),"",E3090*(1+D3090/30))</f>
        <v/>
      </c>
      <c r="J3090">
        <f>IF(I3090="","",IF(I3090&gt;=MAXIFS($I$2:$I$5001,$B$2:$B$5001,B3090,$A$2:$A$5001,"&lt;="&amp;A3090),"PR",""))</f>
        <v/>
      </c>
    </row>
    <row r="3091">
      <c r="A3091" s="7" t="n"/>
      <c r="H3091" s="11">
        <f>IF(OR(D3091="",E3091=""),"",D3091*E3091)</f>
        <v/>
      </c>
      <c r="I3091" s="8">
        <f>IF(OR(D3091="",E3091=""),"",E3091*(1+D3091/30))</f>
        <v/>
      </c>
      <c r="J3091">
        <f>IF(I3091="","",IF(I3091&gt;=MAXIFS($I$2:$I$5001,$B$2:$B$5001,B3091,$A$2:$A$5001,"&lt;="&amp;A3091),"PR",""))</f>
        <v/>
      </c>
    </row>
    <row r="3092">
      <c r="A3092" s="7" t="n"/>
      <c r="H3092" s="11">
        <f>IF(OR(D3092="",E3092=""),"",D3092*E3092)</f>
        <v/>
      </c>
      <c r="I3092" s="8">
        <f>IF(OR(D3092="",E3092=""),"",E3092*(1+D3092/30))</f>
        <v/>
      </c>
      <c r="J3092">
        <f>IF(I3092="","",IF(I3092&gt;=MAXIFS($I$2:$I$5001,$B$2:$B$5001,B3092,$A$2:$A$5001,"&lt;="&amp;A3092),"PR",""))</f>
        <v/>
      </c>
    </row>
    <row r="3093">
      <c r="A3093" s="7" t="n"/>
      <c r="H3093" s="11">
        <f>IF(OR(D3093="",E3093=""),"",D3093*E3093)</f>
        <v/>
      </c>
      <c r="I3093" s="8">
        <f>IF(OR(D3093="",E3093=""),"",E3093*(1+D3093/30))</f>
        <v/>
      </c>
      <c r="J3093">
        <f>IF(I3093="","",IF(I3093&gt;=MAXIFS($I$2:$I$5001,$B$2:$B$5001,B3093,$A$2:$A$5001,"&lt;="&amp;A3093),"PR",""))</f>
        <v/>
      </c>
    </row>
    <row r="3094">
      <c r="A3094" s="7" t="n"/>
      <c r="H3094" s="11">
        <f>IF(OR(D3094="",E3094=""),"",D3094*E3094)</f>
        <v/>
      </c>
      <c r="I3094" s="8">
        <f>IF(OR(D3094="",E3094=""),"",E3094*(1+D3094/30))</f>
        <v/>
      </c>
      <c r="J3094">
        <f>IF(I3094="","",IF(I3094&gt;=MAXIFS($I$2:$I$5001,$B$2:$B$5001,B3094,$A$2:$A$5001,"&lt;="&amp;A3094),"PR",""))</f>
        <v/>
      </c>
    </row>
    <row r="3095">
      <c r="A3095" s="7" t="n"/>
      <c r="H3095" s="11">
        <f>IF(OR(D3095="",E3095=""),"",D3095*E3095)</f>
        <v/>
      </c>
      <c r="I3095" s="8">
        <f>IF(OR(D3095="",E3095=""),"",E3095*(1+D3095/30))</f>
        <v/>
      </c>
      <c r="J3095">
        <f>IF(I3095="","",IF(I3095&gt;=MAXIFS($I$2:$I$5001,$B$2:$B$5001,B3095,$A$2:$A$5001,"&lt;="&amp;A3095),"PR",""))</f>
        <v/>
      </c>
    </row>
    <row r="3096">
      <c r="A3096" s="7" t="n"/>
      <c r="H3096" s="11">
        <f>IF(OR(D3096="",E3096=""),"",D3096*E3096)</f>
        <v/>
      </c>
      <c r="I3096" s="8">
        <f>IF(OR(D3096="",E3096=""),"",E3096*(1+D3096/30))</f>
        <v/>
      </c>
      <c r="J3096">
        <f>IF(I3096="","",IF(I3096&gt;=MAXIFS($I$2:$I$5001,$B$2:$B$5001,B3096,$A$2:$A$5001,"&lt;="&amp;A3096),"PR",""))</f>
        <v/>
      </c>
    </row>
    <row r="3097">
      <c r="A3097" s="7" t="n"/>
      <c r="H3097" s="11">
        <f>IF(OR(D3097="",E3097=""),"",D3097*E3097)</f>
        <v/>
      </c>
      <c r="I3097" s="8">
        <f>IF(OR(D3097="",E3097=""),"",E3097*(1+D3097/30))</f>
        <v/>
      </c>
      <c r="J3097">
        <f>IF(I3097="","",IF(I3097&gt;=MAXIFS($I$2:$I$5001,$B$2:$B$5001,B3097,$A$2:$A$5001,"&lt;="&amp;A3097),"PR",""))</f>
        <v/>
      </c>
    </row>
    <row r="3098">
      <c r="A3098" s="7" t="n"/>
      <c r="H3098" s="11">
        <f>IF(OR(D3098="",E3098=""),"",D3098*E3098)</f>
        <v/>
      </c>
      <c r="I3098" s="8">
        <f>IF(OR(D3098="",E3098=""),"",E3098*(1+D3098/30))</f>
        <v/>
      </c>
      <c r="J3098">
        <f>IF(I3098="","",IF(I3098&gt;=MAXIFS($I$2:$I$5001,$B$2:$B$5001,B3098,$A$2:$A$5001,"&lt;="&amp;A3098),"PR",""))</f>
        <v/>
      </c>
    </row>
    <row r="3099">
      <c r="A3099" s="7" t="n"/>
      <c r="H3099" s="11">
        <f>IF(OR(D3099="",E3099=""),"",D3099*E3099)</f>
        <v/>
      </c>
      <c r="I3099" s="8">
        <f>IF(OR(D3099="",E3099=""),"",E3099*(1+D3099/30))</f>
        <v/>
      </c>
      <c r="J3099">
        <f>IF(I3099="","",IF(I3099&gt;=MAXIFS($I$2:$I$5001,$B$2:$B$5001,B3099,$A$2:$A$5001,"&lt;="&amp;A3099),"PR",""))</f>
        <v/>
      </c>
    </row>
    <row r="3100">
      <c r="A3100" s="7" t="n"/>
      <c r="H3100" s="11">
        <f>IF(OR(D3100="",E3100=""),"",D3100*E3100)</f>
        <v/>
      </c>
      <c r="I3100" s="8">
        <f>IF(OR(D3100="",E3100=""),"",E3100*(1+D3100/30))</f>
        <v/>
      </c>
      <c r="J3100">
        <f>IF(I3100="","",IF(I3100&gt;=MAXIFS($I$2:$I$5001,$B$2:$B$5001,B3100,$A$2:$A$5001,"&lt;="&amp;A3100),"PR",""))</f>
        <v/>
      </c>
    </row>
    <row r="3101">
      <c r="A3101" s="7" t="n"/>
      <c r="H3101" s="11">
        <f>IF(OR(D3101="",E3101=""),"",D3101*E3101)</f>
        <v/>
      </c>
      <c r="I3101" s="8">
        <f>IF(OR(D3101="",E3101=""),"",E3101*(1+D3101/30))</f>
        <v/>
      </c>
      <c r="J3101">
        <f>IF(I3101="","",IF(I3101&gt;=MAXIFS($I$2:$I$5001,$B$2:$B$5001,B3101,$A$2:$A$5001,"&lt;="&amp;A3101),"PR",""))</f>
        <v/>
      </c>
    </row>
    <row r="3102">
      <c r="A3102" s="7" t="n"/>
      <c r="H3102" s="11">
        <f>IF(OR(D3102="",E3102=""),"",D3102*E3102)</f>
        <v/>
      </c>
      <c r="I3102" s="8">
        <f>IF(OR(D3102="",E3102=""),"",E3102*(1+D3102/30))</f>
        <v/>
      </c>
      <c r="J3102">
        <f>IF(I3102="","",IF(I3102&gt;=MAXIFS($I$2:$I$5001,$B$2:$B$5001,B3102,$A$2:$A$5001,"&lt;="&amp;A3102),"PR",""))</f>
        <v/>
      </c>
    </row>
    <row r="3103">
      <c r="A3103" s="7" t="n"/>
      <c r="H3103" s="11">
        <f>IF(OR(D3103="",E3103=""),"",D3103*E3103)</f>
        <v/>
      </c>
      <c r="I3103" s="8">
        <f>IF(OR(D3103="",E3103=""),"",E3103*(1+D3103/30))</f>
        <v/>
      </c>
      <c r="J3103">
        <f>IF(I3103="","",IF(I3103&gt;=MAXIFS($I$2:$I$5001,$B$2:$B$5001,B3103,$A$2:$A$5001,"&lt;="&amp;A3103),"PR",""))</f>
        <v/>
      </c>
    </row>
    <row r="3104">
      <c r="A3104" s="7" t="n"/>
      <c r="H3104" s="11">
        <f>IF(OR(D3104="",E3104=""),"",D3104*E3104)</f>
        <v/>
      </c>
      <c r="I3104" s="8">
        <f>IF(OR(D3104="",E3104=""),"",E3104*(1+D3104/30))</f>
        <v/>
      </c>
      <c r="J3104">
        <f>IF(I3104="","",IF(I3104&gt;=MAXIFS($I$2:$I$5001,$B$2:$B$5001,B3104,$A$2:$A$5001,"&lt;="&amp;A3104),"PR",""))</f>
        <v/>
      </c>
    </row>
    <row r="3105">
      <c r="A3105" s="7" t="n"/>
      <c r="H3105" s="11">
        <f>IF(OR(D3105="",E3105=""),"",D3105*E3105)</f>
        <v/>
      </c>
      <c r="I3105" s="8">
        <f>IF(OR(D3105="",E3105=""),"",E3105*(1+D3105/30))</f>
        <v/>
      </c>
      <c r="J3105">
        <f>IF(I3105="","",IF(I3105&gt;=MAXIFS($I$2:$I$5001,$B$2:$B$5001,B3105,$A$2:$A$5001,"&lt;="&amp;A3105),"PR",""))</f>
        <v/>
      </c>
    </row>
    <row r="3106">
      <c r="A3106" s="7" t="n"/>
      <c r="H3106" s="11">
        <f>IF(OR(D3106="",E3106=""),"",D3106*E3106)</f>
        <v/>
      </c>
      <c r="I3106" s="8">
        <f>IF(OR(D3106="",E3106=""),"",E3106*(1+D3106/30))</f>
        <v/>
      </c>
      <c r="J3106">
        <f>IF(I3106="","",IF(I3106&gt;=MAXIFS($I$2:$I$5001,$B$2:$B$5001,B3106,$A$2:$A$5001,"&lt;="&amp;A3106),"PR",""))</f>
        <v/>
      </c>
    </row>
    <row r="3107">
      <c r="A3107" s="7" t="n"/>
      <c r="H3107" s="11">
        <f>IF(OR(D3107="",E3107=""),"",D3107*E3107)</f>
        <v/>
      </c>
      <c r="I3107" s="8">
        <f>IF(OR(D3107="",E3107=""),"",E3107*(1+D3107/30))</f>
        <v/>
      </c>
      <c r="J3107">
        <f>IF(I3107="","",IF(I3107&gt;=MAXIFS($I$2:$I$5001,$B$2:$B$5001,B3107,$A$2:$A$5001,"&lt;="&amp;A3107),"PR",""))</f>
        <v/>
      </c>
    </row>
    <row r="3108">
      <c r="A3108" s="7" t="n"/>
      <c r="H3108" s="11">
        <f>IF(OR(D3108="",E3108=""),"",D3108*E3108)</f>
        <v/>
      </c>
      <c r="I3108" s="8">
        <f>IF(OR(D3108="",E3108=""),"",E3108*(1+D3108/30))</f>
        <v/>
      </c>
      <c r="J3108">
        <f>IF(I3108="","",IF(I3108&gt;=MAXIFS($I$2:$I$5001,$B$2:$B$5001,B3108,$A$2:$A$5001,"&lt;="&amp;A3108),"PR",""))</f>
        <v/>
      </c>
    </row>
    <row r="3109">
      <c r="A3109" s="7" t="n"/>
      <c r="H3109" s="11">
        <f>IF(OR(D3109="",E3109=""),"",D3109*E3109)</f>
        <v/>
      </c>
      <c r="I3109" s="8">
        <f>IF(OR(D3109="",E3109=""),"",E3109*(1+D3109/30))</f>
        <v/>
      </c>
      <c r="J3109">
        <f>IF(I3109="","",IF(I3109&gt;=MAXIFS($I$2:$I$5001,$B$2:$B$5001,B3109,$A$2:$A$5001,"&lt;="&amp;A3109),"PR",""))</f>
        <v/>
      </c>
    </row>
    <row r="3110">
      <c r="A3110" s="7" t="n"/>
      <c r="H3110" s="11">
        <f>IF(OR(D3110="",E3110=""),"",D3110*E3110)</f>
        <v/>
      </c>
      <c r="I3110" s="8">
        <f>IF(OR(D3110="",E3110=""),"",E3110*(1+D3110/30))</f>
        <v/>
      </c>
      <c r="J3110">
        <f>IF(I3110="","",IF(I3110&gt;=MAXIFS($I$2:$I$5001,$B$2:$B$5001,B3110,$A$2:$A$5001,"&lt;="&amp;A3110),"PR",""))</f>
        <v/>
      </c>
    </row>
    <row r="3111">
      <c r="A3111" s="7" t="n"/>
      <c r="H3111" s="11">
        <f>IF(OR(D3111="",E3111=""),"",D3111*E3111)</f>
        <v/>
      </c>
      <c r="I3111" s="8">
        <f>IF(OR(D3111="",E3111=""),"",E3111*(1+D3111/30))</f>
        <v/>
      </c>
      <c r="J3111">
        <f>IF(I3111="","",IF(I3111&gt;=MAXIFS($I$2:$I$5001,$B$2:$B$5001,B3111,$A$2:$A$5001,"&lt;="&amp;A3111),"PR",""))</f>
        <v/>
      </c>
    </row>
    <row r="3112">
      <c r="A3112" s="7" t="n"/>
      <c r="H3112" s="11">
        <f>IF(OR(D3112="",E3112=""),"",D3112*E3112)</f>
        <v/>
      </c>
      <c r="I3112" s="8">
        <f>IF(OR(D3112="",E3112=""),"",E3112*(1+D3112/30))</f>
        <v/>
      </c>
      <c r="J3112">
        <f>IF(I3112="","",IF(I3112&gt;=MAXIFS($I$2:$I$5001,$B$2:$B$5001,B3112,$A$2:$A$5001,"&lt;="&amp;A3112),"PR",""))</f>
        <v/>
      </c>
    </row>
    <row r="3113">
      <c r="A3113" s="7" t="n"/>
      <c r="H3113" s="11">
        <f>IF(OR(D3113="",E3113=""),"",D3113*E3113)</f>
        <v/>
      </c>
      <c r="I3113" s="8">
        <f>IF(OR(D3113="",E3113=""),"",E3113*(1+D3113/30))</f>
        <v/>
      </c>
      <c r="J3113">
        <f>IF(I3113="","",IF(I3113&gt;=MAXIFS($I$2:$I$5001,$B$2:$B$5001,B3113,$A$2:$A$5001,"&lt;="&amp;A3113),"PR",""))</f>
        <v/>
      </c>
    </row>
    <row r="3114">
      <c r="A3114" s="7" t="n"/>
      <c r="H3114" s="11">
        <f>IF(OR(D3114="",E3114=""),"",D3114*E3114)</f>
        <v/>
      </c>
      <c r="I3114" s="8">
        <f>IF(OR(D3114="",E3114=""),"",E3114*(1+D3114/30))</f>
        <v/>
      </c>
      <c r="J3114">
        <f>IF(I3114="","",IF(I3114&gt;=MAXIFS($I$2:$I$5001,$B$2:$B$5001,B3114,$A$2:$A$5001,"&lt;="&amp;A3114),"PR",""))</f>
        <v/>
      </c>
    </row>
    <row r="3115">
      <c r="A3115" s="7" t="n"/>
      <c r="H3115" s="11">
        <f>IF(OR(D3115="",E3115=""),"",D3115*E3115)</f>
        <v/>
      </c>
      <c r="I3115" s="8">
        <f>IF(OR(D3115="",E3115=""),"",E3115*(1+D3115/30))</f>
        <v/>
      </c>
      <c r="J3115">
        <f>IF(I3115="","",IF(I3115&gt;=MAXIFS($I$2:$I$5001,$B$2:$B$5001,B3115,$A$2:$A$5001,"&lt;="&amp;A3115),"PR",""))</f>
        <v/>
      </c>
    </row>
    <row r="3116">
      <c r="A3116" s="7" t="n"/>
      <c r="H3116" s="11">
        <f>IF(OR(D3116="",E3116=""),"",D3116*E3116)</f>
        <v/>
      </c>
      <c r="I3116" s="8">
        <f>IF(OR(D3116="",E3116=""),"",E3116*(1+D3116/30))</f>
        <v/>
      </c>
      <c r="J3116">
        <f>IF(I3116="","",IF(I3116&gt;=MAXIFS($I$2:$I$5001,$B$2:$B$5001,B3116,$A$2:$A$5001,"&lt;="&amp;A3116),"PR",""))</f>
        <v/>
      </c>
    </row>
    <row r="3117">
      <c r="A3117" s="7" t="n"/>
      <c r="H3117" s="11">
        <f>IF(OR(D3117="",E3117=""),"",D3117*E3117)</f>
        <v/>
      </c>
      <c r="I3117" s="8">
        <f>IF(OR(D3117="",E3117=""),"",E3117*(1+D3117/30))</f>
        <v/>
      </c>
      <c r="J3117">
        <f>IF(I3117="","",IF(I3117&gt;=MAXIFS($I$2:$I$5001,$B$2:$B$5001,B3117,$A$2:$A$5001,"&lt;="&amp;A3117),"PR",""))</f>
        <v/>
      </c>
    </row>
    <row r="3118">
      <c r="A3118" s="7" t="n"/>
      <c r="H3118" s="11">
        <f>IF(OR(D3118="",E3118=""),"",D3118*E3118)</f>
        <v/>
      </c>
      <c r="I3118" s="8">
        <f>IF(OR(D3118="",E3118=""),"",E3118*(1+D3118/30))</f>
        <v/>
      </c>
      <c r="J3118">
        <f>IF(I3118="","",IF(I3118&gt;=MAXIFS($I$2:$I$5001,$B$2:$B$5001,B3118,$A$2:$A$5001,"&lt;="&amp;A3118),"PR",""))</f>
        <v/>
      </c>
    </row>
    <row r="3119">
      <c r="A3119" s="7" t="n"/>
      <c r="H3119" s="11">
        <f>IF(OR(D3119="",E3119=""),"",D3119*E3119)</f>
        <v/>
      </c>
      <c r="I3119" s="8">
        <f>IF(OR(D3119="",E3119=""),"",E3119*(1+D3119/30))</f>
        <v/>
      </c>
      <c r="J3119">
        <f>IF(I3119="","",IF(I3119&gt;=MAXIFS($I$2:$I$5001,$B$2:$B$5001,B3119,$A$2:$A$5001,"&lt;="&amp;A3119),"PR",""))</f>
        <v/>
      </c>
    </row>
    <row r="3120">
      <c r="A3120" s="7" t="n"/>
      <c r="H3120" s="11">
        <f>IF(OR(D3120="",E3120=""),"",D3120*E3120)</f>
        <v/>
      </c>
      <c r="I3120" s="8">
        <f>IF(OR(D3120="",E3120=""),"",E3120*(1+D3120/30))</f>
        <v/>
      </c>
      <c r="J3120">
        <f>IF(I3120="","",IF(I3120&gt;=MAXIFS($I$2:$I$5001,$B$2:$B$5001,B3120,$A$2:$A$5001,"&lt;="&amp;A3120),"PR",""))</f>
        <v/>
      </c>
    </row>
    <row r="3121">
      <c r="A3121" s="7" t="n"/>
      <c r="H3121" s="11">
        <f>IF(OR(D3121="",E3121=""),"",D3121*E3121)</f>
        <v/>
      </c>
      <c r="I3121" s="8">
        <f>IF(OR(D3121="",E3121=""),"",E3121*(1+D3121/30))</f>
        <v/>
      </c>
      <c r="J3121">
        <f>IF(I3121="","",IF(I3121&gt;=MAXIFS($I$2:$I$5001,$B$2:$B$5001,B3121,$A$2:$A$5001,"&lt;="&amp;A3121),"PR",""))</f>
        <v/>
      </c>
    </row>
    <row r="3122">
      <c r="A3122" s="7" t="n"/>
      <c r="H3122" s="11">
        <f>IF(OR(D3122="",E3122=""),"",D3122*E3122)</f>
        <v/>
      </c>
      <c r="I3122" s="8">
        <f>IF(OR(D3122="",E3122=""),"",E3122*(1+D3122/30))</f>
        <v/>
      </c>
      <c r="J3122">
        <f>IF(I3122="","",IF(I3122&gt;=MAXIFS($I$2:$I$5001,$B$2:$B$5001,B3122,$A$2:$A$5001,"&lt;="&amp;A3122),"PR",""))</f>
        <v/>
      </c>
    </row>
    <row r="3123">
      <c r="A3123" s="7" t="n"/>
      <c r="H3123" s="11">
        <f>IF(OR(D3123="",E3123=""),"",D3123*E3123)</f>
        <v/>
      </c>
      <c r="I3123" s="8">
        <f>IF(OR(D3123="",E3123=""),"",E3123*(1+D3123/30))</f>
        <v/>
      </c>
      <c r="J3123">
        <f>IF(I3123="","",IF(I3123&gt;=MAXIFS($I$2:$I$5001,$B$2:$B$5001,B3123,$A$2:$A$5001,"&lt;="&amp;A3123),"PR",""))</f>
        <v/>
      </c>
    </row>
    <row r="3124">
      <c r="A3124" s="7" t="n"/>
      <c r="H3124" s="11">
        <f>IF(OR(D3124="",E3124=""),"",D3124*E3124)</f>
        <v/>
      </c>
      <c r="I3124" s="8">
        <f>IF(OR(D3124="",E3124=""),"",E3124*(1+D3124/30))</f>
        <v/>
      </c>
      <c r="J3124">
        <f>IF(I3124="","",IF(I3124&gt;=MAXIFS($I$2:$I$5001,$B$2:$B$5001,B3124,$A$2:$A$5001,"&lt;="&amp;A3124),"PR",""))</f>
        <v/>
      </c>
    </row>
    <row r="3125">
      <c r="A3125" s="7" t="n"/>
      <c r="H3125" s="11">
        <f>IF(OR(D3125="",E3125=""),"",D3125*E3125)</f>
        <v/>
      </c>
      <c r="I3125" s="8">
        <f>IF(OR(D3125="",E3125=""),"",E3125*(1+D3125/30))</f>
        <v/>
      </c>
      <c r="J3125">
        <f>IF(I3125="","",IF(I3125&gt;=MAXIFS($I$2:$I$5001,$B$2:$B$5001,B3125,$A$2:$A$5001,"&lt;="&amp;A3125),"PR",""))</f>
        <v/>
      </c>
    </row>
    <row r="3126">
      <c r="A3126" s="7" t="n"/>
      <c r="H3126" s="11">
        <f>IF(OR(D3126="",E3126=""),"",D3126*E3126)</f>
        <v/>
      </c>
      <c r="I3126" s="8">
        <f>IF(OR(D3126="",E3126=""),"",E3126*(1+D3126/30))</f>
        <v/>
      </c>
      <c r="J3126">
        <f>IF(I3126="","",IF(I3126&gt;=MAXIFS($I$2:$I$5001,$B$2:$B$5001,B3126,$A$2:$A$5001,"&lt;="&amp;A3126),"PR",""))</f>
        <v/>
      </c>
    </row>
    <row r="3127">
      <c r="A3127" s="7" t="n"/>
      <c r="H3127" s="11">
        <f>IF(OR(D3127="",E3127=""),"",D3127*E3127)</f>
        <v/>
      </c>
      <c r="I3127" s="8">
        <f>IF(OR(D3127="",E3127=""),"",E3127*(1+D3127/30))</f>
        <v/>
      </c>
      <c r="J3127">
        <f>IF(I3127="","",IF(I3127&gt;=MAXIFS($I$2:$I$5001,$B$2:$B$5001,B3127,$A$2:$A$5001,"&lt;="&amp;A3127),"PR",""))</f>
        <v/>
      </c>
    </row>
    <row r="3128">
      <c r="A3128" s="7" t="n"/>
      <c r="H3128" s="11">
        <f>IF(OR(D3128="",E3128=""),"",D3128*E3128)</f>
        <v/>
      </c>
      <c r="I3128" s="8">
        <f>IF(OR(D3128="",E3128=""),"",E3128*(1+D3128/30))</f>
        <v/>
      </c>
      <c r="J3128">
        <f>IF(I3128="","",IF(I3128&gt;=MAXIFS($I$2:$I$5001,$B$2:$B$5001,B3128,$A$2:$A$5001,"&lt;="&amp;A3128),"PR",""))</f>
        <v/>
      </c>
    </row>
    <row r="3129">
      <c r="A3129" s="7" t="n"/>
      <c r="H3129" s="11">
        <f>IF(OR(D3129="",E3129=""),"",D3129*E3129)</f>
        <v/>
      </c>
      <c r="I3129" s="8">
        <f>IF(OR(D3129="",E3129=""),"",E3129*(1+D3129/30))</f>
        <v/>
      </c>
      <c r="J3129">
        <f>IF(I3129="","",IF(I3129&gt;=MAXIFS($I$2:$I$5001,$B$2:$B$5001,B3129,$A$2:$A$5001,"&lt;="&amp;A3129),"PR",""))</f>
        <v/>
      </c>
    </row>
    <row r="3130">
      <c r="A3130" s="7" t="n"/>
      <c r="H3130" s="11">
        <f>IF(OR(D3130="",E3130=""),"",D3130*E3130)</f>
        <v/>
      </c>
      <c r="I3130" s="8">
        <f>IF(OR(D3130="",E3130=""),"",E3130*(1+D3130/30))</f>
        <v/>
      </c>
      <c r="J3130">
        <f>IF(I3130="","",IF(I3130&gt;=MAXIFS($I$2:$I$5001,$B$2:$B$5001,B3130,$A$2:$A$5001,"&lt;="&amp;A3130),"PR",""))</f>
        <v/>
      </c>
    </row>
    <row r="3131">
      <c r="A3131" s="7" t="n"/>
      <c r="H3131" s="11">
        <f>IF(OR(D3131="",E3131=""),"",D3131*E3131)</f>
        <v/>
      </c>
      <c r="I3131" s="8">
        <f>IF(OR(D3131="",E3131=""),"",E3131*(1+D3131/30))</f>
        <v/>
      </c>
      <c r="J3131">
        <f>IF(I3131="","",IF(I3131&gt;=MAXIFS($I$2:$I$5001,$B$2:$B$5001,B3131,$A$2:$A$5001,"&lt;="&amp;A3131),"PR",""))</f>
        <v/>
      </c>
    </row>
    <row r="3132">
      <c r="A3132" s="7" t="n"/>
      <c r="H3132" s="11">
        <f>IF(OR(D3132="",E3132=""),"",D3132*E3132)</f>
        <v/>
      </c>
      <c r="I3132" s="8">
        <f>IF(OR(D3132="",E3132=""),"",E3132*(1+D3132/30))</f>
        <v/>
      </c>
      <c r="J3132">
        <f>IF(I3132="","",IF(I3132&gt;=MAXIFS($I$2:$I$5001,$B$2:$B$5001,B3132,$A$2:$A$5001,"&lt;="&amp;A3132),"PR",""))</f>
        <v/>
      </c>
    </row>
    <row r="3133">
      <c r="A3133" s="7" t="n"/>
      <c r="H3133" s="11">
        <f>IF(OR(D3133="",E3133=""),"",D3133*E3133)</f>
        <v/>
      </c>
      <c r="I3133" s="8">
        <f>IF(OR(D3133="",E3133=""),"",E3133*(1+D3133/30))</f>
        <v/>
      </c>
      <c r="J3133">
        <f>IF(I3133="","",IF(I3133&gt;=MAXIFS($I$2:$I$5001,$B$2:$B$5001,B3133,$A$2:$A$5001,"&lt;="&amp;A3133),"PR",""))</f>
        <v/>
      </c>
    </row>
    <row r="3134">
      <c r="A3134" s="7" t="n"/>
      <c r="H3134" s="11">
        <f>IF(OR(D3134="",E3134=""),"",D3134*E3134)</f>
        <v/>
      </c>
      <c r="I3134" s="8">
        <f>IF(OR(D3134="",E3134=""),"",E3134*(1+D3134/30))</f>
        <v/>
      </c>
      <c r="J3134">
        <f>IF(I3134="","",IF(I3134&gt;=MAXIFS($I$2:$I$5001,$B$2:$B$5001,B3134,$A$2:$A$5001,"&lt;="&amp;A3134),"PR",""))</f>
        <v/>
      </c>
    </row>
    <row r="3135">
      <c r="A3135" s="7" t="n"/>
      <c r="H3135" s="11">
        <f>IF(OR(D3135="",E3135=""),"",D3135*E3135)</f>
        <v/>
      </c>
      <c r="I3135" s="8">
        <f>IF(OR(D3135="",E3135=""),"",E3135*(1+D3135/30))</f>
        <v/>
      </c>
      <c r="J3135">
        <f>IF(I3135="","",IF(I3135&gt;=MAXIFS($I$2:$I$5001,$B$2:$B$5001,B3135,$A$2:$A$5001,"&lt;="&amp;A3135),"PR",""))</f>
        <v/>
      </c>
    </row>
    <row r="3136">
      <c r="A3136" s="7" t="n"/>
      <c r="H3136" s="11">
        <f>IF(OR(D3136="",E3136=""),"",D3136*E3136)</f>
        <v/>
      </c>
      <c r="I3136" s="8">
        <f>IF(OR(D3136="",E3136=""),"",E3136*(1+D3136/30))</f>
        <v/>
      </c>
      <c r="J3136">
        <f>IF(I3136="","",IF(I3136&gt;=MAXIFS($I$2:$I$5001,$B$2:$B$5001,B3136,$A$2:$A$5001,"&lt;="&amp;A3136),"PR",""))</f>
        <v/>
      </c>
    </row>
    <row r="3137">
      <c r="A3137" s="7" t="n"/>
      <c r="H3137" s="11">
        <f>IF(OR(D3137="",E3137=""),"",D3137*E3137)</f>
        <v/>
      </c>
      <c r="I3137" s="8">
        <f>IF(OR(D3137="",E3137=""),"",E3137*(1+D3137/30))</f>
        <v/>
      </c>
      <c r="J3137">
        <f>IF(I3137="","",IF(I3137&gt;=MAXIFS($I$2:$I$5001,$B$2:$B$5001,B3137,$A$2:$A$5001,"&lt;="&amp;A3137),"PR",""))</f>
        <v/>
      </c>
    </row>
    <row r="3138">
      <c r="A3138" s="7" t="n"/>
      <c r="H3138" s="11">
        <f>IF(OR(D3138="",E3138=""),"",D3138*E3138)</f>
        <v/>
      </c>
      <c r="I3138" s="8">
        <f>IF(OR(D3138="",E3138=""),"",E3138*(1+D3138/30))</f>
        <v/>
      </c>
      <c r="J3138">
        <f>IF(I3138="","",IF(I3138&gt;=MAXIFS($I$2:$I$5001,$B$2:$B$5001,B3138,$A$2:$A$5001,"&lt;="&amp;A3138),"PR",""))</f>
        <v/>
      </c>
    </row>
    <row r="3139">
      <c r="A3139" s="7" t="n"/>
      <c r="H3139" s="11">
        <f>IF(OR(D3139="",E3139=""),"",D3139*E3139)</f>
        <v/>
      </c>
      <c r="I3139" s="8">
        <f>IF(OR(D3139="",E3139=""),"",E3139*(1+D3139/30))</f>
        <v/>
      </c>
      <c r="J3139">
        <f>IF(I3139="","",IF(I3139&gt;=MAXIFS($I$2:$I$5001,$B$2:$B$5001,B3139,$A$2:$A$5001,"&lt;="&amp;A3139),"PR",""))</f>
        <v/>
      </c>
    </row>
    <row r="3140">
      <c r="A3140" s="7" t="n"/>
      <c r="H3140" s="11">
        <f>IF(OR(D3140="",E3140=""),"",D3140*E3140)</f>
        <v/>
      </c>
      <c r="I3140" s="8">
        <f>IF(OR(D3140="",E3140=""),"",E3140*(1+D3140/30))</f>
        <v/>
      </c>
      <c r="J3140">
        <f>IF(I3140="","",IF(I3140&gt;=MAXIFS($I$2:$I$5001,$B$2:$B$5001,B3140,$A$2:$A$5001,"&lt;="&amp;A3140),"PR",""))</f>
        <v/>
      </c>
    </row>
    <row r="3141">
      <c r="A3141" s="7" t="n"/>
      <c r="H3141" s="11">
        <f>IF(OR(D3141="",E3141=""),"",D3141*E3141)</f>
        <v/>
      </c>
      <c r="I3141" s="8">
        <f>IF(OR(D3141="",E3141=""),"",E3141*(1+D3141/30))</f>
        <v/>
      </c>
      <c r="J3141">
        <f>IF(I3141="","",IF(I3141&gt;=MAXIFS($I$2:$I$5001,$B$2:$B$5001,B3141,$A$2:$A$5001,"&lt;="&amp;A3141),"PR",""))</f>
        <v/>
      </c>
    </row>
    <row r="3142">
      <c r="A3142" s="7" t="n"/>
      <c r="H3142" s="11">
        <f>IF(OR(D3142="",E3142=""),"",D3142*E3142)</f>
        <v/>
      </c>
      <c r="I3142" s="8">
        <f>IF(OR(D3142="",E3142=""),"",E3142*(1+D3142/30))</f>
        <v/>
      </c>
      <c r="J3142">
        <f>IF(I3142="","",IF(I3142&gt;=MAXIFS($I$2:$I$5001,$B$2:$B$5001,B3142,$A$2:$A$5001,"&lt;="&amp;A3142),"PR",""))</f>
        <v/>
      </c>
    </row>
    <row r="3143">
      <c r="A3143" s="7" t="n"/>
      <c r="H3143" s="11">
        <f>IF(OR(D3143="",E3143=""),"",D3143*E3143)</f>
        <v/>
      </c>
      <c r="I3143" s="8">
        <f>IF(OR(D3143="",E3143=""),"",E3143*(1+D3143/30))</f>
        <v/>
      </c>
      <c r="J3143">
        <f>IF(I3143="","",IF(I3143&gt;=MAXIFS($I$2:$I$5001,$B$2:$B$5001,B3143,$A$2:$A$5001,"&lt;="&amp;A3143),"PR",""))</f>
        <v/>
      </c>
    </row>
    <row r="3144">
      <c r="A3144" s="7" t="n"/>
      <c r="H3144" s="11">
        <f>IF(OR(D3144="",E3144=""),"",D3144*E3144)</f>
        <v/>
      </c>
      <c r="I3144" s="8">
        <f>IF(OR(D3144="",E3144=""),"",E3144*(1+D3144/30))</f>
        <v/>
      </c>
      <c r="J3144">
        <f>IF(I3144="","",IF(I3144&gt;=MAXIFS($I$2:$I$5001,$B$2:$B$5001,B3144,$A$2:$A$5001,"&lt;="&amp;A3144),"PR",""))</f>
        <v/>
      </c>
    </row>
    <row r="3145">
      <c r="A3145" s="7" t="n"/>
      <c r="H3145" s="11">
        <f>IF(OR(D3145="",E3145=""),"",D3145*E3145)</f>
        <v/>
      </c>
      <c r="I3145" s="8">
        <f>IF(OR(D3145="",E3145=""),"",E3145*(1+D3145/30))</f>
        <v/>
      </c>
      <c r="J3145">
        <f>IF(I3145="","",IF(I3145&gt;=MAXIFS($I$2:$I$5001,$B$2:$B$5001,B3145,$A$2:$A$5001,"&lt;="&amp;A3145),"PR",""))</f>
        <v/>
      </c>
    </row>
    <row r="3146">
      <c r="A3146" s="7" t="n"/>
      <c r="H3146" s="11">
        <f>IF(OR(D3146="",E3146=""),"",D3146*E3146)</f>
        <v/>
      </c>
      <c r="I3146" s="8">
        <f>IF(OR(D3146="",E3146=""),"",E3146*(1+D3146/30))</f>
        <v/>
      </c>
      <c r="J3146">
        <f>IF(I3146="","",IF(I3146&gt;=MAXIFS($I$2:$I$5001,$B$2:$B$5001,B3146,$A$2:$A$5001,"&lt;="&amp;A3146),"PR",""))</f>
        <v/>
      </c>
    </row>
    <row r="3147">
      <c r="A3147" s="7" t="n"/>
      <c r="H3147" s="11">
        <f>IF(OR(D3147="",E3147=""),"",D3147*E3147)</f>
        <v/>
      </c>
      <c r="I3147" s="8">
        <f>IF(OR(D3147="",E3147=""),"",E3147*(1+D3147/30))</f>
        <v/>
      </c>
      <c r="J3147">
        <f>IF(I3147="","",IF(I3147&gt;=MAXIFS($I$2:$I$5001,$B$2:$B$5001,B3147,$A$2:$A$5001,"&lt;="&amp;A3147),"PR",""))</f>
        <v/>
      </c>
    </row>
    <row r="3148">
      <c r="A3148" s="7" t="n"/>
      <c r="H3148" s="11">
        <f>IF(OR(D3148="",E3148=""),"",D3148*E3148)</f>
        <v/>
      </c>
      <c r="I3148" s="8">
        <f>IF(OR(D3148="",E3148=""),"",E3148*(1+D3148/30))</f>
        <v/>
      </c>
      <c r="J3148">
        <f>IF(I3148="","",IF(I3148&gt;=MAXIFS($I$2:$I$5001,$B$2:$B$5001,B3148,$A$2:$A$5001,"&lt;="&amp;A3148),"PR",""))</f>
        <v/>
      </c>
    </row>
    <row r="3149">
      <c r="A3149" s="7" t="n"/>
      <c r="H3149" s="11">
        <f>IF(OR(D3149="",E3149=""),"",D3149*E3149)</f>
        <v/>
      </c>
      <c r="I3149" s="8">
        <f>IF(OR(D3149="",E3149=""),"",E3149*(1+D3149/30))</f>
        <v/>
      </c>
      <c r="J3149">
        <f>IF(I3149="","",IF(I3149&gt;=MAXIFS($I$2:$I$5001,$B$2:$B$5001,B3149,$A$2:$A$5001,"&lt;="&amp;A3149),"PR",""))</f>
        <v/>
      </c>
    </row>
    <row r="3150">
      <c r="A3150" s="7" t="n"/>
      <c r="H3150" s="11">
        <f>IF(OR(D3150="",E3150=""),"",D3150*E3150)</f>
        <v/>
      </c>
      <c r="I3150" s="8">
        <f>IF(OR(D3150="",E3150=""),"",E3150*(1+D3150/30))</f>
        <v/>
      </c>
      <c r="J3150">
        <f>IF(I3150="","",IF(I3150&gt;=MAXIFS($I$2:$I$5001,$B$2:$B$5001,B3150,$A$2:$A$5001,"&lt;="&amp;A3150),"PR",""))</f>
        <v/>
      </c>
    </row>
    <row r="3151">
      <c r="A3151" s="7" t="n"/>
      <c r="H3151" s="11">
        <f>IF(OR(D3151="",E3151=""),"",D3151*E3151)</f>
        <v/>
      </c>
      <c r="I3151" s="8">
        <f>IF(OR(D3151="",E3151=""),"",E3151*(1+D3151/30))</f>
        <v/>
      </c>
      <c r="J3151">
        <f>IF(I3151="","",IF(I3151&gt;=MAXIFS($I$2:$I$5001,$B$2:$B$5001,B3151,$A$2:$A$5001,"&lt;="&amp;A3151),"PR",""))</f>
        <v/>
      </c>
    </row>
    <row r="3152">
      <c r="A3152" s="7" t="n"/>
      <c r="H3152" s="11">
        <f>IF(OR(D3152="",E3152=""),"",D3152*E3152)</f>
        <v/>
      </c>
      <c r="I3152" s="8">
        <f>IF(OR(D3152="",E3152=""),"",E3152*(1+D3152/30))</f>
        <v/>
      </c>
      <c r="J3152">
        <f>IF(I3152="","",IF(I3152&gt;=MAXIFS($I$2:$I$5001,$B$2:$B$5001,B3152,$A$2:$A$5001,"&lt;="&amp;A3152),"PR",""))</f>
        <v/>
      </c>
    </row>
    <row r="3153">
      <c r="A3153" s="7" t="n"/>
      <c r="H3153" s="11">
        <f>IF(OR(D3153="",E3153=""),"",D3153*E3153)</f>
        <v/>
      </c>
      <c r="I3153" s="8">
        <f>IF(OR(D3153="",E3153=""),"",E3153*(1+D3153/30))</f>
        <v/>
      </c>
      <c r="J3153">
        <f>IF(I3153="","",IF(I3153&gt;=MAXIFS($I$2:$I$5001,$B$2:$B$5001,B3153,$A$2:$A$5001,"&lt;="&amp;A3153),"PR",""))</f>
        <v/>
      </c>
    </row>
    <row r="3154">
      <c r="A3154" s="7" t="n"/>
      <c r="H3154" s="11">
        <f>IF(OR(D3154="",E3154=""),"",D3154*E3154)</f>
        <v/>
      </c>
      <c r="I3154" s="8">
        <f>IF(OR(D3154="",E3154=""),"",E3154*(1+D3154/30))</f>
        <v/>
      </c>
      <c r="J3154">
        <f>IF(I3154="","",IF(I3154&gt;=MAXIFS($I$2:$I$5001,$B$2:$B$5001,B3154,$A$2:$A$5001,"&lt;="&amp;A3154),"PR",""))</f>
        <v/>
      </c>
    </row>
    <row r="3155">
      <c r="A3155" s="7" t="n"/>
      <c r="H3155" s="11">
        <f>IF(OR(D3155="",E3155=""),"",D3155*E3155)</f>
        <v/>
      </c>
      <c r="I3155" s="8">
        <f>IF(OR(D3155="",E3155=""),"",E3155*(1+D3155/30))</f>
        <v/>
      </c>
      <c r="J3155">
        <f>IF(I3155="","",IF(I3155&gt;=MAXIFS($I$2:$I$5001,$B$2:$B$5001,B3155,$A$2:$A$5001,"&lt;="&amp;A3155),"PR",""))</f>
        <v/>
      </c>
    </row>
    <row r="3156">
      <c r="A3156" s="7" t="n"/>
      <c r="H3156" s="11">
        <f>IF(OR(D3156="",E3156=""),"",D3156*E3156)</f>
        <v/>
      </c>
      <c r="I3156" s="8">
        <f>IF(OR(D3156="",E3156=""),"",E3156*(1+D3156/30))</f>
        <v/>
      </c>
      <c r="J3156">
        <f>IF(I3156="","",IF(I3156&gt;=MAXIFS($I$2:$I$5001,$B$2:$B$5001,B3156,$A$2:$A$5001,"&lt;="&amp;A3156),"PR",""))</f>
        <v/>
      </c>
    </row>
    <row r="3157">
      <c r="A3157" s="7" t="n"/>
      <c r="H3157" s="11">
        <f>IF(OR(D3157="",E3157=""),"",D3157*E3157)</f>
        <v/>
      </c>
      <c r="I3157" s="8">
        <f>IF(OR(D3157="",E3157=""),"",E3157*(1+D3157/30))</f>
        <v/>
      </c>
      <c r="J3157">
        <f>IF(I3157="","",IF(I3157&gt;=MAXIFS($I$2:$I$5001,$B$2:$B$5001,B3157,$A$2:$A$5001,"&lt;="&amp;A3157),"PR",""))</f>
        <v/>
      </c>
    </row>
    <row r="3158">
      <c r="A3158" s="7" t="n"/>
      <c r="H3158" s="11">
        <f>IF(OR(D3158="",E3158=""),"",D3158*E3158)</f>
        <v/>
      </c>
      <c r="I3158" s="8">
        <f>IF(OR(D3158="",E3158=""),"",E3158*(1+D3158/30))</f>
        <v/>
      </c>
      <c r="J3158">
        <f>IF(I3158="","",IF(I3158&gt;=MAXIFS($I$2:$I$5001,$B$2:$B$5001,B3158,$A$2:$A$5001,"&lt;="&amp;A3158),"PR",""))</f>
        <v/>
      </c>
    </row>
    <row r="3159">
      <c r="A3159" s="7" t="n"/>
      <c r="H3159" s="11">
        <f>IF(OR(D3159="",E3159=""),"",D3159*E3159)</f>
        <v/>
      </c>
      <c r="I3159" s="8">
        <f>IF(OR(D3159="",E3159=""),"",E3159*(1+D3159/30))</f>
        <v/>
      </c>
      <c r="J3159">
        <f>IF(I3159="","",IF(I3159&gt;=MAXIFS($I$2:$I$5001,$B$2:$B$5001,B3159,$A$2:$A$5001,"&lt;="&amp;A3159),"PR",""))</f>
        <v/>
      </c>
    </row>
    <row r="3160">
      <c r="A3160" s="7" t="n"/>
      <c r="H3160" s="11">
        <f>IF(OR(D3160="",E3160=""),"",D3160*E3160)</f>
        <v/>
      </c>
      <c r="I3160" s="8">
        <f>IF(OR(D3160="",E3160=""),"",E3160*(1+D3160/30))</f>
        <v/>
      </c>
      <c r="J3160">
        <f>IF(I3160="","",IF(I3160&gt;=MAXIFS($I$2:$I$5001,$B$2:$B$5001,B3160,$A$2:$A$5001,"&lt;="&amp;A3160),"PR",""))</f>
        <v/>
      </c>
    </row>
    <row r="3161">
      <c r="A3161" s="7" t="n"/>
      <c r="H3161" s="11">
        <f>IF(OR(D3161="",E3161=""),"",D3161*E3161)</f>
        <v/>
      </c>
      <c r="I3161" s="8">
        <f>IF(OR(D3161="",E3161=""),"",E3161*(1+D3161/30))</f>
        <v/>
      </c>
      <c r="J3161">
        <f>IF(I3161="","",IF(I3161&gt;=MAXIFS($I$2:$I$5001,$B$2:$B$5001,B3161,$A$2:$A$5001,"&lt;="&amp;A3161),"PR",""))</f>
        <v/>
      </c>
    </row>
    <row r="3162">
      <c r="A3162" s="7" t="n"/>
      <c r="H3162" s="11">
        <f>IF(OR(D3162="",E3162=""),"",D3162*E3162)</f>
        <v/>
      </c>
      <c r="I3162" s="8">
        <f>IF(OR(D3162="",E3162=""),"",E3162*(1+D3162/30))</f>
        <v/>
      </c>
      <c r="J3162">
        <f>IF(I3162="","",IF(I3162&gt;=MAXIFS($I$2:$I$5001,$B$2:$B$5001,B3162,$A$2:$A$5001,"&lt;="&amp;A3162),"PR",""))</f>
        <v/>
      </c>
    </row>
    <row r="3163">
      <c r="A3163" s="7" t="n"/>
      <c r="H3163" s="11">
        <f>IF(OR(D3163="",E3163=""),"",D3163*E3163)</f>
        <v/>
      </c>
      <c r="I3163" s="8">
        <f>IF(OR(D3163="",E3163=""),"",E3163*(1+D3163/30))</f>
        <v/>
      </c>
      <c r="J3163">
        <f>IF(I3163="","",IF(I3163&gt;=MAXIFS($I$2:$I$5001,$B$2:$B$5001,B3163,$A$2:$A$5001,"&lt;="&amp;A3163),"PR",""))</f>
        <v/>
      </c>
    </row>
    <row r="3164">
      <c r="A3164" s="7" t="n"/>
      <c r="H3164" s="11">
        <f>IF(OR(D3164="",E3164=""),"",D3164*E3164)</f>
        <v/>
      </c>
      <c r="I3164" s="8">
        <f>IF(OR(D3164="",E3164=""),"",E3164*(1+D3164/30))</f>
        <v/>
      </c>
      <c r="J3164">
        <f>IF(I3164="","",IF(I3164&gt;=MAXIFS($I$2:$I$5001,$B$2:$B$5001,B3164,$A$2:$A$5001,"&lt;="&amp;A3164),"PR",""))</f>
        <v/>
      </c>
    </row>
    <row r="3165">
      <c r="A3165" s="7" t="n"/>
      <c r="H3165" s="11">
        <f>IF(OR(D3165="",E3165=""),"",D3165*E3165)</f>
        <v/>
      </c>
      <c r="I3165" s="8">
        <f>IF(OR(D3165="",E3165=""),"",E3165*(1+D3165/30))</f>
        <v/>
      </c>
      <c r="J3165">
        <f>IF(I3165="","",IF(I3165&gt;=MAXIFS($I$2:$I$5001,$B$2:$B$5001,B3165,$A$2:$A$5001,"&lt;="&amp;A3165),"PR",""))</f>
        <v/>
      </c>
    </row>
    <row r="3166">
      <c r="A3166" s="7" t="n"/>
      <c r="H3166" s="11">
        <f>IF(OR(D3166="",E3166=""),"",D3166*E3166)</f>
        <v/>
      </c>
      <c r="I3166" s="8">
        <f>IF(OR(D3166="",E3166=""),"",E3166*(1+D3166/30))</f>
        <v/>
      </c>
      <c r="J3166">
        <f>IF(I3166="","",IF(I3166&gt;=MAXIFS($I$2:$I$5001,$B$2:$B$5001,B3166,$A$2:$A$5001,"&lt;="&amp;A3166),"PR",""))</f>
        <v/>
      </c>
    </row>
    <row r="3167">
      <c r="A3167" s="7" t="n"/>
      <c r="H3167" s="11">
        <f>IF(OR(D3167="",E3167=""),"",D3167*E3167)</f>
        <v/>
      </c>
      <c r="I3167" s="8">
        <f>IF(OR(D3167="",E3167=""),"",E3167*(1+D3167/30))</f>
        <v/>
      </c>
      <c r="J3167">
        <f>IF(I3167="","",IF(I3167&gt;=MAXIFS($I$2:$I$5001,$B$2:$B$5001,B3167,$A$2:$A$5001,"&lt;="&amp;A3167),"PR",""))</f>
        <v/>
      </c>
    </row>
    <row r="3168">
      <c r="A3168" s="7" t="n"/>
      <c r="H3168" s="11">
        <f>IF(OR(D3168="",E3168=""),"",D3168*E3168)</f>
        <v/>
      </c>
      <c r="I3168" s="8">
        <f>IF(OR(D3168="",E3168=""),"",E3168*(1+D3168/30))</f>
        <v/>
      </c>
      <c r="J3168">
        <f>IF(I3168="","",IF(I3168&gt;=MAXIFS($I$2:$I$5001,$B$2:$B$5001,B3168,$A$2:$A$5001,"&lt;="&amp;A3168),"PR",""))</f>
        <v/>
      </c>
    </row>
    <row r="3169">
      <c r="A3169" s="7" t="n"/>
      <c r="H3169" s="11">
        <f>IF(OR(D3169="",E3169=""),"",D3169*E3169)</f>
        <v/>
      </c>
      <c r="I3169" s="8">
        <f>IF(OR(D3169="",E3169=""),"",E3169*(1+D3169/30))</f>
        <v/>
      </c>
      <c r="J3169">
        <f>IF(I3169="","",IF(I3169&gt;=MAXIFS($I$2:$I$5001,$B$2:$B$5001,B3169,$A$2:$A$5001,"&lt;="&amp;A3169),"PR",""))</f>
        <v/>
      </c>
    </row>
    <row r="3170">
      <c r="A3170" s="7" t="n"/>
      <c r="H3170" s="11">
        <f>IF(OR(D3170="",E3170=""),"",D3170*E3170)</f>
        <v/>
      </c>
      <c r="I3170" s="8">
        <f>IF(OR(D3170="",E3170=""),"",E3170*(1+D3170/30))</f>
        <v/>
      </c>
      <c r="J3170">
        <f>IF(I3170="","",IF(I3170&gt;=MAXIFS($I$2:$I$5001,$B$2:$B$5001,B3170,$A$2:$A$5001,"&lt;="&amp;A3170),"PR",""))</f>
        <v/>
      </c>
    </row>
    <row r="3171">
      <c r="A3171" s="7" t="n"/>
      <c r="H3171" s="11">
        <f>IF(OR(D3171="",E3171=""),"",D3171*E3171)</f>
        <v/>
      </c>
      <c r="I3171" s="8">
        <f>IF(OR(D3171="",E3171=""),"",E3171*(1+D3171/30))</f>
        <v/>
      </c>
      <c r="J3171">
        <f>IF(I3171="","",IF(I3171&gt;=MAXIFS($I$2:$I$5001,$B$2:$B$5001,B3171,$A$2:$A$5001,"&lt;="&amp;A3171),"PR",""))</f>
        <v/>
      </c>
    </row>
    <row r="3172">
      <c r="A3172" s="7" t="n"/>
      <c r="H3172" s="11">
        <f>IF(OR(D3172="",E3172=""),"",D3172*E3172)</f>
        <v/>
      </c>
      <c r="I3172" s="8">
        <f>IF(OR(D3172="",E3172=""),"",E3172*(1+D3172/30))</f>
        <v/>
      </c>
      <c r="J3172">
        <f>IF(I3172="","",IF(I3172&gt;=MAXIFS($I$2:$I$5001,$B$2:$B$5001,B3172,$A$2:$A$5001,"&lt;="&amp;A3172),"PR",""))</f>
        <v/>
      </c>
    </row>
    <row r="3173">
      <c r="A3173" s="7" t="n"/>
      <c r="H3173" s="11">
        <f>IF(OR(D3173="",E3173=""),"",D3173*E3173)</f>
        <v/>
      </c>
      <c r="I3173" s="8">
        <f>IF(OR(D3173="",E3173=""),"",E3173*(1+D3173/30))</f>
        <v/>
      </c>
      <c r="J3173">
        <f>IF(I3173="","",IF(I3173&gt;=MAXIFS($I$2:$I$5001,$B$2:$B$5001,B3173,$A$2:$A$5001,"&lt;="&amp;A3173),"PR",""))</f>
        <v/>
      </c>
    </row>
    <row r="3174">
      <c r="A3174" s="7" t="n"/>
      <c r="H3174" s="11">
        <f>IF(OR(D3174="",E3174=""),"",D3174*E3174)</f>
        <v/>
      </c>
      <c r="I3174" s="8">
        <f>IF(OR(D3174="",E3174=""),"",E3174*(1+D3174/30))</f>
        <v/>
      </c>
      <c r="J3174">
        <f>IF(I3174="","",IF(I3174&gt;=MAXIFS($I$2:$I$5001,$B$2:$B$5001,B3174,$A$2:$A$5001,"&lt;="&amp;A3174),"PR",""))</f>
        <v/>
      </c>
    </row>
    <row r="3175">
      <c r="A3175" s="7" t="n"/>
      <c r="H3175" s="11">
        <f>IF(OR(D3175="",E3175=""),"",D3175*E3175)</f>
        <v/>
      </c>
      <c r="I3175" s="8">
        <f>IF(OR(D3175="",E3175=""),"",E3175*(1+D3175/30))</f>
        <v/>
      </c>
      <c r="J3175">
        <f>IF(I3175="","",IF(I3175&gt;=MAXIFS($I$2:$I$5001,$B$2:$B$5001,B3175,$A$2:$A$5001,"&lt;="&amp;A3175),"PR",""))</f>
        <v/>
      </c>
    </row>
    <row r="3176">
      <c r="A3176" s="7" t="n"/>
      <c r="H3176" s="11">
        <f>IF(OR(D3176="",E3176=""),"",D3176*E3176)</f>
        <v/>
      </c>
      <c r="I3176" s="8">
        <f>IF(OR(D3176="",E3176=""),"",E3176*(1+D3176/30))</f>
        <v/>
      </c>
      <c r="J3176">
        <f>IF(I3176="","",IF(I3176&gt;=MAXIFS($I$2:$I$5001,$B$2:$B$5001,B3176,$A$2:$A$5001,"&lt;="&amp;A3176),"PR",""))</f>
        <v/>
      </c>
    </row>
    <row r="3177">
      <c r="A3177" s="7" t="n"/>
      <c r="H3177" s="11">
        <f>IF(OR(D3177="",E3177=""),"",D3177*E3177)</f>
        <v/>
      </c>
      <c r="I3177" s="8">
        <f>IF(OR(D3177="",E3177=""),"",E3177*(1+D3177/30))</f>
        <v/>
      </c>
      <c r="J3177">
        <f>IF(I3177="","",IF(I3177&gt;=MAXIFS($I$2:$I$5001,$B$2:$B$5001,B3177,$A$2:$A$5001,"&lt;="&amp;A3177),"PR",""))</f>
        <v/>
      </c>
    </row>
    <row r="3178">
      <c r="A3178" s="7" t="n"/>
      <c r="H3178" s="11">
        <f>IF(OR(D3178="",E3178=""),"",D3178*E3178)</f>
        <v/>
      </c>
      <c r="I3178" s="8">
        <f>IF(OR(D3178="",E3178=""),"",E3178*(1+D3178/30))</f>
        <v/>
      </c>
      <c r="J3178">
        <f>IF(I3178="","",IF(I3178&gt;=MAXIFS($I$2:$I$5001,$B$2:$B$5001,B3178,$A$2:$A$5001,"&lt;="&amp;A3178),"PR",""))</f>
        <v/>
      </c>
    </row>
    <row r="3179">
      <c r="A3179" s="7" t="n"/>
      <c r="H3179" s="11">
        <f>IF(OR(D3179="",E3179=""),"",D3179*E3179)</f>
        <v/>
      </c>
      <c r="I3179" s="8">
        <f>IF(OR(D3179="",E3179=""),"",E3179*(1+D3179/30))</f>
        <v/>
      </c>
      <c r="J3179">
        <f>IF(I3179="","",IF(I3179&gt;=MAXIFS($I$2:$I$5001,$B$2:$B$5001,B3179,$A$2:$A$5001,"&lt;="&amp;A3179),"PR",""))</f>
        <v/>
      </c>
    </row>
    <row r="3180">
      <c r="A3180" s="7" t="n"/>
      <c r="H3180" s="11">
        <f>IF(OR(D3180="",E3180=""),"",D3180*E3180)</f>
        <v/>
      </c>
      <c r="I3180" s="8">
        <f>IF(OR(D3180="",E3180=""),"",E3180*(1+D3180/30))</f>
        <v/>
      </c>
      <c r="J3180">
        <f>IF(I3180="","",IF(I3180&gt;=MAXIFS($I$2:$I$5001,$B$2:$B$5001,B3180,$A$2:$A$5001,"&lt;="&amp;A3180),"PR",""))</f>
        <v/>
      </c>
    </row>
    <row r="3181">
      <c r="A3181" s="7" t="n"/>
      <c r="H3181" s="11">
        <f>IF(OR(D3181="",E3181=""),"",D3181*E3181)</f>
        <v/>
      </c>
      <c r="I3181" s="8">
        <f>IF(OR(D3181="",E3181=""),"",E3181*(1+D3181/30))</f>
        <v/>
      </c>
      <c r="J3181">
        <f>IF(I3181="","",IF(I3181&gt;=MAXIFS($I$2:$I$5001,$B$2:$B$5001,B3181,$A$2:$A$5001,"&lt;="&amp;A3181),"PR",""))</f>
        <v/>
      </c>
    </row>
    <row r="3182">
      <c r="A3182" s="7" t="n"/>
      <c r="H3182" s="11">
        <f>IF(OR(D3182="",E3182=""),"",D3182*E3182)</f>
        <v/>
      </c>
      <c r="I3182" s="8">
        <f>IF(OR(D3182="",E3182=""),"",E3182*(1+D3182/30))</f>
        <v/>
      </c>
      <c r="J3182">
        <f>IF(I3182="","",IF(I3182&gt;=MAXIFS($I$2:$I$5001,$B$2:$B$5001,B3182,$A$2:$A$5001,"&lt;="&amp;A3182),"PR",""))</f>
        <v/>
      </c>
    </row>
    <row r="3183">
      <c r="A3183" s="7" t="n"/>
      <c r="H3183" s="11">
        <f>IF(OR(D3183="",E3183=""),"",D3183*E3183)</f>
        <v/>
      </c>
      <c r="I3183" s="8">
        <f>IF(OR(D3183="",E3183=""),"",E3183*(1+D3183/30))</f>
        <v/>
      </c>
      <c r="J3183">
        <f>IF(I3183="","",IF(I3183&gt;=MAXIFS($I$2:$I$5001,$B$2:$B$5001,B3183,$A$2:$A$5001,"&lt;="&amp;A3183),"PR",""))</f>
        <v/>
      </c>
    </row>
    <row r="3184">
      <c r="A3184" s="7" t="n"/>
      <c r="H3184" s="11">
        <f>IF(OR(D3184="",E3184=""),"",D3184*E3184)</f>
        <v/>
      </c>
      <c r="I3184" s="8">
        <f>IF(OR(D3184="",E3184=""),"",E3184*(1+D3184/30))</f>
        <v/>
      </c>
      <c r="J3184">
        <f>IF(I3184="","",IF(I3184&gt;=MAXIFS($I$2:$I$5001,$B$2:$B$5001,B3184,$A$2:$A$5001,"&lt;="&amp;A3184),"PR",""))</f>
        <v/>
      </c>
    </row>
    <row r="3185">
      <c r="A3185" s="7" t="n"/>
      <c r="H3185" s="11">
        <f>IF(OR(D3185="",E3185=""),"",D3185*E3185)</f>
        <v/>
      </c>
      <c r="I3185" s="8">
        <f>IF(OR(D3185="",E3185=""),"",E3185*(1+D3185/30))</f>
        <v/>
      </c>
      <c r="J3185">
        <f>IF(I3185="","",IF(I3185&gt;=MAXIFS($I$2:$I$5001,$B$2:$B$5001,B3185,$A$2:$A$5001,"&lt;="&amp;A3185),"PR",""))</f>
        <v/>
      </c>
    </row>
    <row r="3186">
      <c r="A3186" s="7" t="n"/>
      <c r="H3186" s="11">
        <f>IF(OR(D3186="",E3186=""),"",D3186*E3186)</f>
        <v/>
      </c>
      <c r="I3186" s="8">
        <f>IF(OR(D3186="",E3186=""),"",E3186*(1+D3186/30))</f>
        <v/>
      </c>
      <c r="J3186">
        <f>IF(I3186="","",IF(I3186&gt;=MAXIFS($I$2:$I$5001,$B$2:$B$5001,B3186,$A$2:$A$5001,"&lt;="&amp;A3186),"PR",""))</f>
        <v/>
      </c>
    </row>
    <row r="3187">
      <c r="A3187" s="7" t="n"/>
      <c r="H3187" s="11">
        <f>IF(OR(D3187="",E3187=""),"",D3187*E3187)</f>
        <v/>
      </c>
      <c r="I3187" s="8">
        <f>IF(OR(D3187="",E3187=""),"",E3187*(1+D3187/30))</f>
        <v/>
      </c>
      <c r="J3187">
        <f>IF(I3187="","",IF(I3187&gt;=MAXIFS($I$2:$I$5001,$B$2:$B$5001,B3187,$A$2:$A$5001,"&lt;="&amp;A3187),"PR",""))</f>
        <v/>
      </c>
    </row>
    <row r="3188">
      <c r="A3188" s="7" t="n"/>
      <c r="H3188" s="11">
        <f>IF(OR(D3188="",E3188=""),"",D3188*E3188)</f>
        <v/>
      </c>
      <c r="I3188" s="8">
        <f>IF(OR(D3188="",E3188=""),"",E3188*(1+D3188/30))</f>
        <v/>
      </c>
      <c r="J3188">
        <f>IF(I3188="","",IF(I3188&gt;=MAXIFS($I$2:$I$5001,$B$2:$B$5001,B3188,$A$2:$A$5001,"&lt;="&amp;A3188),"PR",""))</f>
        <v/>
      </c>
    </row>
    <row r="3189">
      <c r="A3189" s="7" t="n"/>
      <c r="H3189" s="11">
        <f>IF(OR(D3189="",E3189=""),"",D3189*E3189)</f>
        <v/>
      </c>
      <c r="I3189" s="8">
        <f>IF(OR(D3189="",E3189=""),"",E3189*(1+D3189/30))</f>
        <v/>
      </c>
      <c r="J3189">
        <f>IF(I3189="","",IF(I3189&gt;=MAXIFS($I$2:$I$5001,$B$2:$B$5001,B3189,$A$2:$A$5001,"&lt;="&amp;A3189),"PR",""))</f>
        <v/>
      </c>
    </row>
    <row r="3190">
      <c r="A3190" s="7" t="n"/>
      <c r="H3190" s="11">
        <f>IF(OR(D3190="",E3190=""),"",D3190*E3190)</f>
        <v/>
      </c>
      <c r="I3190" s="8">
        <f>IF(OR(D3190="",E3190=""),"",E3190*(1+D3190/30))</f>
        <v/>
      </c>
      <c r="J3190">
        <f>IF(I3190="","",IF(I3190&gt;=MAXIFS($I$2:$I$5001,$B$2:$B$5001,B3190,$A$2:$A$5001,"&lt;="&amp;A3190),"PR",""))</f>
        <v/>
      </c>
    </row>
    <row r="3191">
      <c r="A3191" s="7" t="n"/>
      <c r="H3191" s="11">
        <f>IF(OR(D3191="",E3191=""),"",D3191*E3191)</f>
        <v/>
      </c>
      <c r="I3191" s="8">
        <f>IF(OR(D3191="",E3191=""),"",E3191*(1+D3191/30))</f>
        <v/>
      </c>
      <c r="J3191">
        <f>IF(I3191="","",IF(I3191&gt;=MAXIFS($I$2:$I$5001,$B$2:$B$5001,B3191,$A$2:$A$5001,"&lt;="&amp;A3191),"PR",""))</f>
        <v/>
      </c>
    </row>
    <row r="3192">
      <c r="A3192" s="7" t="n"/>
      <c r="H3192" s="11">
        <f>IF(OR(D3192="",E3192=""),"",D3192*E3192)</f>
        <v/>
      </c>
      <c r="I3192" s="8">
        <f>IF(OR(D3192="",E3192=""),"",E3192*(1+D3192/30))</f>
        <v/>
      </c>
      <c r="J3192">
        <f>IF(I3192="","",IF(I3192&gt;=MAXIFS($I$2:$I$5001,$B$2:$B$5001,B3192,$A$2:$A$5001,"&lt;="&amp;A3192),"PR",""))</f>
        <v/>
      </c>
    </row>
    <row r="3193">
      <c r="A3193" s="7" t="n"/>
      <c r="H3193" s="11">
        <f>IF(OR(D3193="",E3193=""),"",D3193*E3193)</f>
        <v/>
      </c>
      <c r="I3193" s="8">
        <f>IF(OR(D3193="",E3193=""),"",E3193*(1+D3193/30))</f>
        <v/>
      </c>
      <c r="J3193">
        <f>IF(I3193="","",IF(I3193&gt;=MAXIFS($I$2:$I$5001,$B$2:$B$5001,B3193,$A$2:$A$5001,"&lt;="&amp;A3193),"PR",""))</f>
        <v/>
      </c>
    </row>
    <row r="3194">
      <c r="A3194" s="7" t="n"/>
      <c r="H3194" s="11">
        <f>IF(OR(D3194="",E3194=""),"",D3194*E3194)</f>
        <v/>
      </c>
      <c r="I3194" s="8">
        <f>IF(OR(D3194="",E3194=""),"",E3194*(1+D3194/30))</f>
        <v/>
      </c>
      <c r="J3194">
        <f>IF(I3194="","",IF(I3194&gt;=MAXIFS($I$2:$I$5001,$B$2:$B$5001,B3194,$A$2:$A$5001,"&lt;="&amp;A3194),"PR",""))</f>
        <v/>
      </c>
    </row>
    <row r="3195">
      <c r="A3195" s="7" t="n"/>
      <c r="H3195" s="11">
        <f>IF(OR(D3195="",E3195=""),"",D3195*E3195)</f>
        <v/>
      </c>
      <c r="I3195" s="8">
        <f>IF(OR(D3195="",E3195=""),"",E3195*(1+D3195/30))</f>
        <v/>
      </c>
      <c r="J3195">
        <f>IF(I3195="","",IF(I3195&gt;=MAXIFS($I$2:$I$5001,$B$2:$B$5001,B3195,$A$2:$A$5001,"&lt;="&amp;A3195),"PR",""))</f>
        <v/>
      </c>
    </row>
    <row r="3196">
      <c r="A3196" s="7" t="n"/>
      <c r="H3196" s="11">
        <f>IF(OR(D3196="",E3196=""),"",D3196*E3196)</f>
        <v/>
      </c>
      <c r="I3196" s="8">
        <f>IF(OR(D3196="",E3196=""),"",E3196*(1+D3196/30))</f>
        <v/>
      </c>
      <c r="J3196">
        <f>IF(I3196="","",IF(I3196&gt;=MAXIFS($I$2:$I$5001,$B$2:$B$5001,B3196,$A$2:$A$5001,"&lt;="&amp;A3196),"PR",""))</f>
        <v/>
      </c>
    </row>
    <row r="3197">
      <c r="A3197" s="7" t="n"/>
      <c r="H3197" s="11">
        <f>IF(OR(D3197="",E3197=""),"",D3197*E3197)</f>
        <v/>
      </c>
      <c r="I3197" s="8">
        <f>IF(OR(D3197="",E3197=""),"",E3197*(1+D3197/30))</f>
        <v/>
      </c>
      <c r="J3197">
        <f>IF(I3197="","",IF(I3197&gt;=MAXIFS($I$2:$I$5001,$B$2:$B$5001,B3197,$A$2:$A$5001,"&lt;="&amp;A3197),"PR",""))</f>
        <v/>
      </c>
    </row>
    <row r="3198">
      <c r="A3198" s="7" t="n"/>
      <c r="H3198" s="11">
        <f>IF(OR(D3198="",E3198=""),"",D3198*E3198)</f>
        <v/>
      </c>
      <c r="I3198" s="8">
        <f>IF(OR(D3198="",E3198=""),"",E3198*(1+D3198/30))</f>
        <v/>
      </c>
      <c r="J3198">
        <f>IF(I3198="","",IF(I3198&gt;=MAXIFS($I$2:$I$5001,$B$2:$B$5001,B3198,$A$2:$A$5001,"&lt;="&amp;A3198),"PR",""))</f>
        <v/>
      </c>
    </row>
    <row r="3199">
      <c r="A3199" s="7" t="n"/>
      <c r="H3199" s="11">
        <f>IF(OR(D3199="",E3199=""),"",D3199*E3199)</f>
        <v/>
      </c>
      <c r="I3199" s="8">
        <f>IF(OR(D3199="",E3199=""),"",E3199*(1+D3199/30))</f>
        <v/>
      </c>
      <c r="J3199">
        <f>IF(I3199="","",IF(I3199&gt;=MAXIFS($I$2:$I$5001,$B$2:$B$5001,B3199,$A$2:$A$5001,"&lt;="&amp;A3199),"PR",""))</f>
        <v/>
      </c>
    </row>
    <row r="3200">
      <c r="A3200" s="7" t="n"/>
      <c r="H3200" s="11">
        <f>IF(OR(D3200="",E3200=""),"",D3200*E3200)</f>
        <v/>
      </c>
      <c r="I3200" s="8">
        <f>IF(OR(D3200="",E3200=""),"",E3200*(1+D3200/30))</f>
        <v/>
      </c>
      <c r="J3200">
        <f>IF(I3200="","",IF(I3200&gt;=MAXIFS($I$2:$I$5001,$B$2:$B$5001,B3200,$A$2:$A$5001,"&lt;="&amp;A3200),"PR",""))</f>
        <v/>
      </c>
    </row>
    <row r="3201">
      <c r="A3201" s="7" t="n"/>
      <c r="H3201" s="11">
        <f>IF(OR(D3201="",E3201=""),"",D3201*E3201)</f>
        <v/>
      </c>
      <c r="I3201" s="8">
        <f>IF(OR(D3201="",E3201=""),"",E3201*(1+D3201/30))</f>
        <v/>
      </c>
      <c r="J3201">
        <f>IF(I3201="","",IF(I3201&gt;=MAXIFS($I$2:$I$5001,$B$2:$B$5001,B3201,$A$2:$A$5001,"&lt;="&amp;A3201),"PR",""))</f>
        <v/>
      </c>
    </row>
    <row r="3202">
      <c r="A3202" s="7" t="n"/>
      <c r="H3202" s="11">
        <f>IF(OR(D3202="",E3202=""),"",D3202*E3202)</f>
        <v/>
      </c>
      <c r="I3202" s="8">
        <f>IF(OR(D3202="",E3202=""),"",E3202*(1+D3202/30))</f>
        <v/>
      </c>
      <c r="J3202">
        <f>IF(I3202="","",IF(I3202&gt;=MAXIFS($I$2:$I$5001,$B$2:$B$5001,B3202,$A$2:$A$5001,"&lt;="&amp;A3202),"PR",""))</f>
        <v/>
      </c>
    </row>
    <row r="3203">
      <c r="A3203" s="7" t="n"/>
      <c r="H3203" s="11">
        <f>IF(OR(D3203="",E3203=""),"",D3203*E3203)</f>
        <v/>
      </c>
      <c r="I3203" s="8">
        <f>IF(OR(D3203="",E3203=""),"",E3203*(1+D3203/30))</f>
        <v/>
      </c>
      <c r="J3203">
        <f>IF(I3203="","",IF(I3203&gt;=MAXIFS($I$2:$I$5001,$B$2:$B$5001,B3203,$A$2:$A$5001,"&lt;="&amp;A3203),"PR",""))</f>
        <v/>
      </c>
    </row>
    <row r="3204">
      <c r="A3204" s="7" t="n"/>
      <c r="H3204" s="11">
        <f>IF(OR(D3204="",E3204=""),"",D3204*E3204)</f>
        <v/>
      </c>
      <c r="I3204" s="8">
        <f>IF(OR(D3204="",E3204=""),"",E3204*(1+D3204/30))</f>
        <v/>
      </c>
      <c r="J3204">
        <f>IF(I3204="","",IF(I3204&gt;=MAXIFS($I$2:$I$5001,$B$2:$B$5001,B3204,$A$2:$A$5001,"&lt;="&amp;A3204),"PR",""))</f>
        <v/>
      </c>
    </row>
    <row r="3205">
      <c r="A3205" s="7" t="n"/>
      <c r="H3205" s="11">
        <f>IF(OR(D3205="",E3205=""),"",D3205*E3205)</f>
        <v/>
      </c>
      <c r="I3205" s="8">
        <f>IF(OR(D3205="",E3205=""),"",E3205*(1+D3205/30))</f>
        <v/>
      </c>
      <c r="J3205">
        <f>IF(I3205="","",IF(I3205&gt;=MAXIFS($I$2:$I$5001,$B$2:$B$5001,B3205,$A$2:$A$5001,"&lt;="&amp;A3205),"PR",""))</f>
        <v/>
      </c>
    </row>
    <row r="3206">
      <c r="A3206" s="7" t="n"/>
      <c r="H3206" s="11">
        <f>IF(OR(D3206="",E3206=""),"",D3206*E3206)</f>
        <v/>
      </c>
      <c r="I3206" s="8">
        <f>IF(OR(D3206="",E3206=""),"",E3206*(1+D3206/30))</f>
        <v/>
      </c>
      <c r="J3206">
        <f>IF(I3206="","",IF(I3206&gt;=MAXIFS($I$2:$I$5001,$B$2:$B$5001,B3206,$A$2:$A$5001,"&lt;="&amp;A3206),"PR",""))</f>
        <v/>
      </c>
    </row>
    <row r="3207">
      <c r="A3207" s="7" t="n"/>
      <c r="H3207" s="11">
        <f>IF(OR(D3207="",E3207=""),"",D3207*E3207)</f>
        <v/>
      </c>
      <c r="I3207" s="8">
        <f>IF(OR(D3207="",E3207=""),"",E3207*(1+D3207/30))</f>
        <v/>
      </c>
      <c r="J3207">
        <f>IF(I3207="","",IF(I3207&gt;=MAXIFS($I$2:$I$5001,$B$2:$B$5001,B3207,$A$2:$A$5001,"&lt;="&amp;A3207),"PR",""))</f>
        <v/>
      </c>
    </row>
    <row r="3208">
      <c r="A3208" s="7" t="n"/>
      <c r="H3208" s="11">
        <f>IF(OR(D3208="",E3208=""),"",D3208*E3208)</f>
        <v/>
      </c>
      <c r="I3208" s="8">
        <f>IF(OR(D3208="",E3208=""),"",E3208*(1+D3208/30))</f>
        <v/>
      </c>
      <c r="J3208">
        <f>IF(I3208="","",IF(I3208&gt;=MAXIFS($I$2:$I$5001,$B$2:$B$5001,B3208,$A$2:$A$5001,"&lt;="&amp;A3208),"PR",""))</f>
        <v/>
      </c>
    </row>
    <row r="3209">
      <c r="A3209" s="7" t="n"/>
      <c r="H3209" s="11">
        <f>IF(OR(D3209="",E3209=""),"",D3209*E3209)</f>
        <v/>
      </c>
      <c r="I3209" s="8">
        <f>IF(OR(D3209="",E3209=""),"",E3209*(1+D3209/30))</f>
        <v/>
      </c>
      <c r="J3209">
        <f>IF(I3209="","",IF(I3209&gt;=MAXIFS($I$2:$I$5001,$B$2:$B$5001,B3209,$A$2:$A$5001,"&lt;="&amp;A3209),"PR",""))</f>
        <v/>
      </c>
    </row>
    <row r="3210">
      <c r="A3210" s="7" t="n"/>
      <c r="H3210" s="11">
        <f>IF(OR(D3210="",E3210=""),"",D3210*E3210)</f>
        <v/>
      </c>
      <c r="I3210" s="8">
        <f>IF(OR(D3210="",E3210=""),"",E3210*(1+D3210/30))</f>
        <v/>
      </c>
      <c r="J3210">
        <f>IF(I3210="","",IF(I3210&gt;=MAXIFS($I$2:$I$5001,$B$2:$B$5001,B3210,$A$2:$A$5001,"&lt;="&amp;A3210),"PR",""))</f>
        <v/>
      </c>
    </row>
    <row r="3211">
      <c r="A3211" s="7" t="n"/>
      <c r="H3211" s="11">
        <f>IF(OR(D3211="",E3211=""),"",D3211*E3211)</f>
        <v/>
      </c>
      <c r="I3211" s="8">
        <f>IF(OR(D3211="",E3211=""),"",E3211*(1+D3211/30))</f>
        <v/>
      </c>
      <c r="J3211">
        <f>IF(I3211="","",IF(I3211&gt;=MAXIFS($I$2:$I$5001,$B$2:$B$5001,B3211,$A$2:$A$5001,"&lt;="&amp;A3211),"PR",""))</f>
        <v/>
      </c>
    </row>
    <row r="3212">
      <c r="A3212" s="7" t="n"/>
      <c r="H3212" s="11">
        <f>IF(OR(D3212="",E3212=""),"",D3212*E3212)</f>
        <v/>
      </c>
      <c r="I3212" s="8">
        <f>IF(OR(D3212="",E3212=""),"",E3212*(1+D3212/30))</f>
        <v/>
      </c>
      <c r="J3212">
        <f>IF(I3212="","",IF(I3212&gt;=MAXIFS($I$2:$I$5001,$B$2:$B$5001,B3212,$A$2:$A$5001,"&lt;="&amp;A3212),"PR",""))</f>
        <v/>
      </c>
    </row>
    <row r="3213">
      <c r="A3213" s="7" t="n"/>
      <c r="H3213" s="11">
        <f>IF(OR(D3213="",E3213=""),"",D3213*E3213)</f>
        <v/>
      </c>
      <c r="I3213" s="8">
        <f>IF(OR(D3213="",E3213=""),"",E3213*(1+D3213/30))</f>
        <v/>
      </c>
      <c r="J3213">
        <f>IF(I3213="","",IF(I3213&gt;=MAXIFS($I$2:$I$5001,$B$2:$B$5001,B3213,$A$2:$A$5001,"&lt;="&amp;A3213),"PR",""))</f>
        <v/>
      </c>
    </row>
    <row r="3214">
      <c r="A3214" s="7" t="n"/>
      <c r="H3214" s="11">
        <f>IF(OR(D3214="",E3214=""),"",D3214*E3214)</f>
        <v/>
      </c>
      <c r="I3214" s="8">
        <f>IF(OR(D3214="",E3214=""),"",E3214*(1+D3214/30))</f>
        <v/>
      </c>
      <c r="J3214">
        <f>IF(I3214="","",IF(I3214&gt;=MAXIFS($I$2:$I$5001,$B$2:$B$5001,B3214,$A$2:$A$5001,"&lt;="&amp;A3214),"PR",""))</f>
        <v/>
      </c>
    </row>
    <row r="3215">
      <c r="A3215" s="7" t="n"/>
      <c r="H3215" s="11">
        <f>IF(OR(D3215="",E3215=""),"",D3215*E3215)</f>
        <v/>
      </c>
      <c r="I3215" s="8">
        <f>IF(OR(D3215="",E3215=""),"",E3215*(1+D3215/30))</f>
        <v/>
      </c>
      <c r="J3215">
        <f>IF(I3215="","",IF(I3215&gt;=MAXIFS($I$2:$I$5001,$B$2:$B$5001,B3215,$A$2:$A$5001,"&lt;="&amp;A3215),"PR",""))</f>
        <v/>
      </c>
    </row>
    <row r="3216">
      <c r="A3216" s="7" t="n"/>
      <c r="H3216" s="11">
        <f>IF(OR(D3216="",E3216=""),"",D3216*E3216)</f>
        <v/>
      </c>
      <c r="I3216" s="8">
        <f>IF(OR(D3216="",E3216=""),"",E3216*(1+D3216/30))</f>
        <v/>
      </c>
      <c r="J3216">
        <f>IF(I3216="","",IF(I3216&gt;=MAXIFS($I$2:$I$5001,$B$2:$B$5001,B3216,$A$2:$A$5001,"&lt;="&amp;A3216),"PR",""))</f>
        <v/>
      </c>
    </row>
    <row r="3217">
      <c r="A3217" s="7" t="n"/>
      <c r="H3217" s="11">
        <f>IF(OR(D3217="",E3217=""),"",D3217*E3217)</f>
        <v/>
      </c>
      <c r="I3217" s="8">
        <f>IF(OR(D3217="",E3217=""),"",E3217*(1+D3217/30))</f>
        <v/>
      </c>
      <c r="J3217">
        <f>IF(I3217="","",IF(I3217&gt;=MAXIFS($I$2:$I$5001,$B$2:$B$5001,B3217,$A$2:$A$5001,"&lt;="&amp;A3217),"PR",""))</f>
        <v/>
      </c>
    </row>
    <row r="3218">
      <c r="A3218" s="7" t="n"/>
      <c r="H3218" s="11">
        <f>IF(OR(D3218="",E3218=""),"",D3218*E3218)</f>
        <v/>
      </c>
      <c r="I3218" s="8">
        <f>IF(OR(D3218="",E3218=""),"",E3218*(1+D3218/30))</f>
        <v/>
      </c>
      <c r="J3218">
        <f>IF(I3218="","",IF(I3218&gt;=MAXIFS($I$2:$I$5001,$B$2:$B$5001,B3218,$A$2:$A$5001,"&lt;="&amp;A3218),"PR",""))</f>
        <v/>
      </c>
    </row>
    <row r="3219">
      <c r="A3219" s="7" t="n"/>
      <c r="H3219" s="11">
        <f>IF(OR(D3219="",E3219=""),"",D3219*E3219)</f>
        <v/>
      </c>
      <c r="I3219" s="8">
        <f>IF(OR(D3219="",E3219=""),"",E3219*(1+D3219/30))</f>
        <v/>
      </c>
      <c r="J3219">
        <f>IF(I3219="","",IF(I3219&gt;=MAXIFS($I$2:$I$5001,$B$2:$B$5001,B3219,$A$2:$A$5001,"&lt;="&amp;A3219),"PR",""))</f>
        <v/>
      </c>
    </row>
    <row r="3220">
      <c r="A3220" s="7" t="n"/>
      <c r="H3220" s="11">
        <f>IF(OR(D3220="",E3220=""),"",D3220*E3220)</f>
        <v/>
      </c>
      <c r="I3220" s="8">
        <f>IF(OR(D3220="",E3220=""),"",E3220*(1+D3220/30))</f>
        <v/>
      </c>
      <c r="J3220">
        <f>IF(I3220="","",IF(I3220&gt;=MAXIFS($I$2:$I$5001,$B$2:$B$5001,B3220,$A$2:$A$5001,"&lt;="&amp;A3220),"PR",""))</f>
        <v/>
      </c>
    </row>
    <row r="3221">
      <c r="A3221" s="7" t="n"/>
      <c r="H3221" s="11">
        <f>IF(OR(D3221="",E3221=""),"",D3221*E3221)</f>
        <v/>
      </c>
      <c r="I3221" s="8">
        <f>IF(OR(D3221="",E3221=""),"",E3221*(1+D3221/30))</f>
        <v/>
      </c>
      <c r="J3221">
        <f>IF(I3221="","",IF(I3221&gt;=MAXIFS($I$2:$I$5001,$B$2:$B$5001,B3221,$A$2:$A$5001,"&lt;="&amp;A3221),"PR",""))</f>
        <v/>
      </c>
    </row>
    <row r="3222">
      <c r="A3222" s="7" t="n"/>
      <c r="H3222" s="11">
        <f>IF(OR(D3222="",E3222=""),"",D3222*E3222)</f>
        <v/>
      </c>
      <c r="I3222" s="8">
        <f>IF(OR(D3222="",E3222=""),"",E3222*(1+D3222/30))</f>
        <v/>
      </c>
      <c r="J3222">
        <f>IF(I3222="","",IF(I3222&gt;=MAXIFS($I$2:$I$5001,$B$2:$B$5001,B3222,$A$2:$A$5001,"&lt;="&amp;A3222),"PR",""))</f>
        <v/>
      </c>
    </row>
    <row r="3223">
      <c r="A3223" s="7" t="n"/>
      <c r="H3223" s="11">
        <f>IF(OR(D3223="",E3223=""),"",D3223*E3223)</f>
        <v/>
      </c>
      <c r="I3223" s="8">
        <f>IF(OR(D3223="",E3223=""),"",E3223*(1+D3223/30))</f>
        <v/>
      </c>
      <c r="J3223">
        <f>IF(I3223="","",IF(I3223&gt;=MAXIFS($I$2:$I$5001,$B$2:$B$5001,B3223,$A$2:$A$5001,"&lt;="&amp;A3223),"PR",""))</f>
        <v/>
      </c>
    </row>
    <row r="3224">
      <c r="A3224" s="7" t="n"/>
      <c r="H3224" s="11">
        <f>IF(OR(D3224="",E3224=""),"",D3224*E3224)</f>
        <v/>
      </c>
      <c r="I3224" s="8">
        <f>IF(OR(D3224="",E3224=""),"",E3224*(1+D3224/30))</f>
        <v/>
      </c>
      <c r="J3224">
        <f>IF(I3224="","",IF(I3224&gt;=MAXIFS($I$2:$I$5001,$B$2:$B$5001,B3224,$A$2:$A$5001,"&lt;="&amp;A3224),"PR",""))</f>
        <v/>
      </c>
    </row>
    <row r="3225">
      <c r="A3225" s="7" t="n"/>
      <c r="H3225" s="11">
        <f>IF(OR(D3225="",E3225=""),"",D3225*E3225)</f>
        <v/>
      </c>
      <c r="I3225" s="8">
        <f>IF(OR(D3225="",E3225=""),"",E3225*(1+D3225/30))</f>
        <v/>
      </c>
      <c r="J3225">
        <f>IF(I3225="","",IF(I3225&gt;=MAXIFS($I$2:$I$5001,$B$2:$B$5001,B3225,$A$2:$A$5001,"&lt;="&amp;A3225),"PR",""))</f>
        <v/>
      </c>
    </row>
    <row r="3226">
      <c r="A3226" s="7" t="n"/>
      <c r="H3226" s="11">
        <f>IF(OR(D3226="",E3226=""),"",D3226*E3226)</f>
        <v/>
      </c>
      <c r="I3226" s="8">
        <f>IF(OR(D3226="",E3226=""),"",E3226*(1+D3226/30))</f>
        <v/>
      </c>
      <c r="J3226">
        <f>IF(I3226="","",IF(I3226&gt;=MAXIFS($I$2:$I$5001,$B$2:$B$5001,B3226,$A$2:$A$5001,"&lt;="&amp;A3226),"PR",""))</f>
        <v/>
      </c>
    </row>
    <row r="3227">
      <c r="A3227" s="7" t="n"/>
      <c r="H3227" s="11">
        <f>IF(OR(D3227="",E3227=""),"",D3227*E3227)</f>
        <v/>
      </c>
      <c r="I3227" s="8">
        <f>IF(OR(D3227="",E3227=""),"",E3227*(1+D3227/30))</f>
        <v/>
      </c>
      <c r="J3227">
        <f>IF(I3227="","",IF(I3227&gt;=MAXIFS($I$2:$I$5001,$B$2:$B$5001,B3227,$A$2:$A$5001,"&lt;="&amp;A3227),"PR",""))</f>
        <v/>
      </c>
    </row>
    <row r="3228">
      <c r="A3228" s="7" t="n"/>
      <c r="H3228" s="11">
        <f>IF(OR(D3228="",E3228=""),"",D3228*E3228)</f>
        <v/>
      </c>
      <c r="I3228" s="8">
        <f>IF(OR(D3228="",E3228=""),"",E3228*(1+D3228/30))</f>
        <v/>
      </c>
      <c r="J3228">
        <f>IF(I3228="","",IF(I3228&gt;=MAXIFS($I$2:$I$5001,$B$2:$B$5001,B3228,$A$2:$A$5001,"&lt;="&amp;A3228),"PR",""))</f>
        <v/>
      </c>
    </row>
    <row r="3229">
      <c r="A3229" s="7" t="n"/>
      <c r="H3229" s="11">
        <f>IF(OR(D3229="",E3229=""),"",D3229*E3229)</f>
        <v/>
      </c>
      <c r="I3229" s="8">
        <f>IF(OR(D3229="",E3229=""),"",E3229*(1+D3229/30))</f>
        <v/>
      </c>
      <c r="J3229">
        <f>IF(I3229="","",IF(I3229&gt;=MAXIFS($I$2:$I$5001,$B$2:$B$5001,B3229,$A$2:$A$5001,"&lt;="&amp;A3229),"PR",""))</f>
        <v/>
      </c>
    </row>
    <row r="3230">
      <c r="A3230" s="7" t="n"/>
      <c r="H3230" s="11">
        <f>IF(OR(D3230="",E3230=""),"",D3230*E3230)</f>
        <v/>
      </c>
      <c r="I3230" s="8">
        <f>IF(OR(D3230="",E3230=""),"",E3230*(1+D3230/30))</f>
        <v/>
      </c>
      <c r="J3230">
        <f>IF(I3230="","",IF(I3230&gt;=MAXIFS($I$2:$I$5001,$B$2:$B$5001,B3230,$A$2:$A$5001,"&lt;="&amp;A3230),"PR",""))</f>
        <v/>
      </c>
    </row>
    <row r="3231">
      <c r="A3231" s="7" t="n"/>
      <c r="H3231" s="11">
        <f>IF(OR(D3231="",E3231=""),"",D3231*E3231)</f>
        <v/>
      </c>
      <c r="I3231" s="8">
        <f>IF(OR(D3231="",E3231=""),"",E3231*(1+D3231/30))</f>
        <v/>
      </c>
      <c r="J3231">
        <f>IF(I3231="","",IF(I3231&gt;=MAXIFS($I$2:$I$5001,$B$2:$B$5001,B3231,$A$2:$A$5001,"&lt;="&amp;A3231),"PR",""))</f>
        <v/>
      </c>
    </row>
    <row r="3232">
      <c r="A3232" s="7" t="n"/>
      <c r="H3232" s="11">
        <f>IF(OR(D3232="",E3232=""),"",D3232*E3232)</f>
        <v/>
      </c>
      <c r="I3232" s="8">
        <f>IF(OR(D3232="",E3232=""),"",E3232*(1+D3232/30))</f>
        <v/>
      </c>
      <c r="J3232">
        <f>IF(I3232="","",IF(I3232&gt;=MAXIFS($I$2:$I$5001,$B$2:$B$5001,B3232,$A$2:$A$5001,"&lt;="&amp;A3232),"PR",""))</f>
        <v/>
      </c>
    </row>
    <row r="3233">
      <c r="A3233" s="7" t="n"/>
      <c r="H3233" s="11">
        <f>IF(OR(D3233="",E3233=""),"",D3233*E3233)</f>
        <v/>
      </c>
      <c r="I3233" s="8">
        <f>IF(OR(D3233="",E3233=""),"",E3233*(1+D3233/30))</f>
        <v/>
      </c>
      <c r="J3233">
        <f>IF(I3233="","",IF(I3233&gt;=MAXIFS($I$2:$I$5001,$B$2:$B$5001,B3233,$A$2:$A$5001,"&lt;="&amp;A3233),"PR",""))</f>
        <v/>
      </c>
    </row>
    <row r="3234">
      <c r="A3234" s="7" t="n"/>
      <c r="H3234" s="11">
        <f>IF(OR(D3234="",E3234=""),"",D3234*E3234)</f>
        <v/>
      </c>
      <c r="I3234" s="8">
        <f>IF(OR(D3234="",E3234=""),"",E3234*(1+D3234/30))</f>
        <v/>
      </c>
      <c r="J3234">
        <f>IF(I3234="","",IF(I3234&gt;=MAXIFS($I$2:$I$5001,$B$2:$B$5001,B3234,$A$2:$A$5001,"&lt;="&amp;A3234),"PR",""))</f>
        <v/>
      </c>
    </row>
    <row r="3235">
      <c r="A3235" s="7" t="n"/>
      <c r="H3235" s="11">
        <f>IF(OR(D3235="",E3235=""),"",D3235*E3235)</f>
        <v/>
      </c>
      <c r="I3235" s="8">
        <f>IF(OR(D3235="",E3235=""),"",E3235*(1+D3235/30))</f>
        <v/>
      </c>
      <c r="J3235">
        <f>IF(I3235="","",IF(I3235&gt;=MAXIFS($I$2:$I$5001,$B$2:$B$5001,B3235,$A$2:$A$5001,"&lt;="&amp;A3235),"PR",""))</f>
        <v/>
      </c>
    </row>
    <row r="3236">
      <c r="A3236" s="7" t="n"/>
      <c r="H3236" s="11">
        <f>IF(OR(D3236="",E3236=""),"",D3236*E3236)</f>
        <v/>
      </c>
      <c r="I3236" s="8">
        <f>IF(OR(D3236="",E3236=""),"",E3236*(1+D3236/30))</f>
        <v/>
      </c>
      <c r="J3236">
        <f>IF(I3236="","",IF(I3236&gt;=MAXIFS($I$2:$I$5001,$B$2:$B$5001,B3236,$A$2:$A$5001,"&lt;="&amp;A3236),"PR",""))</f>
        <v/>
      </c>
    </row>
    <row r="3237">
      <c r="A3237" s="7" t="n"/>
      <c r="H3237" s="11">
        <f>IF(OR(D3237="",E3237=""),"",D3237*E3237)</f>
        <v/>
      </c>
      <c r="I3237" s="8">
        <f>IF(OR(D3237="",E3237=""),"",E3237*(1+D3237/30))</f>
        <v/>
      </c>
      <c r="J3237">
        <f>IF(I3237="","",IF(I3237&gt;=MAXIFS($I$2:$I$5001,$B$2:$B$5001,B3237,$A$2:$A$5001,"&lt;="&amp;A3237),"PR",""))</f>
        <v/>
      </c>
    </row>
    <row r="3238">
      <c r="A3238" s="7" t="n"/>
      <c r="H3238" s="11">
        <f>IF(OR(D3238="",E3238=""),"",D3238*E3238)</f>
        <v/>
      </c>
      <c r="I3238" s="8">
        <f>IF(OR(D3238="",E3238=""),"",E3238*(1+D3238/30))</f>
        <v/>
      </c>
      <c r="J3238">
        <f>IF(I3238="","",IF(I3238&gt;=MAXIFS($I$2:$I$5001,$B$2:$B$5001,B3238,$A$2:$A$5001,"&lt;="&amp;A3238),"PR",""))</f>
        <v/>
      </c>
    </row>
    <row r="3239">
      <c r="A3239" s="7" t="n"/>
      <c r="H3239" s="11">
        <f>IF(OR(D3239="",E3239=""),"",D3239*E3239)</f>
        <v/>
      </c>
      <c r="I3239" s="8">
        <f>IF(OR(D3239="",E3239=""),"",E3239*(1+D3239/30))</f>
        <v/>
      </c>
      <c r="J3239">
        <f>IF(I3239="","",IF(I3239&gt;=MAXIFS($I$2:$I$5001,$B$2:$B$5001,B3239,$A$2:$A$5001,"&lt;="&amp;A3239),"PR",""))</f>
        <v/>
      </c>
    </row>
    <row r="3240">
      <c r="A3240" s="7" t="n"/>
      <c r="H3240" s="11">
        <f>IF(OR(D3240="",E3240=""),"",D3240*E3240)</f>
        <v/>
      </c>
      <c r="I3240" s="8">
        <f>IF(OR(D3240="",E3240=""),"",E3240*(1+D3240/30))</f>
        <v/>
      </c>
      <c r="J3240">
        <f>IF(I3240="","",IF(I3240&gt;=MAXIFS($I$2:$I$5001,$B$2:$B$5001,B3240,$A$2:$A$5001,"&lt;="&amp;A3240),"PR",""))</f>
        <v/>
      </c>
    </row>
    <row r="3241">
      <c r="A3241" s="7" t="n"/>
      <c r="H3241" s="11">
        <f>IF(OR(D3241="",E3241=""),"",D3241*E3241)</f>
        <v/>
      </c>
      <c r="I3241" s="8">
        <f>IF(OR(D3241="",E3241=""),"",E3241*(1+D3241/30))</f>
        <v/>
      </c>
      <c r="J3241">
        <f>IF(I3241="","",IF(I3241&gt;=MAXIFS($I$2:$I$5001,$B$2:$B$5001,B3241,$A$2:$A$5001,"&lt;="&amp;A3241),"PR",""))</f>
        <v/>
      </c>
    </row>
    <row r="3242">
      <c r="A3242" s="7" t="n"/>
      <c r="H3242" s="11">
        <f>IF(OR(D3242="",E3242=""),"",D3242*E3242)</f>
        <v/>
      </c>
      <c r="I3242" s="8">
        <f>IF(OR(D3242="",E3242=""),"",E3242*(1+D3242/30))</f>
        <v/>
      </c>
      <c r="J3242">
        <f>IF(I3242="","",IF(I3242&gt;=MAXIFS($I$2:$I$5001,$B$2:$B$5001,B3242,$A$2:$A$5001,"&lt;="&amp;A3242),"PR",""))</f>
        <v/>
      </c>
    </row>
    <row r="3243">
      <c r="A3243" s="7" t="n"/>
      <c r="H3243" s="11">
        <f>IF(OR(D3243="",E3243=""),"",D3243*E3243)</f>
        <v/>
      </c>
      <c r="I3243" s="8">
        <f>IF(OR(D3243="",E3243=""),"",E3243*(1+D3243/30))</f>
        <v/>
      </c>
      <c r="J3243">
        <f>IF(I3243="","",IF(I3243&gt;=MAXIFS($I$2:$I$5001,$B$2:$B$5001,B3243,$A$2:$A$5001,"&lt;="&amp;A3243),"PR",""))</f>
        <v/>
      </c>
    </row>
    <row r="3244">
      <c r="A3244" s="7" t="n"/>
      <c r="H3244" s="11">
        <f>IF(OR(D3244="",E3244=""),"",D3244*E3244)</f>
        <v/>
      </c>
      <c r="I3244" s="8">
        <f>IF(OR(D3244="",E3244=""),"",E3244*(1+D3244/30))</f>
        <v/>
      </c>
      <c r="J3244">
        <f>IF(I3244="","",IF(I3244&gt;=MAXIFS($I$2:$I$5001,$B$2:$B$5001,B3244,$A$2:$A$5001,"&lt;="&amp;A3244),"PR",""))</f>
        <v/>
      </c>
    </row>
    <row r="3245">
      <c r="A3245" s="7" t="n"/>
      <c r="H3245" s="11">
        <f>IF(OR(D3245="",E3245=""),"",D3245*E3245)</f>
        <v/>
      </c>
      <c r="I3245" s="8">
        <f>IF(OR(D3245="",E3245=""),"",E3245*(1+D3245/30))</f>
        <v/>
      </c>
      <c r="J3245">
        <f>IF(I3245="","",IF(I3245&gt;=MAXIFS($I$2:$I$5001,$B$2:$B$5001,B3245,$A$2:$A$5001,"&lt;="&amp;A3245),"PR",""))</f>
        <v/>
      </c>
    </row>
    <row r="3246">
      <c r="A3246" s="7" t="n"/>
      <c r="H3246" s="11">
        <f>IF(OR(D3246="",E3246=""),"",D3246*E3246)</f>
        <v/>
      </c>
      <c r="I3246" s="8">
        <f>IF(OR(D3246="",E3246=""),"",E3246*(1+D3246/30))</f>
        <v/>
      </c>
      <c r="J3246">
        <f>IF(I3246="","",IF(I3246&gt;=MAXIFS($I$2:$I$5001,$B$2:$B$5001,B3246,$A$2:$A$5001,"&lt;="&amp;A3246),"PR",""))</f>
        <v/>
      </c>
    </row>
    <row r="3247">
      <c r="A3247" s="7" t="n"/>
      <c r="H3247" s="11">
        <f>IF(OR(D3247="",E3247=""),"",D3247*E3247)</f>
        <v/>
      </c>
      <c r="I3247" s="8">
        <f>IF(OR(D3247="",E3247=""),"",E3247*(1+D3247/30))</f>
        <v/>
      </c>
      <c r="J3247">
        <f>IF(I3247="","",IF(I3247&gt;=MAXIFS($I$2:$I$5001,$B$2:$B$5001,B3247,$A$2:$A$5001,"&lt;="&amp;A3247),"PR",""))</f>
        <v/>
      </c>
    </row>
    <row r="3248">
      <c r="A3248" s="7" t="n"/>
      <c r="H3248" s="11">
        <f>IF(OR(D3248="",E3248=""),"",D3248*E3248)</f>
        <v/>
      </c>
      <c r="I3248" s="8">
        <f>IF(OR(D3248="",E3248=""),"",E3248*(1+D3248/30))</f>
        <v/>
      </c>
      <c r="J3248">
        <f>IF(I3248="","",IF(I3248&gt;=MAXIFS($I$2:$I$5001,$B$2:$B$5001,B3248,$A$2:$A$5001,"&lt;="&amp;A3248),"PR",""))</f>
        <v/>
      </c>
    </row>
    <row r="3249">
      <c r="A3249" s="7" t="n"/>
      <c r="H3249" s="11">
        <f>IF(OR(D3249="",E3249=""),"",D3249*E3249)</f>
        <v/>
      </c>
      <c r="I3249" s="8">
        <f>IF(OR(D3249="",E3249=""),"",E3249*(1+D3249/30))</f>
        <v/>
      </c>
      <c r="J3249">
        <f>IF(I3249="","",IF(I3249&gt;=MAXIFS($I$2:$I$5001,$B$2:$B$5001,B3249,$A$2:$A$5001,"&lt;="&amp;A3249),"PR",""))</f>
        <v/>
      </c>
    </row>
    <row r="3250">
      <c r="A3250" s="7" t="n"/>
      <c r="H3250" s="11">
        <f>IF(OR(D3250="",E3250=""),"",D3250*E3250)</f>
        <v/>
      </c>
      <c r="I3250" s="8">
        <f>IF(OR(D3250="",E3250=""),"",E3250*(1+D3250/30))</f>
        <v/>
      </c>
      <c r="J3250">
        <f>IF(I3250="","",IF(I3250&gt;=MAXIFS($I$2:$I$5001,$B$2:$B$5001,B3250,$A$2:$A$5001,"&lt;="&amp;A3250),"PR",""))</f>
        <v/>
      </c>
    </row>
    <row r="3251">
      <c r="A3251" s="7" t="n"/>
      <c r="H3251" s="11">
        <f>IF(OR(D3251="",E3251=""),"",D3251*E3251)</f>
        <v/>
      </c>
      <c r="I3251" s="8">
        <f>IF(OR(D3251="",E3251=""),"",E3251*(1+D3251/30))</f>
        <v/>
      </c>
      <c r="J3251">
        <f>IF(I3251="","",IF(I3251&gt;=MAXIFS($I$2:$I$5001,$B$2:$B$5001,B3251,$A$2:$A$5001,"&lt;="&amp;A3251),"PR",""))</f>
        <v/>
      </c>
    </row>
    <row r="3252">
      <c r="A3252" s="7" t="n"/>
      <c r="H3252" s="11">
        <f>IF(OR(D3252="",E3252=""),"",D3252*E3252)</f>
        <v/>
      </c>
      <c r="I3252" s="8">
        <f>IF(OR(D3252="",E3252=""),"",E3252*(1+D3252/30))</f>
        <v/>
      </c>
      <c r="J3252">
        <f>IF(I3252="","",IF(I3252&gt;=MAXIFS($I$2:$I$5001,$B$2:$B$5001,B3252,$A$2:$A$5001,"&lt;="&amp;A3252),"PR",""))</f>
        <v/>
      </c>
    </row>
    <row r="3253">
      <c r="A3253" s="7" t="n"/>
      <c r="H3253" s="11">
        <f>IF(OR(D3253="",E3253=""),"",D3253*E3253)</f>
        <v/>
      </c>
      <c r="I3253" s="8">
        <f>IF(OR(D3253="",E3253=""),"",E3253*(1+D3253/30))</f>
        <v/>
      </c>
      <c r="J3253">
        <f>IF(I3253="","",IF(I3253&gt;=MAXIFS($I$2:$I$5001,$B$2:$B$5001,B3253,$A$2:$A$5001,"&lt;="&amp;A3253),"PR",""))</f>
        <v/>
      </c>
    </row>
    <row r="3254">
      <c r="A3254" s="7" t="n"/>
      <c r="H3254" s="11">
        <f>IF(OR(D3254="",E3254=""),"",D3254*E3254)</f>
        <v/>
      </c>
      <c r="I3254" s="8">
        <f>IF(OR(D3254="",E3254=""),"",E3254*(1+D3254/30))</f>
        <v/>
      </c>
      <c r="J3254">
        <f>IF(I3254="","",IF(I3254&gt;=MAXIFS($I$2:$I$5001,$B$2:$B$5001,B3254,$A$2:$A$5001,"&lt;="&amp;A3254),"PR",""))</f>
        <v/>
      </c>
    </row>
    <row r="3255">
      <c r="A3255" s="7" t="n"/>
      <c r="H3255" s="11">
        <f>IF(OR(D3255="",E3255=""),"",D3255*E3255)</f>
        <v/>
      </c>
      <c r="I3255" s="8">
        <f>IF(OR(D3255="",E3255=""),"",E3255*(1+D3255/30))</f>
        <v/>
      </c>
      <c r="J3255">
        <f>IF(I3255="","",IF(I3255&gt;=MAXIFS($I$2:$I$5001,$B$2:$B$5001,B3255,$A$2:$A$5001,"&lt;="&amp;A3255),"PR",""))</f>
        <v/>
      </c>
    </row>
    <row r="3256">
      <c r="A3256" s="7" t="n"/>
      <c r="H3256" s="11">
        <f>IF(OR(D3256="",E3256=""),"",D3256*E3256)</f>
        <v/>
      </c>
      <c r="I3256" s="8">
        <f>IF(OR(D3256="",E3256=""),"",E3256*(1+D3256/30))</f>
        <v/>
      </c>
      <c r="J3256">
        <f>IF(I3256="","",IF(I3256&gt;=MAXIFS($I$2:$I$5001,$B$2:$B$5001,B3256,$A$2:$A$5001,"&lt;="&amp;A3256),"PR",""))</f>
        <v/>
      </c>
    </row>
    <row r="3257">
      <c r="A3257" s="7" t="n"/>
      <c r="H3257" s="11">
        <f>IF(OR(D3257="",E3257=""),"",D3257*E3257)</f>
        <v/>
      </c>
      <c r="I3257" s="8">
        <f>IF(OR(D3257="",E3257=""),"",E3257*(1+D3257/30))</f>
        <v/>
      </c>
      <c r="J3257">
        <f>IF(I3257="","",IF(I3257&gt;=MAXIFS($I$2:$I$5001,$B$2:$B$5001,B3257,$A$2:$A$5001,"&lt;="&amp;A3257),"PR",""))</f>
        <v/>
      </c>
    </row>
    <row r="3258">
      <c r="A3258" s="7" t="n"/>
      <c r="H3258" s="11">
        <f>IF(OR(D3258="",E3258=""),"",D3258*E3258)</f>
        <v/>
      </c>
      <c r="I3258" s="8">
        <f>IF(OR(D3258="",E3258=""),"",E3258*(1+D3258/30))</f>
        <v/>
      </c>
      <c r="J3258">
        <f>IF(I3258="","",IF(I3258&gt;=MAXIFS($I$2:$I$5001,$B$2:$B$5001,B3258,$A$2:$A$5001,"&lt;="&amp;A3258),"PR",""))</f>
        <v/>
      </c>
    </row>
    <row r="3259">
      <c r="A3259" s="7" t="n"/>
      <c r="H3259" s="11">
        <f>IF(OR(D3259="",E3259=""),"",D3259*E3259)</f>
        <v/>
      </c>
      <c r="I3259" s="8">
        <f>IF(OR(D3259="",E3259=""),"",E3259*(1+D3259/30))</f>
        <v/>
      </c>
      <c r="J3259">
        <f>IF(I3259="","",IF(I3259&gt;=MAXIFS($I$2:$I$5001,$B$2:$B$5001,B3259,$A$2:$A$5001,"&lt;="&amp;A3259),"PR",""))</f>
        <v/>
      </c>
    </row>
    <row r="3260">
      <c r="A3260" s="7" t="n"/>
      <c r="H3260" s="11">
        <f>IF(OR(D3260="",E3260=""),"",D3260*E3260)</f>
        <v/>
      </c>
      <c r="I3260" s="8">
        <f>IF(OR(D3260="",E3260=""),"",E3260*(1+D3260/30))</f>
        <v/>
      </c>
      <c r="J3260">
        <f>IF(I3260="","",IF(I3260&gt;=MAXIFS($I$2:$I$5001,$B$2:$B$5001,B3260,$A$2:$A$5001,"&lt;="&amp;A3260),"PR",""))</f>
        <v/>
      </c>
    </row>
    <row r="3261">
      <c r="A3261" s="7" t="n"/>
      <c r="H3261" s="11">
        <f>IF(OR(D3261="",E3261=""),"",D3261*E3261)</f>
        <v/>
      </c>
      <c r="I3261" s="8">
        <f>IF(OR(D3261="",E3261=""),"",E3261*(1+D3261/30))</f>
        <v/>
      </c>
      <c r="J3261">
        <f>IF(I3261="","",IF(I3261&gt;=MAXIFS($I$2:$I$5001,$B$2:$B$5001,B3261,$A$2:$A$5001,"&lt;="&amp;A3261),"PR",""))</f>
        <v/>
      </c>
    </row>
    <row r="3262">
      <c r="A3262" s="7" t="n"/>
      <c r="H3262" s="11">
        <f>IF(OR(D3262="",E3262=""),"",D3262*E3262)</f>
        <v/>
      </c>
      <c r="I3262" s="8">
        <f>IF(OR(D3262="",E3262=""),"",E3262*(1+D3262/30))</f>
        <v/>
      </c>
      <c r="J3262">
        <f>IF(I3262="","",IF(I3262&gt;=MAXIFS($I$2:$I$5001,$B$2:$B$5001,B3262,$A$2:$A$5001,"&lt;="&amp;A3262),"PR",""))</f>
        <v/>
      </c>
    </row>
    <row r="3263">
      <c r="A3263" s="7" t="n"/>
      <c r="H3263" s="11">
        <f>IF(OR(D3263="",E3263=""),"",D3263*E3263)</f>
        <v/>
      </c>
      <c r="I3263" s="8">
        <f>IF(OR(D3263="",E3263=""),"",E3263*(1+D3263/30))</f>
        <v/>
      </c>
      <c r="J3263">
        <f>IF(I3263="","",IF(I3263&gt;=MAXIFS($I$2:$I$5001,$B$2:$B$5001,B3263,$A$2:$A$5001,"&lt;="&amp;A3263),"PR",""))</f>
        <v/>
      </c>
    </row>
    <row r="3264">
      <c r="A3264" s="7" t="n"/>
      <c r="H3264" s="11">
        <f>IF(OR(D3264="",E3264=""),"",D3264*E3264)</f>
        <v/>
      </c>
      <c r="I3264" s="8">
        <f>IF(OR(D3264="",E3264=""),"",E3264*(1+D3264/30))</f>
        <v/>
      </c>
      <c r="J3264">
        <f>IF(I3264="","",IF(I3264&gt;=MAXIFS($I$2:$I$5001,$B$2:$B$5001,B3264,$A$2:$A$5001,"&lt;="&amp;A3264),"PR",""))</f>
        <v/>
      </c>
    </row>
    <row r="3265">
      <c r="A3265" s="7" t="n"/>
      <c r="H3265" s="11">
        <f>IF(OR(D3265="",E3265=""),"",D3265*E3265)</f>
        <v/>
      </c>
      <c r="I3265" s="8">
        <f>IF(OR(D3265="",E3265=""),"",E3265*(1+D3265/30))</f>
        <v/>
      </c>
      <c r="J3265">
        <f>IF(I3265="","",IF(I3265&gt;=MAXIFS($I$2:$I$5001,$B$2:$B$5001,B3265,$A$2:$A$5001,"&lt;="&amp;A3265),"PR",""))</f>
        <v/>
      </c>
    </row>
    <row r="3266">
      <c r="A3266" s="7" t="n"/>
      <c r="H3266" s="11">
        <f>IF(OR(D3266="",E3266=""),"",D3266*E3266)</f>
        <v/>
      </c>
      <c r="I3266" s="8">
        <f>IF(OR(D3266="",E3266=""),"",E3266*(1+D3266/30))</f>
        <v/>
      </c>
      <c r="J3266">
        <f>IF(I3266="","",IF(I3266&gt;=MAXIFS($I$2:$I$5001,$B$2:$B$5001,B3266,$A$2:$A$5001,"&lt;="&amp;A3266),"PR",""))</f>
        <v/>
      </c>
    </row>
    <row r="3267">
      <c r="A3267" s="7" t="n"/>
      <c r="H3267" s="11">
        <f>IF(OR(D3267="",E3267=""),"",D3267*E3267)</f>
        <v/>
      </c>
      <c r="I3267" s="8">
        <f>IF(OR(D3267="",E3267=""),"",E3267*(1+D3267/30))</f>
        <v/>
      </c>
      <c r="J3267">
        <f>IF(I3267="","",IF(I3267&gt;=MAXIFS($I$2:$I$5001,$B$2:$B$5001,B3267,$A$2:$A$5001,"&lt;="&amp;A3267),"PR",""))</f>
        <v/>
      </c>
    </row>
    <row r="3268">
      <c r="A3268" s="7" t="n"/>
      <c r="H3268" s="11">
        <f>IF(OR(D3268="",E3268=""),"",D3268*E3268)</f>
        <v/>
      </c>
      <c r="I3268" s="8">
        <f>IF(OR(D3268="",E3268=""),"",E3268*(1+D3268/30))</f>
        <v/>
      </c>
      <c r="J3268">
        <f>IF(I3268="","",IF(I3268&gt;=MAXIFS($I$2:$I$5001,$B$2:$B$5001,B3268,$A$2:$A$5001,"&lt;="&amp;A3268),"PR",""))</f>
        <v/>
      </c>
    </row>
    <row r="3269">
      <c r="A3269" s="7" t="n"/>
      <c r="H3269" s="11">
        <f>IF(OR(D3269="",E3269=""),"",D3269*E3269)</f>
        <v/>
      </c>
      <c r="I3269" s="8">
        <f>IF(OR(D3269="",E3269=""),"",E3269*(1+D3269/30))</f>
        <v/>
      </c>
      <c r="J3269">
        <f>IF(I3269="","",IF(I3269&gt;=MAXIFS($I$2:$I$5001,$B$2:$B$5001,B3269,$A$2:$A$5001,"&lt;="&amp;A3269),"PR",""))</f>
        <v/>
      </c>
    </row>
    <row r="3270">
      <c r="A3270" s="7" t="n"/>
      <c r="H3270" s="11">
        <f>IF(OR(D3270="",E3270=""),"",D3270*E3270)</f>
        <v/>
      </c>
      <c r="I3270" s="8">
        <f>IF(OR(D3270="",E3270=""),"",E3270*(1+D3270/30))</f>
        <v/>
      </c>
      <c r="J3270">
        <f>IF(I3270="","",IF(I3270&gt;=MAXIFS($I$2:$I$5001,$B$2:$B$5001,B3270,$A$2:$A$5001,"&lt;="&amp;A3270),"PR",""))</f>
        <v/>
      </c>
    </row>
    <row r="3271">
      <c r="A3271" s="7" t="n"/>
      <c r="H3271" s="11">
        <f>IF(OR(D3271="",E3271=""),"",D3271*E3271)</f>
        <v/>
      </c>
      <c r="I3271" s="8">
        <f>IF(OR(D3271="",E3271=""),"",E3271*(1+D3271/30))</f>
        <v/>
      </c>
      <c r="J3271">
        <f>IF(I3271="","",IF(I3271&gt;=MAXIFS($I$2:$I$5001,$B$2:$B$5001,B3271,$A$2:$A$5001,"&lt;="&amp;A3271),"PR",""))</f>
        <v/>
      </c>
    </row>
    <row r="3272">
      <c r="A3272" s="7" t="n"/>
      <c r="H3272" s="11">
        <f>IF(OR(D3272="",E3272=""),"",D3272*E3272)</f>
        <v/>
      </c>
      <c r="I3272" s="8">
        <f>IF(OR(D3272="",E3272=""),"",E3272*(1+D3272/30))</f>
        <v/>
      </c>
      <c r="J3272">
        <f>IF(I3272="","",IF(I3272&gt;=MAXIFS($I$2:$I$5001,$B$2:$B$5001,B3272,$A$2:$A$5001,"&lt;="&amp;A3272),"PR",""))</f>
        <v/>
      </c>
    </row>
    <row r="3273">
      <c r="A3273" s="7" t="n"/>
      <c r="H3273" s="11">
        <f>IF(OR(D3273="",E3273=""),"",D3273*E3273)</f>
        <v/>
      </c>
      <c r="I3273" s="8">
        <f>IF(OR(D3273="",E3273=""),"",E3273*(1+D3273/30))</f>
        <v/>
      </c>
      <c r="J3273">
        <f>IF(I3273="","",IF(I3273&gt;=MAXIFS($I$2:$I$5001,$B$2:$B$5001,B3273,$A$2:$A$5001,"&lt;="&amp;A3273),"PR",""))</f>
        <v/>
      </c>
    </row>
    <row r="3274">
      <c r="A3274" s="7" t="n"/>
      <c r="H3274" s="11">
        <f>IF(OR(D3274="",E3274=""),"",D3274*E3274)</f>
        <v/>
      </c>
      <c r="I3274" s="8">
        <f>IF(OR(D3274="",E3274=""),"",E3274*(1+D3274/30))</f>
        <v/>
      </c>
      <c r="J3274">
        <f>IF(I3274="","",IF(I3274&gt;=MAXIFS($I$2:$I$5001,$B$2:$B$5001,B3274,$A$2:$A$5001,"&lt;="&amp;A3274),"PR",""))</f>
        <v/>
      </c>
    </row>
    <row r="3275">
      <c r="A3275" s="7" t="n"/>
      <c r="H3275" s="11">
        <f>IF(OR(D3275="",E3275=""),"",D3275*E3275)</f>
        <v/>
      </c>
      <c r="I3275" s="8">
        <f>IF(OR(D3275="",E3275=""),"",E3275*(1+D3275/30))</f>
        <v/>
      </c>
      <c r="J3275">
        <f>IF(I3275="","",IF(I3275&gt;=MAXIFS($I$2:$I$5001,$B$2:$B$5001,B3275,$A$2:$A$5001,"&lt;="&amp;A3275),"PR",""))</f>
        <v/>
      </c>
    </row>
    <row r="3276">
      <c r="A3276" s="7" t="n"/>
      <c r="H3276" s="11">
        <f>IF(OR(D3276="",E3276=""),"",D3276*E3276)</f>
        <v/>
      </c>
      <c r="I3276" s="8">
        <f>IF(OR(D3276="",E3276=""),"",E3276*(1+D3276/30))</f>
        <v/>
      </c>
      <c r="J3276">
        <f>IF(I3276="","",IF(I3276&gt;=MAXIFS($I$2:$I$5001,$B$2:$B$5001,B3276,$A$2:$A$5001,"&lt;="&amp;A3276),"PR",""))</f>
        <v/>
      </c>
    </row>
    <row r="3277">
      <c r="A3277" s="7" t="n"/>
      <c r="H3277" s="11">
        <f>IF(OR(D3277="",E3277=""),"",D3277*E3277)</f>
        <v/>
      </c>
      <c r="I3277" s="8">
        <f>IF(OR(D3277="",E3277=""),"",E3277*(1+D3277/30))</f>
        <v/>
      </c>
      <c r="J3277">
        <f>IF(I3277="","",IF(I3277&gt;=MAXIFS($I$2:$I$5001,$B$2:$B$5001,B3277,$A$2:$A$5001,"&lt;="&amp;A3277),"PR",""))</f>
        <v/>
      </c>
    </row>
    <row r="3278">
      <c r="A3278" s="7" t="n"/>
      <c r="H3278" s="11">
        <f>IF(OR(D3278="",E3278=""),"",D3278*E3278)</f>
        <v/>
      </c>
      <c r="I3278" s="8">
        <f>IF(OR(D3278="",E3278=""),"",E3278*(1+D3278/30))</f>
        <v/>
      </c>
      <c r="J3278">
        <f>IF(I3278="","",IF(I3278&gt;=MAXIFS($I$2:$I$5001,$B$2:$B$5001,B3278,$A$2:$A$5001,"&lt;="&amp;A3278),"PR",""))</f>
        <v/>
      </c>
    </row>
    <row r="3279">
      <c r="A3279" s="7" t="n"/>
      <c r="H3279" s="11">
        <f>IF(OR(D3279="",E3279=""),"",D3279*E3279)</f>
        <v/>
      </c>
      <c r="I3279" s="8">
        <f>IF(OR(D3279="",E3279=""),"",E3279*(1+D3279/30))</f>
        <v/>
      </c>
      <c r="J3279">
        <f>IF(I3279="","",IF(I3279&gt;=MAXIFS($I$2:$I$5001,$B$2:$B$5001,B3279,$A$2:$A$5001,"&lt;="&amp;A3279),"PR",""))</f>
        <v/>
      </c>
    </row>
    <row r="3280">
      <c r="A3280" s="7" t="n"/>
      <c r="H3280" s="11">
        <f>IF(OR(D3280="",E3280=""),"",D3280*E3280)</f>
        <v/>
      </c>
      <c r="I3280" s="8">
        <f>IF(OR(D3280="",E3280=""),"",E3280*(1+D3280/30))</f>
        <v/>
      </c>
      <c r="J3280">
        <f>IF(I3280="","",IF(I3280&gt;=MAXIFS($I$2:$I$5001,$B$2:$B$5001,B3280,$A$2:$A$5001,"&lt;="&amp;A3280),"PR",""))</f>
        <v/>
      </c>
    </row>
    <row r="3281">
      <c r="A3281" s="7" t="n"/>
      <c r="H3281" s="11">
        <f>IF(OR(D3281="",E3281=""),"",D3281*E3281)</f>
        <v/>
      </c>
      <c r="I3281" s="8">
        <f>IF(OR(D3281="",E3281=""),"",E3281*(1+D3281/30))</f>
        <v/>
      </c>
      <c r="J3281">
        <f>IF(I3281="","",IF(I3281&gt;=MAXIFS($I$2:$I$5001,$B$2:$B$5001,B3281,$A$2:$A$5001,"&lt;="&amp;A3281),"PR",""))</f>
        <v/>
      </c>
    </row>
    <row r="3282">
      <c r="A3282" s="7" t="n"/>
      <c r="H3282" s="11">
        <f>IF(OR(D3282="",E3282=""),"",D3282*E3282)</f>
        <v/>
      </c>
      <c r="I3282" s="8">
        <f>IF(OR(D3282="",E3282=""),"",E3282*(1+D3282/30))</f>
        <v/>
      </c>
      <c r="J3282">
        <f>IF(I3282="","",IF(I3282&gt;=MAXIFS($I$2:$I$5001,$B$2:$B$5001,B3282,$A$2:$A$5001,"&lt;="&amp;A3282),"PR",""))</f>
        <v/>
      </c>
    </row>
    <row r="3283">
      <c r="A3283" s="7" t="n"/>
      <c r="H3283" s="11">
        <f>IF(OR(D3283="",E3283=""),"",D3283*E3283)</f>
        <v/>
      </c>
      <c r="I3283" s="8">
        <f>IF(OR(D3283="",E3283=""),"",E3283*(1+D3283/30))</f>
        <v/>
      </c>
      <c r="J3283">
        <f>IF(I3283="","",IF(I3283&gt;=MAXIFS($I$2:$I$5001,$B$2:$B$5001,B3283,$A$2:$A$5001,"&lt;="&amp;A3283),"PR",""))</f>
        <v/>
      </c>
    </row>
    <row r="3284">
      <c r="A3284" s="7" t="n"/>
      <c r="H3284" s="11">
        <f>IF(OR(D3284="",E3284=""),"",D3284*E3284)</f>
        <v/>
      </c>
      <c r="I3284" s="8">
        <f>IF(OR(D3284="",E3284=""),"",E3284*(1+D3284/30))</f>
        <v/>
      </c>
      <c r="J3284">
        <f>IF(I3284="","",IF(I3284&gt;=MAXIFS($I$2:$I$5001,$B$2:$B$5001,B3284,$A$2:$A$5001,"&lt;="&amp;A3284),"PR",""))</f>
        <v/>
      </c>
    </row>
    <row r="3285">
      <c r="A3285" s="7" t="n"/>
      <c r="H3285" s="11">
        <f>IF(OR(D3285="",E3285=""),"",D3285*E3285)</f>
        <v/>
      </c>
      <c r="I3285" s="8">
        <f>IF(OR(D3285="",E3285=""),"",E3285*(1+D3285/30))</f>
        <v/>
      </c>
      <c r="J3285">
        <f>IF(I3285="","",IF(I3285&gt;=MAXIFS($I$2:$I$5001,$B$2:$B$5001,B3285,$A$2:$A$5001,"&lt;="&amp;A3285),"PR",""))</f>
        <v/>
      </c>
    </row>
    <row r="3286">
      <c r="A3286" s="7" t="n"/>
      <c r="H3286" s="11">
        <f>IF(OR(D3286="",E3286=""),"",D3286*E3286)</f>
        <v/>
      </c>
      <c r="I3286" s="8">
        <f>IF(OR(D3286="",E3286=""),"",E3286*(1+D3286/30))</f>
        <v/>
      </c>
      <c r="J3286">
        <f>IF(I3286="","",IF(I3286&gt;=MAXIFS($I$2:$I$5001,$B$2:$B$5001,B3286,$A$2:$A$5001,"&lt;="&amp;A3286),"PR",""))</f>
        <v/>
      </c>
    </row>
    <row r="3287">
      <c r="A3287" s="7" t="n"/>
      <c r="H3287" s="11">
        <f>IF(OR(D3287="",E3287=""),"",D3287*E3287)</f>
        <v/>
      </c>
      <c r="I3287" s="8">
        <f>IF(OR(D3287="",E3287=""),"",E3287*(1+D3287/30))</f>
        <v/>
      </c>
      <c r="J3287">
        <f>IF(I3287="","",IF(I3287&gt;=MAXIFS($I$2:$I$5001,$B$2:$B$5001,B3287,$A$2:$A$5001,"&lt;="&amp;A3287),"PR",""))</f>
        <v/>
      </c>
    </row>
    <row r="3288">
      <c r="A3288" s="7" t="n"/>
      <c r="H3288" s="11">
        <f>IF(OR(D3288="",E3288=""),"",D3288*E3288)</f>
        <v/>
      </c>
      <c r="I3288" s="8">
        <f>IF(OR(D3288="",E3288=""),"",E3288*(1+D3288/30))</f>
        <v/>
      </c>
      <c r="J3288">
        <f>IF(I3288="","",IF(I3288&gt;=MAXIFS($I$2:$I$5001,$B$2:$B$5001,B3288,$A$2:$A$5001,"&lt;="&amp;A3288),"PR",""))</f>
        <v/>
      </c>
    </row>
    <row r="3289">
      <c r="A3289" s="7" t="n"/>
      <c r="H3289" s="11">
        <f>IF(OR(D3289="",E3289=""),"",D3289*E3289)</f>
        <v/>
      </c>
      <c r="I3289" s="8">
        <f>IF(OR(D3289="",E3289=""),"",E3289*(1+D3289/30))</f>
        <v/>
      </c>
      <c r="J3289">
        <f>IF(I3289="","",IF(I3289&gt;=MAXIFS($I$2:$I$5001,$B$2:$B$5001,B3289,$A$2:$A$5001,"&lt;="&amp;A3289),"PR",""))</f>
        <v/>
      </c>
    </row>
    <row r="3290">
      <c r="A3290" s="7" t="n"/>
      <c r="H3290" s="11">
        <f>IF(OR(D3290="",E3290=""),"",D3290*E3290)</f>
        <v/>
      </c>
      <c r="I3290" s="8">
        <f>IF(OR(D3290="",E3290=""),"",E3290*(1+D3290/30))</f>
        <v/>
      </c>
      <c r="J3290">
        <f>IF(I3290="","",IF(I3290&gt;=MAXIFS($I$2:$I$5001,$B$2:$B$5001,B3290,$A$2:$A$5001,"&lt;="&amp;A3290),"PR",""))</f>
        <v/>
      </c>
    </row>
    <row r="3291">
      <c r="A3291" s="7" t="n"/>
      <c r="H3291" s="11">
        <f>IF(OR(D3291="",E3291=""),"",D3291*E3291)</f>
        <v/>
      </c>
      <c r="I3291" s="8">
        <f>IF(OR(D3291="",E3291=""),"",E3291*(1+D3291/30))</f>
        <v/>
      </c>
      <c r="J3291">
        <f>IF(I3291="","",IF(I3291&gt;=MAXIFS($I$2:$I$5001,$B$2:$B$5001,B3291,$A$2:$A$5001,"&lt;="&amp;A3291),"PR",""))</f>
        <v/>
      </c>
    </row>
    <row r="3292">
      <c r="A3292" s="7" t="n"/>
      <c r="H3292" s="11">
        <f>IF(OR(D3292="",E3292=""),"",D3292*E3292)</f>
        <v/>
      </c>
      <c r="I3292" s="8">
        <f>IF(OR(D3292="",E3292=""),"",E3292*(1+D3292/30))</f>
        <v/>
      </c>
      <c r="J3292">
        <f>IF(I3292="","",IF(I3292&gt;=MAXIFS($I$2:$I$5001,$B$2:$B$5001,B3292,$A$2:$A$5001,"&lt;="&amp;A3292),"PR",""))</f>
        <v/>
      </c>
    </row>
    <row r="3293">
      <c r="A3293" s="7" t="n"/>
      <c r="H3293" s="11">
        <f>IF(OR(D3293="",E3293=""),"",D3293*E3293)</f>
        <v/>
      </c>
      <c r="I3293" s="8">
        <f>IF(OR(D3293="",E3293=""),"",E3293*(1+D3293/30))</f>
        <v/>
      </c>
      <c r="J3293">
        <f>IF(I3293="","",IF(I3293&gt;=MAXIFS($I$2:$I$5001,$B$2:$B$5001,B3293,$A$2:$A$5001,"&lt;="&amp;A3293),"PR",""))</f>
        <v/>
      </c>
    </row>
    <row r="3294">
      <c r="A3294" s="7" t="n"/>
      <c r="H3294" s="11">
        <f>IF(OR(D3294="",E3294=""),"",D3294*E3294)</f>
        <v/>
      </c>
      <c r="I3294" s="8">
        <f>IF(OR(D3294="",E3294=""),"",E3294*(1+D3294/30))</f>
        <v/>
      </c>
      <c r="J3294">
        <f>IF(I3294="","",IF(I3294&gt;=MAXIFS($I$2:$I$5001,$B$2:$B$5001,B3294,$A$2:$A$5001,"&lt;="&amp;A3294),"PR",""))</f>
        <v/>
      </c>
    </row>
    <row r="3295">
      <c r="A3295" s="7" t="n"/>
      <c r="H3295" s="11">
        <f>IF(OR(D3295="",E3295=""),"",D3295*E3295)</f>
        <v/>
      </c>
      <c r="I3295" s="8">
        <f>IF(OR(D3295="",E3295=""),"",E3295*(1+D3295/30))</f>
        <v/>
      </c>
      <c r="J3295">
        <f>IF(I3295="","",IF(I3295&gt;=MAXIFS($I$2:$I$5001,$B$2:$B$5001,B3295,$A$2:$A$5001,"&lt;="&amp;A3295),"PR",""))</f>
        <v/>
      </c>
    </row>
    <row r="3296">
      <c r="A3296" s="7" t="n"/>
      <c r="H3296" s="11">
        <f>IF(OR(D3296="",E3296=""),"",D3296*E3296)</f>
        <v/>
      </c>
      <c r="I3296" s="8">
        <f>IF(OR(D3296="",E3296=""),"",E3296*(1+D3296/30))</f>
        <v/>
      </c>
      <c r="J3296">
        <f>IF(I3296="","",IF(I3296&gt;=MAXIFS($I$2:$I$5001,$B$2:$B$5001,B3296,$A$2:$A$5001,"&lt;="&amp;A3296),"PR",""))</f>
        <v/>
      </c>
    </row>
    <row r="3297">
      <c r="A3297" s="7" t="n"/>
      <c r="H3297" s="11">
        <f>IF(OR(D3297="",E3297=""),"",D3297*E3297)</f>
        <v/>
      </c>
      <c r="I3297" s="8">
        <f>IF(OR(D3297="",E3297=""),"",E3297*(1+D3297/30))</f>
        <v/>
      </c>
      <c r="J3297">
        <f>IF(I3297="","",IF(I3297&gt;=MAXIFS($I$2:$I$5001,$B$2:$B$5001,B3297,$A$2:$A$5001,"&lt;="&amp;A3297),"PR",""))</f>
        <v/>
      </c>
    </row>
    <row r="3298">
      <c r="A3298" s="7" t="n"/>
      <c r="H3298" s="11">
        <f>IF(OR(D3298="",E3298=""),"",D3298*E3298)</f>
        <v/>
      </c>
      <c r="I3298" s="8">
        <f>IF(OR(D3298="",E3298=""),"",E3298*(1+D3298/30))</f>
        <v/>
      </c>
      <c r="J3298">
        <f>IF(I3298="","",IF(I3298&gt;=MAXIFS($I$2:$I$5001,$B$2:$B$5001,B3298,$A$2:$A$5001,"&lt;="&amp;A3298),"PR",""))</f>
        <v/>
      </c>
    </row>
    <row r="3299">
      <c r="A3299" s="7" t="n"/>
      <c r="H3299" s="11">
        <f>IF(OR(D3299="",E3299=""),"",D3299*E3299)</f>
        <v/>
      </c>
      <c r="I3299" s="8">
        <f>IF(OR(D3299="",E3299=""),"",E3299*(1+D3299/30))</f>
        <v/>
      </c>
      <c r="J3299">
        <f>IF(I3299="","",IF(I3299&gt;=MAXIFS($I$2:$I$5001,$B$2:$B$5001,B3299,$A$2:$A$5001,"&lt;="&amp;A3299),"PR",""))</f>
        <v/>
      </c>
    </row>
    <row r="3300">
      <c r="A3300" s="7" t="n"/>
      <c r="H3300" s="11">
        <f>IF(OR(D3300="",E3300=""),"",D3300*E3300)</f>
        <v/>
      </c>
      <c r="I3300" s="8">
        <f>IF(OR(D3300="",E3300=""),"",E3300*(1+D3300/30))</f>
        <v/>
      </c>
      <c r="J3300">
        <f>IF(I3300="","",IF(I3300&gt;=MAXIFS($I$2:$I$5001,$B$2:$B$5001,B3300,$A$2:$A$5001,"&lt;="&amp;A3300),"PR",""))</f>
        <v/>
      </c>
    </row>
    <row r="3301">
      <c r="A3301" s="7" t="n"/>
      <c r="H3301" s="11">
        <f>IF(OR(D3301="",E3301=""),"",D3301*E3301)</f>
        <v/>
      </c>
      <c r="I3301" s="8">
        <f>IF(OR(D3301="",E3301=""),"",E3301*(1+D3301/30))</f>
        <v/>
      </c>
      <c r="J3301">
        <f>IF(I3301="","",IF(I3301&gt;=MAXIFS($I$2:$I$5001,$B$2:$B$5001,B3301,$A$2:$A$5001,"&lt;="&amp;A3301),"PR",""))</f>
        <v/>
      </c>
    </row>
    <row r="3302">
      <c r="A3302" s="7" t="n"/>
      <c r="H3302" s="11">
        <f>IF(OR(D3302="",E3302=""),"",D3302*E3302)</f>
        <v/>
      </c>
      <c r="I3302" s="8">
        <f>IF(OR(D3302="",E3302=""),"",E3302*(1+D3302/30))</f>
        <v/>
      </c>
      <c r="J3302">
        <f>IF(I3302="","",IF(I3302&gt;=MAXIFS($I$2:$I$5001,$B$2:$B$5001,B3302,$A$2:$A$5001,"&lt;="&amp;A3302),"PR",""))</f>
        <v/>
      </c>
    </row>
    <row r="3303">
      <c r="A3303" s="7" t="n"/>
      <c r="H3303" s="11">
        <f>IF(OR(D3303="",E3303=""),"",D3303*E3303)</f>
        <v/>
      </c>
      <c r="I3303" s="8">
        <f>IF(OR(D3303="",E3303=""),"",E3303*(1+D3303/30))</f>
        <v/>
      </c>
      <c r="J3303">
        <f>IF(I3303="","",IF(I3303&gt;=MAXIFS($I$2:$I$5001,$B$2:$B$5001,B3303,$A$2:$A$5001,"&lt;="&amp;A3303),"PR",""))</f>
        <v/>
      </c>
    </row>
    <row r="3304">
      <c r="A3304" s="7" t="n"/>
      <c r="H3304" s="11">
        <f>IF(OR(D3304="",E3304=""),"",D3304*E3304)</f>
        <v/>
      </c>
      <c r="I3304" s="8">
        <f>IF(OR(D3304="",E3304=""),"",E3304*(1+D3304/30))</f>
        <v/>
      </c>
      <c r="J3304">
        <f>IF(I3304="","",IF(I3304&gt;=MAXIFS($I$2:$I$5001,$B$2:$B$5001,B3304,$A$2:$A$5001,"&lt;="&amp;A3304),"PR",""))</f>
        <v/>
      </c>
    </row>
    <row r="3305">
      <c r="A3305" s="7" t="n"/>
      <c r="H3305" s="11">
        <f>IF(OR(D3305="",E3305=""),"",D3305*E3305)</f>
        <v/>
      </c>
      <c r="I3305" s="8">
        <f>IF(OR(D3305="",E3305=""),"",E3305*(1+D3305/30))</f>
        <v/>
      </c>
      <c r="J3305">
        <f>IF(I3305="","",IF(I3305&gt;=MAXIFS($I$2:$I$5001,$B$2:$B$5001,B3305,$A$2:$A$5001,"&lt;="&amp;A3305),"PR",""))</f>
        <v/>
      </c>
    </row>
    <row r="3306">
      <c r="A3306" s="7" t="n"/>
      <c r="H3306" s="11">
        <f>IF(OR(D3306="",E3306=""),"",D3306*E3306)</f>
        <v/>
      </c>
      <c r="I3306" s="8">
        <f>IF(OR(D3306="",E3306=""),"",E3306*(1+D3306/30))</f>
        <v/>
      </c>
      <c r="J3306">
        <f>IF(I3306="","",IF(I3306&gt;=MAXIFS($I$2:$I$5001,$B$2:$B$5001,B3306,$A$2:$A$5001,"&lt;="&amp;A3306),"PR",""))</f>
        <v/>
      </c>
    </row>
    <row r="3307">
      <c r="A3307" s="7" t="n"/>
      <c r="H3307" s="11">
        <f>IF(OR(D3307="",E3307=""),"",D3307*E3307)</f>
        <v/>
      </c>
      <c r="I3307" s="8">
        <f>IF(OR(D3307="",E3307=""),"",E3307*(1+D3307/30))</f>
        <v/>
      </c>
      <c r="J3307">
        <f>IF(I3307="","",IF(I3307&gt;=MAXIFS($I$2:$I$5001,$B$2:$B$5001,B3307,$A$2:$A$5001,"&lt;="&amp;A3307),"PR",""))</f>
        <v/>
      </c>
    </row>
    <row r="3308">
      <c r="A3308" s="7" t="n"/>
      <c r="H3308" s="11">
        <f>IF(OR(D3308="",E3308=""),"",D3308*E3308)</f>
        <v/>
      </c>
      <c r="I3308" s="8">
        <f>IF(OR(D3308="",E3308=""),"",E3308*(1+D3308/30))</f>
        <v/>
      </c>
      <c r="J3308">
        <f>IF(I3308="","",IF(I3308&gt;=MAXIFS($I$2:$I$5001,$B$2:$B$5001,B3308,$A$2:$A$5001,"&lt;="&amp;A3308),"PR",""))</f>
        <v/>
      </c>
    </row>
    <row r="3309">
      <c r="A3309" s="7" t="n"/>
      <c r="H3309" s="11">
        <f>IF(OR(D3309="",E3309=""),"",D3309*E3309)</f>
        <v/>
      </c>
      <c r="I3309" s="8">
        <f>IF(OR(D3309="",E3309=""),"",E3309*(1+D3309/30))</f>
        <v/>
      </c>
      <c r="J3309">
        <f>IF(I3309="","",IF(I3309&gt;=MAXIFS($I$2:$I$5001,$B$2:$B$5001,B3309,$A$2:$A$5001,"&lt;="&amp;A3309),"PR",""))</f>
        <v/>
      </c>
    </row>
    <row r="3310">
      <c r="A3310" s="7" t="n"/>
      <c r="H3310" s="11">
        <f>IF(OR(D3310="",E3310=""),"",D3310*E3310)</f>
        <v/>
      </c>
      <c r="I3310" s="8">
        <f>IF(OR(D3310="",E3310=""),"",E3310*(1+D3310/30))</f>
        <v/>
      </c>
      <c r="J3310">
        <f>IF(I3310="","",IF(I3310&gt;=MAXIFS($I$2:$I$5001,$B$2:$B$5001,B3310,$A$2:$A$5001,"&lt;="&amp;A3310),"PR",""))</f>
        <v/>
      </c>
    </row>
    <row r="3311">
      <c r="A3311" s="7" t="n"/>
      <c r="H3311" s="11">
        <f>IF(OR(D3311="",E3311=""),"",D3311*E3311)</f>
        <v/>
      </c>
      <c r="I3311" s="8">
        <f>IF(OR(D3311="",E3311=""),"",E3311*(1+D3311/30))</f>
        <v/>
      </c>
      <c r="J3311">
        <f>IF(I3311="","",IF(I3311&gt;=MAXIFS($I$2:$I$5001,$B$2:$B$5001,B3311,$A$2:$A$5001,"&lt;="&amp;A3311),"PR",""))</f>
        <v/>
      </c>
    </row>
    <row r="3312">
      <c r="A3312" s="7" t="n"/>
      <c r="H3312" s="11">
        <f>IF(OR(D3312="",E3312=""),"",D3312*E3312)</f>
        <v/>
      </c>
      <c r="I3312" s="8">
        <f>IF(OR(D3312="",E3312=""),"",E3312*(1+D3312/30))</f>
        <v/>
      </c>
      <c r="J3312">
        <f>IF(I3312="","",IF(I3312&gt;=MAXIFS($I$2:$I$5001,$B$2:$B$5001,B3312,$A$2:$A$5001,"&lt;="&amp;A3312),"PR",""))</f>
        <v/>
      </c>
    </row>
    <row r="3313">
      <c r="A3313" s="7" t="n"/>
      <c r="H3313" s="11">
        <f>IF(OR(D3313="",E3313=""),"",D3313*E3313)</f>
        <v/>
      </c>
      <c r="I3313" s="8">
        <f>IF(OR(D3313="",E3313=""),"",E3313*(1+D3313/30))</f>
        <v/>
      </c>
      <c r="J3313">
        <f>IF(I3313="","",IF(I3313&gt;=MAXIFS($I$2:$I$5001,$B$2:$B$5001,B3313,$A$2:$A$5001,"&lt;="&amp;A3313),"PR",""))</f>
        <v/>
      </c>
    </row>
    <row r="3314">
      <c r="A3314" s="7" t="n"/>
      <c r="H3314" s="11">
        <f>IF(OR(D3314="",E3314=""),"",D3314*E3314)</f>
        <v/>
      </c>
      <c r="I3314" s="8">
        <f>IF(OR(D3314="",E3314=""),"",E3314*(1+D3314/30))</f>
        <v/>
      </c>
      <c r="J3314">
        <f>IF(I3314="","",IF(I3314&gt;=MAXIFS($I$2:$I$5001,$B$2:$B$5001,B3314,$A$2:$A$5001,"&lt;="&amp;A3314),"PR",""))</f>
        <v/>
      </c>
    </row>
    <row r="3315">
      <c r="A3315" s="7" t="n"/>
      <c r="H3315" s="11">
        <f>IF(OR(D3315="",E3315=""),"",D3315*E3315)</f>
        <v/>
      </c>
      <c r="I3315" s="8">
        <f>IF(OR(D3315="",E3315=""),"",E3315*(1+D3315/30))</f>
        <v/>
      </c>
      <c r="J3315">
        <f>IF(I3315="","",IF(I3315&gt;=MAXIFS($I$2:$I$5001,$B$2:$B$5001,B3315,$A$2:$A$5001,"&lt;="&amp;A3315),"PR",""))</f>
        <v/>
      </c>
    </row>
    <row r="3316">
      <c r="A3316" s="7" t="n"/>
      <c r="H3316" s="11">
        <f>IF(OR(D3316="",E3316=""),"",D3316*E3316)</f>
        <v/>
      </c>
      <c r="I3316" s="8">
        <f>IF(OR(D3316="",E3316=""),"",E3316*(1+D3316/30))</f>
        <v/>
      </c>
      <c r="J3316">
        <f>IF(I3316="","",IF(I3316&gt;=MAXIFS($I$2:$I$5001,$B$2:$B$5001,B3316,$A$2:$A$5001,"&lt;="&amp;A3316),"PR",""))</f>
        <v/>
      </c>
    </row>
    <row r="3317">
      <c r="A3317" s="7" t="n"/>
      <c r="H3317" s="11">
        <f>IF(OR(D3317="",E3317=""),"",D3317*E3317)</f>
        <v/>
      </c>
      <c r="I3317" s="8">
        <f>IF(OR(D3317="",E3317=""),"",E3317*(1+D3317/30))</f>
        <v/>
      </c>
      <c r="J3317">
        <f>IF(I3317="","",IF(I3317&gt;=MAXIFS($I$2:$I$5001,$B$2:$B$5001,B3317,$A$2:$A$5001,"&lt;="&amp;A3317),"PR",""))</f>
        <v/>
      </c>
    </row>
    <row r="3318">
      <c r="A3318" s="7" t="n"/>
      <c r="H3318" s="11">
        <f>IF(OR(D3318="",E3318=""),"",D3318*E3318)</f>
        <v/>
      </c>
      <c r="I3318" s="8">
        <f>IF(OR(D3318="",E3318=""),"",E3318*(1+D3318/30))</f>
        <v/>
      </c>
      <c r="J3318">
        <f>IF(I3318="","",IF(I3318&gt;=MAXIFS($I$2:$I$5001,$B$2:$B$5001,B3318,$A$2:$A$5001,"&lt;="&amp;A3318),"PR",""))</f>
        <v/>
      </c>
    </row>
    <row r="3319">
      <c r="A3319" s="7" t="n"/>
      <c r="H3319" s="11">
        <f>IF(OR(D3319="",E3319=""),"",D3319*E3319)</f>
        <v/>
      </c>
      <c r="I3319" s="8">
        <f>IF(OR(D3319="",E3319=""),"",E3319*(1+D3319/30))</f>
        <v/>
      </c>
      <c r="J3319">
        <f>IF(I3319="","",IF(I3319&gt;=MAXIFS($I$2:$I$5001,$B$2:$B$5001,B3319,$A$2:$A$5001,"&lt;="&amp;A3319),"PR",""))</f>
        <v/>
      </c>
    </row>
    <row r="3320">
      <c r="A3320" s="7" t="n"/>
      <c r="H3320" s="11">
        <f>IF(OR(D3320="",E3320=""),"",D3320*E3320)</f>
        <v/>
      </c>
      <c r="I3320" s="8">
        <f>IF(OR(D3320="",E3320=""),"",E3320*(1+D3320/30))</f>
        <v/>
      </c>
      <c r="J3320">
        <f>IF(I3320="","",IF(I3320&gt;=MAXIFS($I$2:$I$5001,$B$2:$B$5001,B3320,$A$2:$A$5001,"&lt;="&amp;A3320),"PR",""))</f>
        <v/>
      </c>
    </row>
    <row r="3321">
      <c r="A3321" s="7" t="n"/>
      <c r="H3321" s="11">
        <f>IF(OR(D3321="",E3321=""),"",D3321*E3321)</f>
        <v/>
      </c>
      <c r="I3321" s="8">
        <f>IF(OR(D3321="",E3321=""),"",E3321*(1+D3321/30))</f>
        <v/>
      </c>
      <c r="J3321">
        <f>IF(I3321="","",IF(I3321&gt;=MAXIFS($I$2:$I$5001,$B$2:$B$5001,B3321,$A$2:$A$5001,"&lt;="&amp;A3321),"PR",""))</f>
        <v/>
      </c>
    </row>
    <row r="3322">
      <c r="A3322" s="7" t="n"/>
      <c r="H3322" s="11">
        <f>IF(OR(D3322="",E3322=""),"",D3322*E3322)</f>
        <v/>
      </c>
      <c r="I3322" s="8">
        <f>IF(OR(D3322="",E3322=""),"",E3322*(1+D3322/30))</f>
        <v/>
      </c>
      <c r="J3322">
        <f>IF(I3322="","",IF(I3322&gt;=MAXIFS($I$2:$I$5001,$B$2:$B$5001,B3322,$A$2:$A$5001,"&lt;="&amp;A3322),"PR",""))</f>
        <v/>
      </c>
    </row>
    <row r="3323">
      <c r="A3323" s="7" t="n"/>
      <c r="H3323" s="11">
        <f>IF(OR(D3323="",E3323=""),"",D3323*E3323)</f>
        <v/>
      </c>
      <c r="I3323" s="8">
        <f>IF(OR(D3323="",E3323=""),"",E3323*(1+D3323/30))</f>
        <v/>
      </c>
      <c r="J3323">
        <f>IF(I3323="","",IF(I3323&gt;=MAXIFS($I$2:$I$5001,$B$2:$B$5001,B3323,$A$2:$A$5001,"&lt;="&amp;A3323),"PR",""))</f>
        <v/>
      </c>
    </row>
    <row r="3324">
      <c r="A3324" s="7" t="n"/>
      <c r="H3324" s="11">
        <f>IF(OR(D3324="",E3324=""),"",D3324*E3324)</f>
        <v/>
      </c>
      <c r="I3324" s="8">
        <f>IF(OR(D3324="",E3324=""),"",E3324*(1+D3324/30))</f>
        <v/>
      </c>
      <c r="J3324">
        <f>IF(I3324="","",IF(I3324&gt;=MAXIFS($I$2:$I$5001,$B$2:$B$5001,B3324,$A$2:$A$5001,"&lt;="&amp;A3324),"PR",""))</f>
        <v/>
      </c>
    </row>
    <row r="3325">
      <c r="A3325" s="7" t="n"/>
      <c r="H3325" s="11">
        <f>IF(OR(D3325="",E3325=""),"",D3325*E3325)</f>
        <v/>
      </c>
      <c r="I3325" s="8">
        <f>IF(OR(D3325="",E3325=""),"",E3325*(1+D3325/30))</f>
        <v/>
      </c>
      <c r="J3325">
        <f>IF(I3325="","",IF(I3325&gt;=MAXIFS($I$2:$I$5001,$B$2:$B$5001,B3325,$A$2:$A$5001,"&lt;="&amp;A3325),"PR",""))</f>
        <v/>
      </c>
    </row>
    <row r="3326">
      <c r="A3326" s="7" t="n"/>
      <c r="H3326" s="11">
        <f>IF(OR(D3326="",E3326=""),"",D3326*E3326)</f>
        <v/>
      </c>
      <c r="I3326" s="8">
        <f>IF(OR(D3326="",E3326=""),"",E3326*(1+D3326/30))</f>
        <v/>
      </c>
      <c r="J3326">
        <f>IF(I3326="","",IF(I3326&gt;=MAXIFS($I$2:$I$5001,$B$2:$B$5001,B3326,$A$2:$A$5001,"&lt;="&amp;A3326),"PR",""))</f>
        <v/>
      </c>
    </row>
    <row r="3327">
      <c r="A3327" s="7" t="n"/>
      <c r="H3327" s="11">
        <f>IF(OR(D3327="",E3327=""),"",D3327*E3327)</f>
        <v/>
      </c>
      <c r="I3327" s="8">
        <f>IF(OR(D3327="",E3327=""),"",E3327*(1+D3327/30))</f>
        <v/>
      </c>
      <c r="J3327">
        <f>IF(I3327="","",IF(I3327&gt;=MAXIFS($I$2:$I$5001,$B$2:$B$5001,B3327,$A$2:$A$5001,"&lt;="&amp;A3327),"PR",""))</f>
        <v/>
      </c>
    </row>
    <row r="3328">
      <c r="A3328" s="7" t="n"/>
      <c r="H3328" s="11">
        <f>IF(OR(D3328="",E3328=""),"",D3328*E3328)</f>
        <v/>
      </c>
      <c r="I3328" s="8">
        <f>IF(OR(D3328="",E3328=""),"",E3328*(1+D3328/30))</f>
        <v/>
      </c>
      <c r="J3328">
        <f>IF(I3328="","",IF(I3328&gt;=MAXIFS($I$2:$I$5001,$B$2:$B$5001,B3328,$A$2:$A$5001,"&lt;="&amp;A3328),"PR",""))</f>
        <v/>
      </c>
    </row>
    <row r="3329">
      <c r="A3329" s="7" t="n"/>
      <c r="H3329" s="11">
        <f>IF(OR(D3329="",E3329=""),"",D3329*E3329)</f>
        <v/>
      </c>
      <c r="I3329" s="8">
        <f>IF(OR(D3329="",E3329=""),"",E3329*(1+D3329/30))</f>
        <v/>
      </c>
      <c r="J3329">
        <f>IF(I3329="","",IF(I3329&gt;=MAXIFS($I$2:$I$5001,$B$2:$B$5001,B3329,$A$2:$A$5001,"&lt;="&amp;A3329),"PR",""))</f>
        <v/>
      </c>
    </row>
    <row r="3330">
      <c r="A3330" s="7" t="n"/>
      <c r="H3330" s="11">
        <f>IF(OR(D3330="",E3330=""),"",D3330*E3330)</f>
        <v/>
      </c>
      <c r="I3330" s="8">
        <f>IF(OR(D3330="",E3330=""),"",E3330*(1+D3330/30))</f>
        <v/>
      </c>
      <c r="J3330">
        <f>IF(I3330="","",IF(I3330&gt;=MAXIFS($I$2:$I$5001,$B$2:$B$5001,B3330,$A$2:$A$5001,"&lt;="&amp;A3330),"PR",""))</f>
        <v/>
      </c>
    </row>
    <row r="3331">
      <c r="A3331" s="7" t="n"/>
      <c r="H3331" s="11">
        <f>IF(OR(D3331="",E3331=""),"",D3331*E3331)</f>
        <v/>
      </c>
      <c r="I3331" s="8">
        <f>IF(OR(D3331="",E3331=""),"",E3331*(1+D3331/30))</f>
        <v/>
      </c>
      <c r="J3331">
        <f>IF(I3331="","",IF(I3331&gt;=MAXIFS($I$2:$I$5001,$B$2:$B$5001,B3331,$A$2:$A$5001,"&lt;="&amp;A3331),"PR",""))</f>
        <v/>
      </c>
    </row>
    <row r="3332">
      <c r="A3332" s="7" t="n"/>
      <c r="H3332" s="11">
        <f>IF(OR(D3332="",E3332=""),"",D3332*E3332)</f>
        <v/>
      </c>
      <c r="I3332" s="8">
        <f>IF(OR(D3332="",E3332=""),"",E3332*(1+D3332/30))</f>
        <v/>
      </c>
      <c r="J3332">
        <f>IF(I3332="","",IF(I3332&gt;=MAXIFS($I$2:$I$5001,$B$2:$B$5001,B3332,$A$2:$A$5001,"&lt;="&amp;A3332),"PR",""))</f>
        <v/>
      </c>
    </row>
    <row r="3333">
      <c r="A3333" s="7" t="n"/>
      <c r="H3333" s="11">
        <f>IF(OR(D3333="",E3333=""),"",D3333*E3333)</f>
        <v/>
      </c>
      <c r="I3333" s="8">
        <f>IF(OR(D3333="",E3333=""),"",E3333*(1+D3333/30))</f>
        <v/>
      </c>
      <c r="J3333">
        <f>IF(I3333="","",IF(I3333&gt;=MAXIFS($I$2:$I$5001,$B$2:$B$5001,B3333,$A$2:$A$5001,"&lt;="&amp;A3333),"PR",""))</f>
        <v/>
      </c>
    </row>
    <row r="3334">
      <c r="A3334" s="7" t="n"/>
      <c r="H3334" s="11">
        <f>IF(OR(D3334="",E3334=""),"",D3334*E3334)</f>
        <v/>
      </c>
      <c r="I3334" s="8">
        <f>IF(OR(D3334="",E3334=""),"",E3334*(1+D3334/30))</f>
        <v/>
      </c>
      <c r="J3334">
        <f>IF(I3334="","",IF(I3334&gt;=MAXIFS($I$2:$I$5001,$B$2:$B$5001,B3334,$A$2:$A$5001,"&lt;="&amp;A3334),"PR",""))</f>
        <v/>
      </c>
    </row>
    <row r="3335">
      <c r="A3335" s="7" t="n"/>
      <c r="H3335" s="11">
        <f>IF(OR(D3335="",E3335=""),"",D3335*E3335)</f>
        <v/>
      </c>
      <c r="I3335" s="8">
        <f>IF(OR(D3335="",E3335=""),"",E3335*(1+D3335/30))</f>
        <v/>
      </c>
      <c r="J3335">
        <f>IF(I3335="","",IF(I3335&gt;=MAXIFS($I$2:$I$5001,$B$2:$B$5001,B3335,$A$2:$A$5001,"&lt;="&amp;A3335),"PR",""))</f>
        <v/>
      </c>
    </row>
    <row r="3336">
      <c r="A3336" s="7" t="n"/>
      <c r="H3336" s="11">
        <f>IF(OR(D3336="",E3336=""),"",D3336*E3336)</f>
        <v/>
      </c>
      <c r="I3336" s="8">
        <f>IF(OR(D3336="",E3336=""),"",E3336*(1+D3336/30))</f>
        <v/>
      </c>
      <c r="J3336">
        <f>IF(I3336="","",IF(I3336&gt;=MAXIFS($I$2:$I$5001,$B$2:$B$5001,B3336,$A$2:$A$5001,"&lt;="&amp;A3336),"PR",""))</f>
        <v/>
      </c>
    </row>
    <row r="3337">
      <c r="A3337" s="7" t="n"/>
      <c r="H3337" s="11">
        <f>IF(OR(D3337="",E3337=""),"",D3337*E3337)</f>
        <v/>
      </c>
      <c r="I3337" s="8">
        <f>IF(OR(D3337="",E3337=""),"",E3337*(1+D3337/30))</f>
        <v/>
      </c>
      <c r="J3337">
        <f>IF(I3337="","",IF(I3337&gt;=MAXIFS($I$2:$I$5001,$B$2:$B$5001,B3337,$A$2:$A$5001,"&lt;="&amp;A3337),"PR",""))</f>
        <v/>
      </c>
    </row>
    <row r="3338">
      <c r="A3338" s="7" t="n"/>
      <c r="H3338" s="11">
        <f>IF(OR(D3338="",E3338=""),"",D3338*E3338)</f>
        <v/>
      </c>
      <c r="I3338" s="8">
        <f>IF(OR(D3338="",E3338=""),"",E3338*(1+D3338/30))</f>
        <v/>
      </c>
      <c r="J3338">
        <f>IF(I3338="","",IF(I3338&gt;=MAXIFS($I$2:$I$5001,$B$2:$B$5001,B3338,$A$2:$A$5001,"&lt;="&amp;A3338),"PR",""))</f>
        <v/>
      </c>
    </row>
    <row r="3339">
      <c r="A3339" s="7" t="n"/>
      <c r="H3339" s="11">
        <f>IF(OR(D3339="",E3339=""),"",D3339*E3339)</f>
        <v/>
      </c>
      <c r="I3339" s="8">
        <f>IF(OR(D3339="",E3339=""),"",E3339*(1+D3339/30))</f>
        <v/>
      </c>
      <c r="J3339">
        <f>IF(I3339="","",IF(I3339&gt;=MAXIFS($I$2:$I$5001,$B$2:$B$5001,B3339,$A$2:$A$5001,"&lt;="&amp;A3339),"PR",""))</f>
        <v/>
      </c>
    </row>
    <row r="3340">
      <c r="A3340" s="7" t="n"/>
      <c r="H3340" s="11">
        <f>IF(OR(D3340="",E3340=""),"",D3340*E3340)</f>
        <v/>
      </c>
      <c r="I3340" s="8">
        <f>IF(OR(D3340="",E3340=""),"",E3340*(1+D3340/30))</f>
        <v/>
      </c>
      <c r="J3340">
        <f>IF(I3340="","",IF(I3340&gt;=MAXIFS($I$2:$I$5001,$B$2:$B$5001,B3340,$A$2:$A$5001,"&lt;="&amp;A3340),"PR",""))</f>
        <v/>
      </c>
    </row>
    <row r="3341">
      <c r="A3341" s="7" t="n"/>
      <c r="H3341" s="11">
        <f>IF(OR(D3341="",E3341=""),"",D3341*E3341)</f>
        <v/>
      </c>
      <c r="I3341" s="8">
        <f>IF(OR(D3341="",E3341=""),"",E3341*(1+D3341/30))</f>
        <v/>
      </c>
      <c r="J3341">
        <f>IF(I3341="","",IF(I3341&gt;=MAXIFS($I$2:$I$5001,$B$2:$B$5001,B3341,$A$2:$A$5001,"&lt;="&amp;A3341),"PR",""))</f>
        <v/>
      </c>
    </row>
    <row r="3342">
      <c r="A3342" s="7" t="n"/>
      <c r="H3342" s="11">
        <f>IF(OR(D3342="",E3342=""),"",D3342*E3342)</f>
        <v/>
      </c>
      <c r="I3342" s="8">
        <f>IF(OR(D3342="",E3342=""),"",E3342*(1+D3342/30))</f>
        <v/>
      </c>
      <c r="J3342">
        <f>IF(I3342="","",IF(I3342&gt;=MAXIFS($I$2:$I$5001,$B$2:$B$5001,B3342,$A$2:$A$5001,"&lt;="&amp;A3342),"PR",""))</f>
        <v/>
      </c>
    </row>
    <row r="3343">
      <c r="A3343" s="7" t="n"/>
      <c r="H3343" s="11">
        <f>IF(OR(D3343="",E3343=""),"",D3343*E3343)</f>
        <v/>
      </c>
      <c r="I3343" s="8">
        <f>IF(OR(D3343="",E3343=""),"",E3343*(1+D3343/30))</f>
        <v/>
      </c>
      <c r="J3343">
        <f>IF(I3343="","",IF(I3343&gt;=MAXIFS($I$2:$I$5001,$B$2:$B$5001,B3343,$A$2:$A$5001,"&lt;="&amp;A3343),"PR",""))</f>
        <v/>
      </c>
    </row>
    <row r="3344">
      <c r="A3344" s="7" t="n"/>
      <c r="H3344" s="11">
        <f>IF(OR(D3344="",E3344=""),"",D3344*E3344)</f>
        <v/>
      </c>
      <c r="I3344" s="8">
        <f>IF(OR(D3344="",E3344=""),"",E3344*(1+D3344/30))</f>
        <v/>
      </c>
      <c r="J3344">
        <f>IF(I3344="","",IF(I3344&gt;=MAXIFS($I$2:$I$5001,$B$2:$B$5001,B3344,$A$2:$A$5001,"&lt;="&amp;A3344),"PR",""))</f>
        <v/>
      </c>
    </row>
    <row r="3345">
      <c r="A3345" s="7" t="n"/>
      <c r="H3345" s="11">
        <f>IF(OR(D3345="",E3345=""),"",D3345*E3345)</f>
        <v/>
      </c>
      <c r="I3345" s="8">
        <f>IF(OR(D3345="",E3345=""),"",E3345*(1+D3345/30))</f>
        <v/>
      </c>
      <c r="J3345">
        <f>IF(I3345="","",IF(I3345&gt;=MAXIFS($I$2:$I$5001,$B$2:$B$5001,B3345,$A$2:$A$5001,"&lt;="&amp;A3345),"PR",""))</f>
        <v/>
      </c>
    </row>
    <row r="3346">
      <c r="A3346" s="7" t="n"/>
      <c r="H3346" s="11">
        <f>IF(OR(D3346="",E3346=""),"",D3346*E3346)</f>
        <v/>
      </c>
      <c r="I3346" s="8">
        <f>IF(OR(D3346="",E3346=""),"",E3346*(1+D3346/30))</f>
        <v/>
      </c>
      <c r="J3346">
        <f>IF(I3346="","",IF(I3346&gt;=MAXIFS($I$2:$I$5001,$B$2:$B$5001,B3346,$A$2:$A$5001,"&lt;="&amp;A3346),"PR",""))</f>
        <v/>
      </c>
    </row>
    <row r="3347">
      <c r="A3347" s="7" t="n"/>
      <c r="H3347" s="11">
        <f>IF(OR(D3347="",E3347=""),"",D3347*E3347)</f>
        <v/>
      </c>
      <c r="I3347" s="8">
        <f>IF(OR(D3347="",E3347=""),"",E3347*(1+D3347/30))</f>
        <v/>
      </c>
      <c r="J3347">
        <f>IF(I3347="","",IF(I3347&gt;=MAXIFS($I$2:$I$5001,$B$2:$B$5001,B3347,$A$2:$A$5001,"&lt;="&amp;A3347),"PR",""))</f>
        <v/>
      </c>
    </row>
    <row r="3348">
      <c r="A3348" s="7" t="n"/>
      <c r="H3348" s="11">
        <f>IF(OR(D3348="",E3348=""),"",D3348*E3348)</f>
        <v/>
      </c>
      <c r="I3348" s="8">
        <f>IF(OR(D3348="",E3348=""),"",E3348*(1+D3348/30))</f>
        <v/>
      </c>
      <c r="J3348">
        <f>IF(I3348="","",IF(I3348&gt;=MAXIFS($I$2:$I$5001,$B$2:$B$5001,B3348,$A$2:$A$5001,"&lt;="&amp;A3348),"PR",""))</f>
        <v/>
      </c>
    </row>
    <row r="3349">
      <c r="A3349" s="7" t="n"/>
      <c r="H3349" s="11">
        <f>IF(OR(D3349="",E3349=""),"",D3349*E3349)</f>
        <v/>
      </c>
      <c r="I3349" s="8">
        <f>IF(OR(D3349="",E3349=""),"",E3349*(1+D3349/30))</f>
        <v/>
      </c>
      <c r="J3349">
        <f>IF(I3349="","",IF(I3349&gt;=MAXIFS($I$2:$I$5001,$B$2:$B$5001,B3349,$A$2:$A$5001,"&lt;="&amp;A3349),"PR",""))</f>
        <v/>
      </c>
    </row>
    <row r="3350">
      <c r="A3350" s="7" t="n"/>
      <c r="H3350" s="11">
        <f>IF(OR(D3350="",E3350=""),"",D3350*E3350)</f>
        <v/>
      </c>
      <c r="I3350" s="8">
        <f>IF(OR(D3350="",E3350=""),"",E3350*(1+D3350/30))</f>
        <v/>
      </c>
      <c r="J3350">
        <f>IF(I3350="","",IF(I3350&gt;=MAXIFS($I$2:$I$5001,$B$2:$B$5001,B3350,$A$2:$A$5001,"&lt;="&amp;A3350),"PR",""))</f>
        <v/>
      </c>
    </row>
    <row r="3351">
      <c r="A3351" s="7" t="n"/>
      <c r="H3351" s="11">
        <f>IF(OR(D3351="",E3351=""),"",D3351*E3351)</f>
        <v/>
      </c>
      <c r="I3351" s="8">
        <f>IF(OR(D3351="",E3351=""),"",E3351*(1+D3351/30))</f>
        <v/>
      </c>
      <c r="J3351">
        <f>IF(I3351="","",IF(I3351&gt;=MAXIFS($I$2:$I$5001,$B$2:$B$5001,B3351,$A$2:$A$5001,"&lt;="&amp;A3351),"PR",""))</f>
        <v/>
      </c>
    </row>
    <row r="3352">
      <c r="A3352" s="7" t="n"/>
      <c r="H3352" s="11">
        <f>IF(OR(D3352="",E3352=""),"",D3352*E3352)</f>
        <v/>
      </c>
      <c r="I3352" s="8">
        <f>IF(OR(D3352="",E3352=""),"",E3352*(1+D3352/30))</f>
        <v/>
      </c>
      <c r="J3352">
        <f>IF(I3352="","",IF(I3352&gt;=MAXIFS($I$2:$I$5001,$B$2:$B$5001,B3352,$A$2:$A$5001,"&lt;="&amp;A3352),"PR",""))</f>
        <v/>
      </c>
    </row>
    <row r="3353">
      <c r="A3353" s="7" t="n"/>
      <c r="H3353" s="11">
        <f>IF(OR(D3353="",E3353=""),"",D3353*E3353)</f>
        <v/>
      </c>
      <c r="I3353" s="8">
        <f>IF(OR(D3353="",E3353=""),"",E3353*(1+D3353/30))</f>
        <v/>
      </c>
      <c r="J3353">
        <f>IF(I3353="","",IF(I3353&gt;=MAXIFS($I$2:$I$5001,$B$2:$B$5001,B3353,$A$2:$A$5001,"&lt;="&amp;A3353),"PR",""))</f>
        <v/>
      </c>
    </row>
    <row r="3354">
      <c r="A3354" s="7" t="n"/>
      <c r="H3354" s="11">
        <f>IF(OR(D3354="",E3354=""),"",D3354*E3354)</f>
        <v/>
      </c>
      <c r="I3354" s="8">
        <f>IF(OR(D3354="",E3354=""),"",E3354*(1+D3354/30))</f>
        <v/>
      </c>
      <c r="J3354">
        <f>IF(I3354="","",IF(I3354&gt;=MAXIFS($I$2:$I$5001,$B$2:$B$5001,B3354,$A$2:$A$5001,"&lt;="&amp;A3354),"PR",""))</f>
        <v/>
      </c>
    </row>
    <row r="3355">
      <c r="A3355" s="7" t="n"/>
      <c r="H3355" s="11">
        <f>IF(OR(D3355="",E3355=""),"",D3355*E3355)</f>
        <v/>
      </c>
      <c r="I3355" s="8">
        <f>IF(OR(D3355="",E3355=""),"",E3355*(1+D3355/30))</f>
        <v/>
      </c>
      <c r="J3355">
        <f>IF(I3355="","",IF(I3355&gt;=MAXIFS($I$2:$I$5001,$B$2:$B$5001,B3355,$A$2:$A$5001,"&lt;="&amp;A3355),"PR",""))</f>
        <v/>
      </c>
    </row>
    <row r="3356">
      <c r="A3356" s="7" t="n"/>
      <c r="H3356" s="11">
        <f>IF(OR(D3356="",E3356=""),"",D3356*E3356)</f>
        <v/>
      </c>
      <c r="I3356" s="8">
        <f>IF(OR(D3356="",E3356=""),"",E3356*(1+D3356/30))</f>
        <v/>
      </c>
      <c r="J3356">
        <f>IF(I3356="","",IF(I3356&gt;=MAXIFS($I$2:$I$5001,$B$2:$B$5001,B3356,$A$2:$A$5001,"&lt;="&amp;A3356),"PR",""))</f>
        <v/>
      </c>
    </row>
    <row r="3357">
      <c r="A3357" s="7" t="n"/>
      <c r="H3357" s="11">
        <f>IF(OR(D3357="",E3357=""),"",D3357*E3357)</f>
        <v/>
      </c>
      <c r="I3357" s="8">
        <f>IF(OR(D3357="",E3357=""),"",E3357*(1+D3357/30))</f>
        <v/>
      </c>
      <c r="J3357">
        <f>IF(I3357="","",IF(I3357&gt;=MAXIFS($I$2:$I$5001,$B$2:$B$5001,B3357,$A$2:$A$5001,"&lt;="&amp;A3357),"PR",""))</f>
        <v/>
      </c>
    </row>
    <row r="3358">
      <c r="A3358" s="7" t="n"/>
      <c r="H3358" s="11">
        <f>IF(OR(D3358="",E3358=""),"",D3358*E3358)</f>
        <v/>
      </c>
      <c r="I3358" s="8">
        <f>IF(OR(D3358="",E3358=""),"",E3358*(1+D3358/30))</f>
        <v/>
      </c>
      <c r="J3358">
        <f>IF(I3358="","",IF(I3358&gt;=MAXIFS($I$2:$I$5001,$B$2:$B$5001,B3358,$A$2:$A$5001,"&lt;="&amp;A3358),"PR",""))</f>
        <v/>
      </c>
    </row>
    <row r="3359">
      <c r="A3359" s="7" t="n"/>
      <c r="H3359" s="11">
        <f>IF(OR(D3359="",E3359=""),"",D3359*E3359)</f>
        <v/>
      </c>
      <c r="I3359" s="8">
        <f>IF(OR(D3359="",E3359=""),"",E3359*(1+D3359/30))</f>
        <v/>
      </c>
      <c r="J3359">
        <f>IF(I3359="","",IF(I3359&gt;=MAXIFS($I$2:$I$5001,$B$2:$B$5001,B3359,$A$2:$A$5001,"&lt;="&amp;A3359),"PR",""))</f>
        <v/>
      </c>
    </row>
    <row r="3360">
      <c r="A3360" s="7" t="n"/>
      <c r="H3360" s="11">
        <f>IF(OR(D3360="",E3360=""),"",D3360*E3360)</f>
        <v/>
      </c>
      <c r="I3360" s="8">
        <f>IF(OR(D3360="",E3360=""),"",E3360*(1+D3360/30))</f>
        <v/>
      </c>
      <c r="J3360">
        <f>IF(I3360="","",IF(I3360&gt;=MAXIFS($I$2:$I$5001,$B$2:$B$5001,B3360,$A$2:$A$5001,"&lt;="&amp;A3360),"PR",""))</f>
        <v/>
      </c>
    </row>
    <row r="3361">
      <c r="A3361" s="7" t="n"/>
      <c r="H3361" s="11">
        <f>IF(OR(D3361="",E3361=""),"",D3361*E3361)</f>
        <v/>
      </c>
      <c r="I3361" s="8">
        <f>IF(OR(D3361="",E3361=""),"",E3361*(1+D3361/30))</f>
        <v/>
      </c>
      <c r="J3361">
        <f>IF(I3361="","",IF(I3361&gt;=MAXIFS($I$2:$I$5001,$B$2:$B$5001,B3361,$A$2:$A$5001,"&lt;="&amp;A3361),"PR",""))</f>
        <v/>
      </c>
    </row>
    <row r="3362">
      <c r="A3362" s="7" t="n"/>
      <c r="H3362" s="11">
        <f>IF(OR(D3362="",E3362=""),"",D3362*E3362)</f>
        <v/>
      </c>
      <c r="I3362" s="8">
        <f>IF(OR(D3362="",E3362=""),"",E3362*(1+D3362/30))</f>
        <v/>
      </c>
      <c r="J3362">
        <f>IF(I3362="","",IF(I3362&gt;=MAXIFS($I$2:$I$5001,$B$2:$B$5001,B3362,$A$2:$A$5001,"&lt;="&amp;A3362),"PR",""))</f>
        <v/>
      </c>
    </row>
    <row r="3363">
      <c r="A3363" s="7" t="n"/>
      <c r="H3363" s="11">
        <f>IF(OR(D3363="",E3363=""),"",D3363*E3363)</f>
        <v/>
      </c>
      <c r="I3363" s="8">
        <f>IF(OR(D3363="",E3363=""),"",E3363*(1+D3363/30))</f>
        <v/>
      </c>
      <c r="J3363">
        <f>IF(I3363="","",IF(I3363&gt;=MAXIFS($I$2:$I$5001,$B$2:$B$5001,B3363,$A$2:$A$5001,"&lt;="&amp;A3363),"PR",""))</f>
        <v/>
      </c>
    </row>
    <row r="3364">
      <c r="A3364" s="7" t="n"/>
      <c r="H3364" s="11">
        <f>IF(OR(D3364="",E3364=""),"",D3364*E3364)</f>
        <v/>
      </c>
      <c r="I3364" s="8">
        <f>IF(OR(D3364="",E3364=""),"",E3364*(1+D3364/30))</f>
        <v/>
      </c>
      <c r="J3364">
        <f>IF(I3364="","",IF(I3364&gt;=MAXIFS($I$2:$I$5001,$B$2:$B$5001,B3364,$A$2:$A$5001,"&lt;="&amp;A3364),"PR",""))</f>
        <v/>
      </c>
    </row>
    <row r="3365">
      <c r="A3365" s="7" t="n"/>
      <c r="H3365" s="11">
        <f>IF(OR(D3365="",E3365=""),"",D3365*E3365)</f>
        <v/>
      </c>
      <c r="I3365" s="8">
        <f>IF(OR(D3365="",E3365=""),"",E3365*(1+D3365/30))</f>
        <v/>
      </c>
      <c r="J3365">
        <f>IF(I3365="","",IF(I3365&gt;=MAXIFS($I$2:$I$5001,$B$2:$B$5001,B3365,$A$2:$A$5001,"&lt;="&amp;A3365),"PR",""))</f>
        <v/>
      </c>
    </row>
    <row r="3366">
      <c r="A3366" s="7" t="n"/>
      <c r="H3366" s="11">
        <f>IF(OR(D3366="",E3366=""),"",D3366*E3366)</f>
        <v/>
      </c>
      <c r="I3366" s="8">
        <f>IF(OR(D3366="",E3366=""),"",E3366*(1+D3366/30))</f>
        <v/>
      </c>
      <c r="J3366">
        <f>IF(I3366="","",IF(I3366&gt;=MAXIFS($I$2:$I$5001,$B$2:$B$5001,B3366,$A$2:$A$5001,"&lt;="&amp;A3366),"PR",""))</f>
        <v/>
      </c>
    </row>
    <row r="3367">
      <c r="A3367" s="7" t="n"/>
      <c r="H3367" s="11">
        <f>IF(OR(D3367="",E3367=""),"",D3367*E3367)</f>
        <v/>
      </c>
      <c r="I3367" s="8">
        <f>IF(OR(D3367="",E3367=""),"",E3367*(1+D3367/30))</f>
        <v/>
      </c>
      <c r="J3367">
        <f>IF(I3367="","",IF(I3367&gt;=MAXIFS($I$2:$I$5001,$B$2:$B$5001,B3367,$A$2:$A$5001,"&lt;="&amp;A3367),"PR",""))</f>
        <v/>
      </c>
    </row>
    <row r="3368">
      <c r="A3368" s="7" t="n"/>
      <c r="H3368" s="11">
        <f>IF(OR(D3368="",E3368=""),"",D3368*E3368)</f>
        <v/>
      </c>
      <c r="I3368" s="8">
        <f>IF(OR(D3368="",E3368=""),"",E3368*(1+D3368/30))</f>
        <v/>
      </c>
      <c r="J3368">
        <f>IF(I3368="","",IF(I3368&gt;=MAXIFS($I$2:$I$5001,$B$2:$B$5001,B3368,$A$2:$A$5001,"&lt;="&amp;A3368),"PR",""))</f>
        <v/>
      </c>
    </row>
    <row r="3369">
      <c r="A3369" s="7" t="n"/>
      <c r="H3369" s="11">
        <f>IF(OR(D3369="",E3369=""),"",D3369*E3369)</f>
        <v/>
      </c>
      <c r="I3369" s="8">
        <f>IF(OR(D3369="",E3369=""),"",E3369*(1+D3369/30))</f>
        <v/>
      </c>
      <c r="J3369">
        <f>IF(I3369="","",IF(I3369&gt;=MAXIFS($I$2:$I$5001,$B$2:$B$5001,B3369,$A$2:$A$5001,"&lt;="&amp;A3369),"PR",""))</f>
        <v/>
      </c>
    </row>
    <row r="3370">
      <c r="A3370" s="7" t="n"/>
      <c r="H3370" s="11">
        <f>IF(OR(D3370="",E3370=""),"",D3370*E3370)</f>
        <v/>
      </c>
      <c r="I3370" s="8">
        <f>IF(OR(D3370="",E3370=""),"",E3370*(1+D3370/30))</f>
        <v/>
      </c>
      <c r="J3370">
        <f>IF(I3370="","",IF(I3370&gt;=MAXIFS($I$2:$I$5001,$B$2:$B$5001,B3370,$A$2:$A$5001,"&lt;="&amp;A3370),"PR",""))</f>
        <v/>
      </c>
    </row>
    <row r="3371">
      <c r="A3371" s="7" t="n"/>
      <c r="H3371" s="11">
        <f>IF(OR(D3371="",E3371=""),"",D3371*E3371)</f>
        <v/>
      </c>
      <c r="I3371" s="8">
        <f>IF(OR(D3371="",E3371=""),"",E3371*(1+D3371/30))</f>
        <v/>
      </c>
      <c r="J3371">
        <f>IF(I3371="","",IF(I3371&gt;=MAXIFS($I$2:$I$5001,$B$2:$B$5001,B3371,$A$2:$A$5001,"&lt;="&amp;A3371),"PR",""))</f>
        <v/>
      </c>
    </row>
    <row r="3372">
      <c r="A3372" s="7" t="n"/>
      <c r="H3372" s="11">
        <f>IF(OR(D3372="",E3372=""),"",D3372*E3372)</f>
        <v/>
      </c>
      <c r="I3372" s="8">
        <f>IF(OR(D3372="",E3372=""),"",E3372*(1+D3372/30))</f>
        <v/>
      </c>
      <c r="J3372">
        <f>IF(I3372="","",IF(I3372&gt;=MAXIFS($I$2:$I$5001,$B$2:$B$5001,B3372,$A$2:$A$5001,"&lt;="&amp;A3372),"PR",""))</f>
        <v/>
      </c>
    </row>
    <row r="3373">
      <c r="A3373" s="7" t="n"/>
      <c r="H3373" s="11">
        <f>IF(OR(D3373="",E3373=""),"",D3373*E3373)</f>
        <v/>
      </c>
      <c r="I3373" s="8">
        <f>IF(OR(D3373="",E3373=""),"",E3373*(1+D3373/30))</f>
        <v/>
      </c>
      <c r="J3373">
        <f>IF(I3373="","",IF(I3373&gt;=MAXIFS($I$2:$I$5001,$B$2:$B$5001,B3373,$A$2:$A$5001,"&lt;="&amp;A3373),"PR",""))</f>
        <v/>
      </c>
    </row>
    <row r="3374">
      <c r="A3374" s="7" t="n"/>
      <c r="H3374" s="11">
        <f>IF(OR(D3374="",E3374=""),"",D3374*E3374)</f>
        <v/>
      </c>
      <c r="I3374" s="8">
        <f>IF(OR(D3374="",E3374=""),"",E3374*(1+D3374/30))</f>
        <v/>
      </c>
      <c r="J3374">
        <f>IF(I3374="","",IF(I3374&gt;=MAXIFS($I$2:$I$5001,$B$2:$B$5001,B3374,$A$2:$A$5001,"&lt;="&amp;A3374),"PR",""))</f>
        <v/>
      </c>
    </row>
    <row r="3375">
      <c r="A3375" s="7" t="n"/>
      <c r="H3375" s="11">
        <f>IF(OR(D3375="",E3375=""),"",D3375*E3375)</f>
        <v/>
      </c>
      <c r="I3375" s="8">
        <f>IF(OR(D3375="",E3375=""),"",E3375*(1+D3375/30))</f>
        <v/>
      </c>
      <c r="J3375">
        <f>IF(I3375="","",IF(I3375&gt;=MAXIFS($I$2:$I$5001,$B$2:$B$5001,B3375,$A$2:$A$5001,"&lt;="&amp;A3375),"PR",""))</f>
        <v/>
      </c>
    </row>
    <row r="3376">
      <c r="A3376" s="7" t="n"/>
      <c r="H3376" s="11">
        <f>IF(OR(D3376="",E3376=""),"",D3376*E3376)</f>
        <v/>
      </c>
      <c r="I3376" s="8">
        <f>IF(OR(D3376="",E3376=""),"",E3376*(1+D3376/30))</f>
        <v/>
      </c>
      <c r="J3376">
        <f>IF(I3376="","",IF(I3376&gt;=MAXIFS($I$2:$I$5001,$B$2:$B$5001,B3376,$A$2:$A$5001,"&lt;="&amp;A3376),"PR",""))</f>
        <v/>
      </c>
    </row>
    <row r="3377">
      <c r="A3377" s="7" t="n"/>
      <c r="H3377" s="11">
        <f>IF(OR(D3377="",E3377=""),"",D3377*E3377)</f>
        <v/>
      </c>
      <c r="I3377" s="8">
        <f>IF(OR(D3377="",E3377=""),"",E3377*(1+D3377/30))</f>
        <v/>
      </c>
      <c r="J3377">
        <f>IF(I3377="","",IF(I3377&gt;=MAXIFS($I$2:$I$5001,$B$2:$B$5001,B3377,$A$2:$A$5001,"&lt;="&amp;A3377),"PR",""))</f>
        <v/>
      </c>
    </row>
    <row r="3378">
      <c r="A3378" s="7" t="n"/>
      <c r="H3378" s="11">
        <f>IF(OR(D3378="",E3378=""),"",D3378*E3378)</f>
        <v/>
      </c>
      <c r="I3378" s="8">
        <f>IF(OR(D3378="",E3378=""),"",E3378*(1+D3378/30))</f>
        <v/>
      </c>
      <c r="J3378">
        <f>IF(I3378="","",IF(I3378&gt;=MAXIFS($I$2:$I$5001,$B$2:$B$5001,B3378,$A$2:$A$5001,"&lt;="&amp;A3378),"PR",""))</f>
        <v/>
      </c>
    </row>
    <row r="3379">
      <c r="A3379" s="7" t="n"/>
      <c r="H3379" s="11">
        <f>IF(OR(D3379="",E3379=""),"",D3379*E3379)</f>
        <v/>
      </c>
      <c r="I3379" s="8">
        <f>IF(OR(D3379="",E3379=""),"",E3379*(1+D3379/30))</f>
        <v/>
      </c>
      <c r="J3379">
        <f>IF(I3379="","",IF(I3379&gt;=MAXIFS($I$2:$I$5001,$B$2:$B$5001,B3379,$A$2:$A$5001,"&lt;="&amp;A3379),"PR",""))</f>
        <v/>
      </c>
    </row>
    <row r="3380">
      <c r="A3380" s="7" t="n"/>
      <c r="H3380" s="11">
        <f>IF(OR(D3380="",E3380=""),"",D3380*E3380)</f>
        <v/>
      </c>
      <c r="I3380" s="8">
        <f>IF(OR(D3380="",E3380=""),"",E3380*(1+D3380/30))</f>
        <v/>
      </c>
      <c r="J3380">
        <f>IF(I3380="","",IF(I3380&gt;=MAXIFS($I$2:$I$5001,$B$2:$B$5001,B3380,$A$2:$A$5001,"&lt;="&amp;A3380),"PR",""))</f>
        <v/>
      </c>
    </row>
    <row r="3381">
      <c r="A3381" s="7" t="n"/>
      <c r="H3381" s="11">
        <f>IF(OR(D3381="",E3381=""),"",D3381*E3381)</f>
        <v/>
      </c>
      <c r="I3381" s="8">
        <f>IF(OR(D3381="",E3381=""),"",E3381*(1+D3381/30))</f>
        <v/>
      </c>
      <c r="J3381">
        <f>IF(I3381="","",IF(I3381&gt;=MAXIFS($I$2:$I$5001,$B$2:$B$5001,B3381,$A$2:$A$5001,"&lt;="&amp;A3381),"PR",""))</f>
        <v/>
      </c>
    </row>
    <row r="3382">
      <c r="A3382" s="7" t="n"/>
      <c r="H3382" s="11">
        <f>IF(OR(D3382="",E3382=""),"",D3382*E3382)</f>
        <v/>
      </c>
      <c r="I3382" s="8">
        <f>IF(OR(D3382="",E3382=""),"",E3382*(1+D3382/30))</f>
        <v/>
      </c>
      <c r="J3382">
        <f>IF(I3382="","",IF(I3382&gt;=MAXIFS($I$2:$I$5001,$B$2:$B$5001,B3382,$A$2:$A$5001,"&lt;="&amp;A3382),"PR",""))</f>
        <v/>
      </c>
    </row>
    <row r="3383">
      <c r="A3383" s="7" t="n"/>
      <c r="H3383" s="11">
        <f>IF(OR(D3383="",E3383=""),"",D3383*E3383)</f>
        <v/>
      </c>
      <c r="I3383" s="8">
        <f>IF(OR(D3383="",E3383=""),"",E3383*(1+D3383/30))</f>
        <v/>
      </c>
      <c r="J3383">
        <f>IF(I3383="","",IF(I3383&gt;=MAXIFS($I$2:$I$5001,$B$2:$B$5001,B3383,$A$2:$A$5001,"&lt;="&amp;A3383),"PR",""))</f>
        <v/>
      </c>
    </row>
    <row r="3384">
      <c r="A3384" s="7" t="n"/>
      <c r="H3384" s="11">
        <f>IF(OR(D3384="",E3384=""),"",D3384*E3384)</f>
        <v/>
      </c>
      <c r="I3384" s="8">
        <f>IF(OR(D3384="",E3384=""),"",E3384*(1+D3384/30))</f>
        <v/>
      </c>
      <c r="J3384">
        <f>IF(I3384="","",IF(I3384&gt;=MAXIFS($I$2:$I$5001,$B$2:$B$5001,B3384,$A$2:$A$5001,"&lt;="&amp;A3384),"PR",""))</f>
        <v/>
      </c>
    </row>
    <row r="3385">
      <c r="A3385" s="7" t="n"/>
      <c r="H3385" s="11">
        <f>IF(OR(D3385="",E3385=""),"",D3385*E3385)</f>
        <v/>
      </c>
      <c r="I3385" s="8">
        <f>IF(OR(D3385="",E3385=""),"",E3385*(1+D3385/30))</f>
        <v/>
      </c>
      <c r="J3385">
        <f>IF(I3385="","",IF(I3385&gt;=MAXIFS($I$2:$I$5001,$B$2:$B$5001,B3385,$A$2:$A$5001,"&lt;="&amp;A3385),"PR",""))</f>
        <v/>
      </c>
    </row>
    <row r="3386">
      <c r="A3386" s="7" t="n"/>
      <c r="H3386" s="11">
        <f>IF(OR(D3386="",E3386=""),"",D3386*E3386)</f>
        <v/>
      </c>
      <c r="I3386" s="8">
        <f>IF(OR(D3386="",E3386=""),"",E3386*(1+D3386/30))</f>
        <v/>
      </c>
      <c r="J3386">
        <f>IF(I3386="","",IF(I3386&gt;=MAXIFS($I$2:$I$5001,$B$2:$B$5001,B3386,$A$2:$A$5001,"&lt;="&amp;A3386),"PR",""))</f>
        <v/>
      </c>
    </row>
    <row r="3387">
      <c r="A3387" s="7" t="n"/>
      <c r="H3387" s="11">
        <f>IF(OR(D3387="",E3387=""),"",D3387*E3387)</f>
        <v/>
      </c>
      <c r="I3387" s="8">
        <f>IF(OR(D3387="",E3387=""),"",E3387*(1+D3387/30))</f>
        <v/>
      </c>
      <c r="J3387">
        <f>IF(I3387="","",IF(I3387&gt;=MAXIFS($I$2:$I$5001,$B$2:$B$5001,B3387,$A$2:$A$5001,"&lt;="&amp;A3387),"PR",""))</f>
        <v/>
      </c>
    </row>
    <row r="3388">
      <c r="A3388" s="7" t="n"/>
      <c r="H3388" s="11">
        <f>IF(OR(D3388="",E3388=""),"",D3388*E3388)</f>
        <v/>
      </c>
      <c r="I3388" s="8">
        <f>IF(OR(D3388="",E3388=""),"",E3388*(1+D3388/30))</f>
        <v/>
      </c>
      <c r="J3388">
        <f>IF(I3388="","",IF(I3388&gt;=MAXIFS($I$2:$I$5001,$B$2:$B$5001,B3388,$A$2:$A$5001,"&lt;="&amp;A3388),"PR",""))</f>
        <v/>
      </c>
    </row>
    <row r="3389">
      <c r="A3389" s="7" t="n"/>
      <c r="H3389" s="11">
        <f>IF(OR(D3389="",E3389=""),"",D3389*E3389)</f>
        <v/>
      </c>
      <c r="I3389" s="8">
        <f>IF(OR(D3389="",E3389=""),"",E3389*(1+D3389/30))</f>
        <v/>
      </c>
      <c r="J3389">
        <f>IF(I3389="","",IF(I3389&gt;=MAXIFS($I$2:$I$5001,$B$2:$B$5001,B3389,$A$2:$A$5001,"&lt;="&amp;A3389),"PR",""))</f>
        <v/>
      </c>
    </row>
    <row r="3390">
      <c r="A3390" s="7" t="n"/>
      <c r="H3390" s="11">
        <f>IF(OR(D3390="",E3390=""),"",D3390*E3390)</f>
        <v/>
      </c>
      <c r="I3390" s="8">
        <f>IF(OR(D3390="",E3390=""),"",E3390*(1+D3390/30))</f>
        <v/>
      </c>
      <c r="J3390">
        <f>IF(I3390="","",IF(I3390&gt;=MAXIFS($I$2:$I$5001,$B$2:$B$5001,B3390,$A$2:$A$5001,"&lt;="&amp;A3390),"PR",""))</f>
        <v/>
      </c>
    </row>
    <row r="3391">
      <c r="A3391" s="7" t="n"/>
      <c r="H3391" s="11">
        <f>IF(OR(D3391="",E3391=""),"",D3391*E3391)</f>
        <v/>
      </c>
      <c r="I3391" s="8">
        <f>IF(OR(D3391="",E3391=""),"",E3391*(1+D3391/30))</f>
        <v/>
      </c>
      <c r="J3391">
        <f>IF(I3391="","",IF(I3391&gt;=MAXIFS($I$2:$I$5001,$B$2:$B$5001,B3391,$A$2:$A$5001,"&lt;="&amp;A3391),"PR",""))</f>
        <v/>
      </c>
    </row>
    <row r="3392">
      <c r="A3392" s="7" t="n"/>
      <c r="H3392" s="11">
        <f>IF(OR(D3392="",E3392=""),"",D3392*E3392)</f>
        <v/>
      </c>
      <c r="I3392" s="8">
        <f>IF(OR(D3392="",E3392=""),"",E3392*(1+D3392/30))</f>
        <v/>
      </c>
      <c r="J3392">
        <f>IF(I3392="","",IF(I3392&gt;=MAXIFS($I$2:$I$5001,$B$2:$B$5001,B3392,$A$2:$A$5001,"&lt;="&amp;A3392),"PR",""))</f>
        <v/>
      </c>
    </row>
    <row r="3393">
      <c r="A3393" s="7" t="n"/>
      <c r="H3393" s="11">
        <f>IF(OR(D3393="",E3393=""),"",D3393*E3393)</f>
        <v/>
      </c>
      <c r="I3393" s="8">
        <f>IF(OR(D3393="",E3393=""),"",E3393*(1+D3393/30))</f>
        <v/>
      </c>
      <c r="J3393">
        <f>IF(I3393="","",IF(I3393&gt;=MAXIFS($I$2:$I$5001,$B$2:$B$5001,B3393,$A$2:$A$5001,"&lt;="&amp;A3393),"PR",""))</f>
        <v/>
      </c>
    </row>
    <row r="3394">
      <c r="A3394" s="7" t="n"/>
      <c r="H3394" s="11">
        <f>IF(OR(D3394="",E3394=""),"",D3394*E3394)</f>
        <v/>
      </c>
      <c r="I3394" s="8">
        <f>IF(OR(D3394="",E3394=""),"",E3394*(1+D3394/30))</f>
        <v/>
      </c>
      <c r="J3394">
        <f>IF(I3394="","",IF(I3394&gt;=MAXIFS($I$2:$I$5001,$B$2:$B$5001,B3394,$A$2:$A$5001,"&lt;="&amp;A3394),"PR",""))</f>
        <v/>
      </c>
    </row>
    <row r="3395">
      <c r="A3395" s="7" t="n"/>
      <c r="H3395" s="11">
        <f>IF(OR(D3395="",E3395=""),"",D3395*E3395)</f>
        <v/>
      </c>
      <c r="I3395" s="8">
        <f>IF(OR(D3395="",E3395=""),"",E3395*(1+D3395/30))</f>
        <v/>
      </c>
      <c r="J3395">
        <f>IF(I3395="","",IF(I3395&gt;=MAXIFS($I$2:$I$5001,$B$2:$B$5001,B3395,$A$2:$A$5001,"&lt;="&amp;A3395),"PR",""))</f>
        <v/>
      </c>
    </row>
    <row r="3396">
      <c r="A3396" s="7" t="n"/>
      <c r="H3396" s="11">
        <f>IF(OR(D3396="",E3396=""),"",D3396*E3396)</f>
        <v/>
      </c>
      <c r="I3396" s="8">
        <f>IF(OR(D3396="",E3396=""),"",E3396*(1+D3396/30))</f>
        <v/>
      </c>
      <c r="J3396">
        <f>IF(I3396="","",IF(I3396&gt;=MAXIFS($I$2:$I$5001,$B$2:$B$5001,B3396,$A$2:$A$5001,"&lt;="&amp;A3396),"PR",""))</f>
        <v/>
      </c>
    </row>
    <row r="3397">
      <c r="A3397" s="7" t="n"/>
      <c r="H3397" s="11">
        <f>IF(OR(D3397="",E3397=""),"",D3397*E3397)</f>
        <v/>
      </c>
      <c r="I3397" s="8">
        <f>IF(OR(D3397="",E3397=""),"",E3397*(1+D3397/30))</f>
        <v/>
      </c>
      <c r="J3397">
        <f>IF(I3397="","",IF(I3397&gt;=MAXIFS($I$2:$I$5001,$B$2:$B$5001,B3397,$A$2:$A$5001,"&lt;="&amp;A3397),"PR",""))</f>
        <v/>
      </c>
    </row>
    <row r="3398">
      <c r="A3398" s="7" t="n"/>
      <c r="H3398" s="11">
        <f>IF(OR(D3398="",E3398=""),"",D3398*E3398)</f>
        <v/>
      </c>
      <c r="I3398" s="8">
        <f>IF(OR(D3398="",E3398=""),"",E3398*(1+D3398/30))</f>
        <v/>
      </c>
      <c r="J3398">
        <f>IF(I3398="","",IF(I3398&gt;=MAXIFS($I$2:$I$5001,$B$2:$B$5001,B3398,$A$2:$A$5001,"&lt;="&amp;A3398),"PR",""))</f>
        <v/>
      </c>
    </row>
    <row r="3399">
      <c r="A3399" s="7" t="n"/>
      <c r="H3399" s="11">
        <f>IF(OR(D3399="",E3399=""),"",D3399*E3399)</f>
        <v/>
      </c>
      <c r="I3399" s="8">
        <f>IF(OR(D3399="",E3399=""),"",E3399*(1+D3399/30))</f>
        <v/>
      </c>
      <c r="J3399">
        <f>IF(I3399="","",IF(I3399&gt;=MAXIFS($I$2:$I$5001,$B$2:$B$5001,B3399,$A$2:$A$5001,"&lt;="&amp;A3399),"PR",""))</f>
        <v/>
      </c>
    </row>
    <row r="3400">
      <c r="A3400" s="7" t="n"/>
      <c r="H3400" s="11">
        <f>IF(OR(D3400="",E3400=""),"",D3400*E3400)</f>
        <v/>
      </c>
      <c r="I3400" s="8">
        <f>IF(OR(D3400="",E3400=""),"",E3400*(1+D3400/30))</f>
        <v/>
      </c>
      <c r="J3400">
        <f>IF(I3400="","",IF(I3400&gt;=MAXIFS($I$2:$I$5001,$B$2:$B$5001,B3400,$A$2:$A$5001,"&lt;="&amp;A3400),"PR",""))</f>
        <v/>
      </c>
    </row>
    <row r="3401">
      <c r="A3401" s="7" t="n"/>
      <c r="H3401" s="11">
        <f>IF(OR(D3401="",E3401=""),"",D3401*E3401)</f>
        <v/>
      </c>
      <c r="I3401" s="8">
        <f>IF(OR(D3401="",E3401=""),"",E3401*(1+D3401/30))</f>
        <v/>
      </c>
      <c r="J3401">
        <f>IF(I3401="","",IF(I3401&gt;=MAXIFS($I$2:$I$5001,$B$2:$B$5001,B3401,$A$2:$A$5001,"&lt;="&amp;A3401),"PR",""))</f>
        <v/>
      </c>
    </row>
    <row r="3402">
      <c r="A3402" s="7" t="n"/>
      <c r="H3402" s="11">
        <f>IF(OR(D3402="",E3402=""),"",D3402*E3402)</f>
        <v/>
      </c>
      <c r="I3402" s="8">
        <f>IF(OR(D3402="",E3402=""),"",E3402*(1+D3402/30))</f>
        <v/>
      </c>
      <c r="J3402">
        <f>IF(I3402="","",IF(I3402&gt;=MAXIFS($I$2:$I$5001,$B$2:$B$5001,B3402,$A$2:$A$5001,"&lt;="&amp;A3402),"PR",""))</f>
        <v/>
      </c>
    </row>
    <row r="3403">
      <c r="A3403" s="7" t="n"/>
      <c r="H3403" s="11">
        <f>IF(OR(D3403="",E3403=""),"",D3403*E3403)</f>
        <v/>
      </c>
      <c r="I3403" s="8">
        <f>IF(OR(D3403="",E3403=""),"",E3403*(1+D3403/30))</f>
        <v/>
      </c>
      <c r="J3403">
        <f>IF(I3403="","",IF(I3403&gt;=MAXIFS($I$2:$I$5001,$B$2:$B$5001,B3403,$A$2:$A$5001,"&lt;="&amp;A3403),"PR",""))</f>
        <v/>
      </c>
    </row>
    <row r="3404">
      <c r="A3404" s="7" t="n"/>
      <c r="H3404" s="11">
        <f>IF(OR(D3404="",E3404=""),"",D3404*E3404)</f>
        <v/>
      </c>
      <c r="I3404" s="8">
        <f>IF(OR(D3404="",E3404=""),"",E3404*(1+D3404/30))</f>
        <v/>
      </c>
      <c r="J3404">
        <f>IF(I3404="","",IF(I3404&gt;=MAXIFS($I$2:$I$5001,$B$2:$B$5001,B3404,$A$2:$A$5001,"&lt;="&amp;A3404),"PR",""))</f>
        <v/>
      </c>
    </row>
    <row r="3405">
      <c r="A3405" s="7" t="n"/>
      <c r="H3405" s="11">
        <f>IF(OR(D3405="",E3405=""),"",D3405*E3405)</f>
        <v/>
      </c>
      <c r="I3405" s="8">
        <f>IF(OR(D3405="",E3405=""),"",E3405*(1+D3405/30))</f>
        <v/>
      </c>
      <c r="J3405">
        <f>IF(I3405="","",IF(I3405&gt;=MAXIFS($I$2:$I$5001,$B$2:$B$5001,B3405,$A$2:$A$5001,"&lt;="&amp;A3405),"PR",""))</f>
        <v/>
      </c>
    </row>
    <row r="3406">
      <c r="A3406" s="7" t="n"/>
      <c r="H3406" s="11">
        <f>IF(OR(D3406="",E3406=""),"",D3406*E3406)</f>
        <v/>
      </c>
      <c r="I3406" s="8">
        <f>IF(OR(D3406="",E3406=""),"",E3406*(1+D3406/30))</f>
        <v/>
      </c>
      <c r="J3406">
        <f>IF(I3406="","",IF(I3406&gt;=MAXIFS($I$2:$I$5001,$B$2:$B$5001,B3406,$A$2:$A$5001,"&lt;="&amp;A3406),"PR",""))</f>
        <v/>
      </c>
    </row>
    <row r="3407">
      <c r="A3407" s="7" t="n"/>
      <c r="H3407" s="11">
        <f>IF(OR(D3407="",E3407=""),"",D3407*E3407)</f>
        <v/>
      </c>
      <c r="I3407" s="8">
        <f>IF(OR(D3407="",E3407=""),"",E3407*(1+D3407/30))</f>
        <v/>
      </c>
      <c r="J3407">
        <f>IF(I3407="","",IF(I3407&gt;=MAXIFS($I$2:$I$5001,$B$2:$B$5001,B3407,$A$2:$A$5001,"&lt;="&amp;A3407),"PR",""))</f>
        <v/>
      </c>
    </row>
    <row r="3408">
      <c r="A3408" s="7" t="n"/>
      <c r="H3408" s="11">
        <f>IF(OR(D3408="",E3408=""),"",D3408*E3408)</f>
        <v/>
      </c>
      <c r="I3408" s="8">
        <f>IF(OR(D3408="",E3408=""),"",E3408*(1+D3408/30))</f>
        <v/>
      </c>
      <c r="J3408">
        <f>IF(I3408="","",IF(I3408&gt;=MAXIFS($I$2:$I$5001,$B$2:$B$5001,B3408,$A$2:$A$5001,"&lt;="&amp;A3408),"PR",""))</f>
        <v/>
      </c>
    </row>
    <row r="3409">
      <c r="A3409" s="7" t="n"/>
      <c r="H3409" s="11">
        <f>IF(OR(D3409="",E3409=""),"",D3409*E3409)</f>
        <v/>
      </c>
      <c r="I3409" s="8">
        <f>IF(OR(D3409="",E3409=""),"",E3409*(1+D3409/30))</f>
        <v/>
      </c>
      <c r="J3409">
        <f>IF(I3409="","",IF(I3409&gt;=MAXIFS($I$2:$I$5001,$B$2:$B$5001,B3409,$A$2:$A$5001,"&lt;="&amp;A3409),"PR",""))</f>
        <v/>
      </c>
    </row>
    <row r="3410">
      <c r="A3410" s="7" t="n"/>
      <c r="H3410" s="11">
        <f>IF(OR(D3410="",E3410=""),"",D3410*E3410)</f>
        <v/>
      </c>
      <c r="I3410" s="8">
        <f>IF(OR(D3410="",E3410=""),"",E3410*(1+D3410/30))</f>
        <v/>
      </c>
      <c r="J3410">
        <f>IF(I3410="","",IF(I3410&gt;=MAXIFS($I$2:$I$5001,$B$2:$B$5001,B3410,$A$2:$A$5001,"&lt;="&amp;A3410),"PR",""))</f>
        <v/>
      </c>
    </row>
    <row r="3411">
      <c r="A3411" s="7" t="n"/>
      <c r="H3411" s="11">
        <f>IF(OR(D3411="",E3411=""),"",D3411*E3411)</f>
        <v/>
      </c>
      <c r="I3411" s="8">
        <f>IF(OR(D3411="",E3411=""),"",E3411*(1+D3411/30))</f>
        <v/>
      </c>
      <c r="J3411">
        <f>IF(I3411="","",IF(I3411&gt;=MAXIFS($I$2:$I$5001,$B$2:$B$5001,B3411,$A$2:$A$5001,"&lt;="&amp;A3411),"PR",""))</f>
        <v/>
      </c>
    </row>
    <row r="3412">
      <c r="A3412" s="7" t="n"/>
      <c r="H3412" s="11">
        <f>IF(OR(D3412="",E3412=""),"",D3412*E3412)</f>
        <v/>
      </c>
      <c r="I3412" s="8">
        <f>IF(OR(D3412="",E3412=""),"",E3412*(1+D3412/30))</f>
        <v/>
      </c>
      <c r="J3412">
        <f>IF(I3412="","",IF(I3412&gt;=MAXIFS($I$2:$I$5001,$B$2:$B$5001,B3412,$A$2:$A$5001,"&lt;="&amp;A3412),"PR",""))</f>
        <v/>
      </c>
    </row>
    <row r="3413">
      <c r="A3413" s="7" t="n"/>
      <c r="H3413" s="11">
        <f>IF(OR(D3413="",E3413=""),"",D3413*E3413)</f>
        <v/>
      </c>
      <c r="I3413" s="8">
        <f>IF(OR(D3413="",E3413=""),"",E3413*(1+D3413/30))</f>
        <v/>
      </c>
      <c r="J3413">
        <f>IF(I3413="","",IF(I3413&gt;=MAXIFS($I$2:$I$5001,$B$2:$B$5001,B3413,$A$2:$A$5001,"&lt;="&amp;A3413),"PR",""))</f>
        <v/>
      </c>
    </row>
    <row r="3414">
      <c r="A3414" s="7" t="n"/>
      <c r="H3414" s="11">
        <f>IF(OR(D3414="",E3414=""),"",D3414*E3414)</f>
        <v/>
      </c>
      <c r="I3414" s="8">
        <f>IF(OR(D3414="",E3414=""),"",E3414*(1+D3414/30))</f>
        <v/>
      </c>
      <c r="J3414">
        <f>IF(I3414="","",IF(I3414&gt;=MAXIFS($I$2:$I$5001,$B$2:$B$5001,B3414,$A$2:$A$5001,"&lt;="&amp;A3414),"PR",""))</f>
        <v/>
      </c>
    </row>
    <row r="3415">
      <c r="A3415" s="7" t="n"/>
      <c r="H3415" s="11">
        <f>IF(OR(D3415="",E3415=""),"",D3415*E3415)</f>
        <v/>
      </c>
      <c r="I3415" s="8">
        <f>IF(OR(D3415="",E3415=""),"",E3415*(1+D3415/30))</f>
        <v/>
      </c>
      <c r="J3415">
        <f>IF(I3415="","",IF(I3415&gt;=MAXIFS($I$2:$I$5001,$B$2:$B$5001,B3415,$A$2:$A$5001,"&lt;="&amp;A3415),"PR",""))</f>
        <v/>
      </c>
    </row>
    <row r="3416">
      <c r="A3416" s="7" t="n"/>
      <c r="H3416" s="11">
        <f>IF(OR(D3416="",E3416=""),"",D3416*E3416)</f>
        <v/>
      </c>
      <c r="I3416" s="8">
        <f>IF(OR(D3416="",E3416=""),"",E3416*(1+D3416/30))</f>
        <v/>
      </c>
      <c r="J3416">
        <f>IF(I3416="","",IF(I3416&gt;=MAXIFS($I$2:$I$5001,$B$2:$B$5001,B3416,$A$2:$A$5001,"&lt;="&amp;A3416),"PR",""))</f>
        <v/>
      </c>
    </row>
    <row r="3417">
      <c r="A3417" s="7" t="n"/>
      <c r="H3417" s="11">
        <f>IF(OR(D3417="",E3417=""),"",D3417*E3417)</f>
        <v/>
      </c>
      <c r="I3417" s="8">
        <f>IF(OR(D3417="",E3417=""),"",E3417*(1+D3417/30))</f>
        <v/>
      </c>
      <c r="J3417">
        <f>IF(I3417="","",IF(I3417&gt;=MAXIFS($I$2:$I$5001,$B$2:$B$5001,B3417,$A$2:$A$5001,"&lt;="&amp;A3417),"PR",""))</f>
        <v/>
      </c>
    </row>
    <row r="3418">
      <c r="A3418" s="7" t="n"/>
      <c r="H3418" s="11">
        <f>IF(OR(D3418="",E3418=""),"",D3418*E3418)</f>
        <v/>
      </c>
      <c r="I3418" s="8">
        <f>IF(OR(D3418="",E3418=""),"",E3418*(1+D3418/30))</f>
        <v/>
      </c>
      <c r="J3418">
        <f>IF(I3418="","",IF(I3418&gt;=MAXIFS($I$2:$I$5001,$B$2:$B$5001,B3418,$A$2:$A$5001,"&lt;="&amp;A3418),"PR",""))</f>
        <v/>
      </c>
    </row>
    <row r="3419">
      <c r="A3419" s="7" t="n"/>
      <c r="H3419" s="11">
        <f>IF(OR(D3419="",E3419=""),"",D3419*E3419)</f>
        <v/>
      </c>
      <c r="I3419" s="8">
        <f>IF(OR(D3419="",E3419=""),"",E3419*(1+D3419/30))</f>
        <v/>
      </c>
      <c r="J3419">
        <f>IF(I3419="","",IF(I3419&gt;=MAXIFS($I$2:$I$5001,$B$2:$B$5001,B3419,$A$2:$A$5001,"&lt;="&amp;A3419),"PR",""))</f>
        <v/>
      </c>
    </row>
    <row r="3420">
      <c r="A3420" s="7" t="n"/>
      <c r="H3420" s="11">
        <f>IF(OR(D3420="",E3420=""),"",D3420*E3420)</f>
        <v/>
      </c>
      <c r="I3420" s="8">
        <f>IF(OR(D3420="",E3420=""),"",E3420*(1+D3420/30))</f>
        <v/>
      </c>
      <c r="J3420">
        <f>IF(I3420="","",IF(I3420&gt;=MAXIFS($I$2:$I$5001,$B$2:$B$5001,B3420,$A$2:$A$5001,"&lt;="&amp;A3420),"PR",""))</f>
        <v/>
      </c>
    </row>
    <row r="3421">
      <c r="A3421" s="7" t="n"/>
      <c r="H3421" s="11">
        <f>IF(OR(D3421="",E3421=""),"",D3421*E3421)</f>
        <v/>
      </c>
      <c r="I3421" s="8">
        <f>IF(OR(D3421="",E3421=""),"",E3421*(1+D3421/30))</f>
        <v/>
      </c>
      <c r="J3421">
        <f>IF(I3421="","",IF(I3421&gt;=MAXIFS($I$2:$I$5001,$B$2:$B$5001,B3421,$A$2:$A$5001,"&lt;="&amp;A3421),"PR",""))</f>
        <v/>
      </c>
    </row>
    <row r="3422">
      <c r="A3422" s="7" t="n"/>
      <c r="H3422" s="11">
        <f>IF(OR(D3422="",E3422=""),"",D3422*E3422)</f>
        <v/>
      </c>
      <c r="I3422" s="8">
        <f>IF(OR(D3422="",E3422=""),"",E3422*(1+D3422/30))</f>
        <v/>
      </c>
      <c r="J3422">
        <f>IF(I3422="","",IF(I3422&gt;=MAXIFS($I$2:$I$5001,$B$2:$B$5001,B3422,$A$2:$A$5001,"&lt;="&amp;A3422),"PR",""))</f>
        <v/>
      </c>
    </row>
    <row r="3423">
      <c r="A3423" s="7" t="n"/>
      <c r="H3423" s="11">
        <f>IF(OR(D3423="",E3423=""),"",D3423*E3423)</f>
        <v/>
      </c>
      <c r="I3423" s="8">
        <f>IF(OR(D3423="",E3423=""),"",E3423*(1+D3423/30))</f>
        <v/>
      </c>
      <c r="J3423">
        <f>IF(I3423="","",IF(I3423&gt;=MAXIFS($I$2:$I$5001,$B$2:$B$5001,B3423,$A$2:$A$5001,"&lt;="&amp;A3423),"PR",""))</f>
        <v/>
      </c>
    </row>
    <row r="3424">
      <c r="A3424" s="7" t="n"/>
      <c r="H3424" s="11">
        <f>IF(OR(D3424="",E3424=""),"",D3424*E3424)</f>
        <v/>
      </c>
      <c r="I3424" s="8">
        <f>IF(OR(D3424="",E3424=""),"",E3424*(1+D3424/30))</f>
        <v/>
      </c>
      <c r="J3424">
        <f>IF(I3424="","",IF(I3424&gt;=MAXIFS($I$2:$I$5001,$B$2:$B$5001,B3424,$A$2:$A$5001,"&lt;="&amp;A3424),"PR",""))</f>
        <v/>
      </c>
    </row>
    <row r="3425">
      <c r="A3425" s="7" t="n"/>
      <c r="H3425" s="11">
        <f>IF(OR(D3425="",E3425=""),"",D3425*E3425)</f>
        <v/>
      </c>
      <c r="I3425" s="8">
        <f>IF(OR(D3425="",E3425=""),"",E3425*(1+D3425/30))</f>
        <v/>
      </c>
      <c r="J3425">
        <f>IF(I3425="","",IF(I3425&gt;=MAXIFS($I$2:$I$5001,$B$2:$B$5001,B3425,$A$2:$A$5001,"&lt;="&amp;A3425),"PR",""))</f>
        <v/>
      </c>
    </row>
    <row r="3426">
      <c r="A3426" s="7" t="n"/>
      <c r="H3426" s="11">
        <f>IF(OR(D3426="",E3426=""),"",D3426*E3426)</f>
        <v/>
      </c>
      <c r="I3426" s="8">
        <f>IF(OR(D3426="",E3426=""),"",E3426*(1+D3426/30))</f>
        <v/>
      </c>
      <c r="J3426">
        <f>IF(I3426="","",IF(I3426&gt;=MAXIFS($I$2:$I$5001,$B$2:$B$5001,B3426,$A$2:$A$5001,"&lt;="&amp;A3426),"PR",""))</f>
        <v/>
      </c>
    </row>
    <row r="3427">
      <c r="A3427" s="7" t="n"/>
      <c r="H3427" s="11">
        <f>IF(OR(D3427="",E3427=""),"",D3427*E3427)</f>
        <v/>
      </c>
      <c r="I3427" s="8">
        <f>IF(OR(D3427="",E3427=""),"",E3427*(1+D3427/30))</f>
        <v/>
      </c>
      <c r="J3427">
        <f>IF(I3427="","",IF(I3427&gt;=MAXIFS($I$2:$I$5001,$B$2:$B$5001,B3427,$A$2:$A$5001,"&lt;="&amp;A3427),"PR",""))</f>
        <v/>
      </c>
    </row>
    <row r="3428">
      <c r="A3428" s="7" t="n"/>
      <c r="H3428" s="11">
        <f>IF(OR(D3428="",E3428=""),"",D3428*E3428)</f>
        <v/>
      </c>
      <c r="I3428" s="8">
        <f>IF(OR(D3428="",E3428=""),"",E3428*(1+D3428/30))</f>
        <v/>
      </c>
      <c r="J3428">
        <f>IF(I3428="","",IF(I3428&gt;=MAXIFS($I$2:$I$5001,$B$2:$B$5001,B3428,$A$2:$A$5001,"&lt;="&amp;A3428),"PR",""))</f>
        <v/>
      </c>
    </row>
    <row r="3429">
      <c r="A3429" s="7" t="n"/>
      <c r="H3429" s="11">
        <f>IF(OR(D3429="",E3429=""),"",D3429*E3429)</f>
        <v/>
      </c>
      <c r="I3429" s="8">
        <f>IF(OR(D3429="",E3429=""),"",E3429*(1+D3429/30))</f>
        <v/>
      </c>
      <c r="J3429">
        <f>IF(I3429="","",IF(I3429&gt;=MAXIFS($I$2:$I$5001,$B$2:$B$5001,B3429,$A$2:$A$5001,"&lt;="&amp;A3429),"PR",""))</f>
        <v/>
      </c>
    </row>
    <row r="3430">
      <c r="A3430" s="7" t="n"/>
      <c r="H3430" s="11">
        <f>IF(OR(D3430="",E3430=""),"",D3430*E3430)</f>
        <v/>
      </c>
      <c r="I3430" s="8">
        <f>IF(OR(D3430="",E3430=""),"",E3430*(1+D3430/30))</f>
        <v/>
      </c>
      <c r="J3430">
        <f>IF(I3430="","",IF(I3430&gt;=MAXIFS($I$2:$I$5001,$B$2:$B$5001,B3430,$A$2:$A$5001,"&lt;="&amp;A3430),"PR",""))</f>
        <v/>
      </c>
    </row>
    <row r="3431">
      <c r="A3431" s="7" t="n"/>
      <c r="H3431" s="11">
        <f>IF(OR(D3431="",E3431=""),"",D3431*E3431)</f>
        <v/>
      </c>
      <c r="I3431" s="8">
        <f>IF(OR(D3431="",E3431=""),"",E3431*(1+D3431/30))</f>
        <v/>
      </c>
      <c r="J3431">
        <f>IF(I3431="","",IF(I3431&gt;=MAXIFS($I$2:$I$5001,$B$2:$B$5001,B3431,$A$2:$A$5001,"&lt;="&amp;A3431),"PR",""))</f>
        <v/>
      </c>
    </row>
    <row r="3432">
      <c r="A3432" s="7" t="n"/>
      <c r="H3432" s="11">
        <f>IF(OR(D3432="",E3432=""),"",D3432*E3432)</f>
        <v/>
      </c>
      <c r="I3432" s="8">
        <f>IF(OR(D3432="",E3432=""),"",E3432*(1+D3432/30))</f>
        <v/>
      </c>
      <c r="J3432">
        <f>IF(I3432="","",IF(I3432&gt;=MAXIFS($I$2:$I$5001,$B$2:$B$5001,B3432,$A$2:$A$5001,"&lt;="&amp;A3432),"PR",""))</f>
        <v/>
      </c>
    </row>
    <row r="3433">
      <c r="A3433" s="7" t="n"/>
      <c r="H3433" s="11">
        <f>IF(OR(D3433="",E3433=""),"",D3433*E3433)</f>
        <v/>
      </c>
      <c r="I3433" s="8">
        <f>IF(OR(D3433="",E3433=""),"",E3433*(1+D3433/30))</f>
        <v/>
      </c>
      <c r="J3433">
        <f>IF(I3433="","",IF(I3433&gt;=MAXIFS($I$2:$I$5001,$B$2:$B$5001,B3433,$A$2:$A$5001,"&lt;="&amp;A3433),"PR",""))</f>
        <v/>
      </c>
    </row>
    <row r="3434">
      <c r="A3434" s="7" t="n"/>
      <c r="H3434" s="11">
        <f>IF(OR(D3434="",E3434=""),"",D3434*E3434)</f>
        <v/>
      </c>
      <c r="I3434" s="8">
        <f>IF(OR(D3434="",E3434=""),"",E3434*(1+D3434/30))</f>
        <v/>
      </c>
      <c r="J3434">
        <f>IF(I3434="","",IF(I3434&gt;=MAXIFS($I$2:$I$5001,$B$2:$B$5001,B3434,$A$2:$A$5001,"&lt;="&amp;A3434),"PR",""))</f>
        <v/>
      </c>
    </row>
    <row r="3435">
      <c r="A3435" s="7" t="n"/>
      <c r="H3435" s="11">
        <f>IF(OR(D3435="",E3435=""),"",D3435*E3435)</f>
        <v/>
      </c>
      <c r="I3435" s="8">
        <f>IF(OR(D3435="",E3435=""),"",E3435*(1+D3435/30))</f>
        <v/>
      </c>
      <c r="J3435">
        <f>IF(I3435="","",IF(I3435&gt;=MAXIFS($I$2:$I$5001,$B$2:$B$5001,B3435,$A$2:$A$5001,"&lt;="&amp;A3435),"PR",""))</f>
        <v/>
      </c>
    </row>
    <row r="3436">
      <c r="A3436" s="7" t="n"/>
      <c r="H3436" s="11">
        <f>IF(OR(D3436="",E3436=""),"",D3436*E3436)</f>
        <v/>
      </c>
      <c r="I3436" s="8">
        <f>IF(OR(D3436="",E3436=""),"",E3436*(1+D3436/30))</f>
        <v/>
      </c>
      <c r="J3436">
        <f>IF(I3436="","",IF(I3436&gt;=MAXIFS($I$2:$I$5001,$B$2:$B$5001,B3436,$A$2:$A$5001,"&lt;="&amp;A3436),"PR",""))</f>
        <v/>
      </c>
    </row>
    <row r="3437">
      <c r="A3437" s="7" t="n"/>
      <c r="H3437" s="11">
        <f>IF(OR(D3437="",E3437=""),"",D3437*E3437)</f>
        <v/>
      </c>
      <c r="I3437" s="8">
        <f>IF(OR(D3437="",E3437=""),"",E3437*(1+D3437/30))</f>
        <v/>
      </c>
      <c r="J3437">
        <f>IF(I3437="","",IF(I3437&gt;=MAXIFS($I$2:$I$5001,$B$2:$B$5001,B3437,$A$2:$A$5001,"&lt;="&amp;A3437),"PR",""))</f>
        <v/>
      </c>
    </row>
    <row r="3438">
      <c r="A3438" s="7" t="n"/>
      <c r="H3438" s="11">
        <f>IF(OR(D3438="",E3438=""),"",D3438*E3438)</f>
        <v/>
      </c>
      <c r="I3438" s="8">
        <f>IF(OR(D3438="",E3438=""),"",E3438*(1+D3438/30))</f>
        <v/>
      </c>
      <c r="J3438">
        <f>IF(I3438="","",IF(I3438&gt;=MAXIFS($I$2:$I$5001,$B$2:$B$5001,B3438,$A$2:$A$5001,"&lt;="&amp;A3438),"PR",""))</f>
        <v/>
      </c>
    </row>
    <row r="3439">
      <c r="A3439" s="7" t="n"/>
      <c r="H3439" s="11">
        <f>IF(OR(D3439="",E3439=""),"",D3439*E3439)</f>
        <v/>
      </c>
      <c r="I3439" s="8">
        <f>IF(OR(D3439="",E3439=""),"",E3439*(1+D3439/30))</f>
        <v/>
      </c>
      <c r="J3439">
        <f>IF(I3439="","",IF(I3439&gt;=MAXIFS($I$2:$I$5001,$B$2:$B$5001,B3439,$A$2:$A$5001,"&lt;="&amp;A3439),"PR",""))</f>
        <v/>
      </c>
    </row>
    <row r="3440">
      <c r="A3440" s="7" t="n"/>
      <c r="H3440" s="11">
        <f>IF(OR(D3440="",E3440=""),"",D3440*E3440)</f>
        <v/>
      </c>
      <c r="I3440" s="8">
        <f>IF(OR(D3440="",E3440=""),"",E3440*(1+D3440/30))</f>
        <v/>
      </c>
      <c r="J3440">
        <f>IF(I3440="","",IF(I3440&gt;=MAXIFS($I$2:$I$5001,$B$2:$B$5001,B3440,$A$2:$A$5001,"&lt;="&amp;A3440),"PR",""))</f>
        <v/>
      </c>
    </row>
    <row r="3441">
      <c r="A3441" s="7" t="n"/>
      <c r="H3441" s="11">
        <f>IF(OR(D3441="",E3441=""),"",D3441*E3441)</f>
        <v/>
      </c>
      <c r="I3441" s="8">
        <f>IF(OR(D3441="",E3441=""),"",E3441*(1+D3441/30))</f>
        <v/>
      </c>
      <c r="J3441">
        <f>IF(I3441="","",IF(I3441&gt;=MAXIFS($I$2:$I$5001,$B$2:$B$5001,B3441,$A$2:$A$5001,"&lt;="&amp;A3441),"PR",""))</f>
        <v/>
      </c>
    </row>
    <row r="3442">
      <c r="A3442" s="7" t="n"/>
      <c r="H3442" s="11">
        <f>IF(OR(D3442="",E3442=""),"",D3442*E3442)</f>
        <v/>
      </c>
      <c r="I3442" s="8">
        <f>IF(OR(D3442="",E3442=""),"",E3442*(1+D3442/30))</f>
        <v/>
      </c>
      <c r="J3442">
        <f>IF(I3442="","",IF(I3442&gt;=MAXIFS($I$2:$I$5001,$B$2:$B$5001,B3442,$A$2:$A$5001,"&lt;="&amp;A3442),"PR",""))</f>
        <v/>
      </c>
    </row>
    <row r="3443">
      <c r="A3443" s="7" t="n"/>
      <c r="H3443" s="11">
        <f>IF(OR(D3443="",E3443=""),"",D3443*E3443)</f>
        <v/>
      </c>
      <c r="I3443" s="8">
        <f>IF(OR(D3443="",E3443=""),"",E3443*(1+D3443/30))</f>
        <v/>
      </c>
      <c r="J3443">
        <f>IF(I3443="","",IF(I3443&gt;=MAXIFS($I$2:$I$5001,$B$2:$B$5001,B3443,$A$2:$A$5001,"&lt;="&amp;A3443),"PR",""))</f>
        <v/>
      </c>
    </row>
    <row r="3444">
      <c r="A3444" s="7" t="n"/>
      <c r="H3444" s="11">
        <f>IF(OR(D3444="",E3444=""),"",D3444*E3444)</f>
        <v/>
      </c>
      <c r="I3444" s="8">
        <f>IF(OR(D3444="",E3444=""),"",E3444*(1+D3444/30))</f>
        <v/>
      </c>
      <c r="J3444">
        <f>IF(I3444="","",IF(I3444&gt;=MAXIFS($I$2:$I$5001,$B$2:$B$5001,B3444,$A$2:$A$5001,"&lt;="&amp;A3444),"PR",""))</f>
        <v/>
      </c>
    </row>
    <row r="3445">
      <c r="A3445" s="7" t="n"/>
      <c r="H3445" s="11">
        <f>IF(OR(D3445="",E3445=""),"",D3445*E3445)</f>
        <v/>
      </c>
      <c r="I3445" s="8">
        <f>IF(OR(D3445="",E3445=""),"",E3445*(1+D3445/30))</f>
        <v/>
      </c>
      <c r="J3445">
        <f>IF(I3445="","",IF(I3445&gt;=MAXIFS($I$2:$I$5001,$B$2:$B$5001,B3445,$A$2:$A$5001,"&lt;="&amp;A3445),"PR",""))</f>
        <v/>
      </c>
    </row>
    <row r="3446">
      <c r="A3446" s="7" t="n"/>
      <c r="H3446" s="11">
        <f>IF(OR(D3446="",E3446=""),"",D3446*E3446)</f>
        <v/>
      </c>
      <c r="I3446" s="8">
        <f>IF(OR(D3446="",E3446=""),"",E3446*(1+D3446/30))</f>
        <v/>
      </c>
      <c r="J3446">
        <f>IF(I3446="","",IF(I3446&gt;=MAXIFS($I$2:$I$5001,$B$2:$B$5001,B3446,$A$2:$A$5001,"&lt;="&amp;A3446),"PR",""))</f>
        <v/>
      </c>
    </row>
    <row r="3447">
      <c r="A3447" s="7" t="n"/>
      <c r="H3447" s="11">
        <f>IF(OR(D3447="",E3447=""),"",D3447*E3447)</f>
        <v/>
      </c>
      <c r="I3447" s="8">
        <f>IF(OR(D3447="",E3447=""),"",E3447*(1+D3447/30))</f>
        <v/>
      </c>
      <c r="J3447">
        <f>IF(I3447="","",IF(I3447&gt;=MAXIFS($I$2:$I$5001,$B$2:$B$5001,B3447,$A$2:$A$5001,"&lt;="&amp;A3447),"PR",""))</f>
        <v/>
      </c>
    </row>
    <row r="3448">
      <c r="A3448" s="7" t="n"/>
      <c r="H3448" s="11">
        <f>IF(OR(D3448="",E3448=""),"",D3448*E3448)</f>
        <v/>
      </c>
      <c r="I3448" s="8">
        <f>IF(OR(D3448="",E3448=""),"",E3448*(1+D3448/30))</f>
        <v/>
      </c>
      <c r="J3448">
        <f>IF(I3448="","",IF(I3448&gt;=MAXIFS($I$2:$I$5001,$B$2:$B$5001,B3448,$A$2:$A$5001,"&lt;="&amp;A3448),"PR",""))</f>
        <v/>
      </c>
    </row>
    <row r="3449">
      <c r="A3449" s="7" t="n"/>
      <c r="H3449" s="11">
        <f>IF(OR(D3449="",E3449=""),"",D3449*E3449)</f>
        <v/>
      </c>
      <c r="I3449" s="8">
        <f>IF(OR(D3449="",E3449=""),"",E3449*(1+D3449/30))</f>
        <v/>
      </c>
      <c r="J3449">
        <f>IF(I3449="","",IF(I3449&gt;=MAXIFS($I$2:$I$5001,$B$2:$B$5001,B3449,$A$2:$A$5001,"&lt;="&amp;A3449),"PR",""))</f>
        <v/>
      </c>
    </row>
    <row r="3450">
      <c r="A3450" s="7" t="n"/>
      <c r="H3450" s="11">
        <f>IF(OR(D3450="",E3450=""),"",D3450*E3450)</f>
        <v/>
      </c>
      <c r="I3450" s="8">
        <f>IF(OR(D3450="",E3450=""),"",E3450*(1+D3450/30))</f>
        <v/>
      </c>
      <c r="J3450">
        <f>IF(I3450="","",IF(I3450&gt;=MAXIFS($I$2:$I$5001,$B$2:$B$5001,B3450,$A$2:$A$5001,"&lt;="&amp;A3450),"PR",""))</f>
        <v/>
      </c>
    </row>
    <row r="3451">
      <c r="A3451" s="7" t="n"/>
      <c r="H3451" s="11">
        <f>IF(OR(D3451="",E3451=""),"",D3451*E3451)</f>
        <v/>
      </c>
      <c r="I3451" s="8">
        <f>IF(OR(D3451="",E3451=""),"",E3451*(1+D3451/30))</f>
        <v/>
      </c>
      <c r="J3451">
        <f>IF(I3451="","",IF(I3451&gt;=MAXIFS($I$2:$I$5001,$B$2:$B$5001,B3451,$A$2:$A$5001,"&lt;="&amp;A3451),"PR",""))</f>
        <v/>
      </c>
    </row>
    <row r="3452">
      <c r="A3452" s="7" t="n"/>
      <c r="H3452" s="11">
        <f>IF(OR(D3452="",E3452=""),"",D3452*E3452)</f>
        <v/>
      </c>
      <c r="I3452" s="8">
        <f>IF(OR(D3452="",E3452=""),"",E3452*(1+D3452/30))</f>
        <v/>
      </c>
      <c r="J3452">
        <f>IF(I3452="","",IF(I3452&gt;=MAXIFS($I$2:$I$5001,$B$2:$B$5001,B3452,$A$2:$A$5001,"&lt;="&amp;A3452),"PR",""))</f>
        <v/>
      </c>
    </row>
    <row r="3453">
      <c r="A3453" s="7" t="n"/>
      <c r="H3453" s="11">
        <f>IF(OR(D3453="",E3453=""),"",D3453*E3453)</f>
        <v/>
      </c>
      <c r="I3453" s="8">
        <f>IF(OR(D3453="",E3453=""),"",E3453*(1+D3453/30))</f>
        <v/>
      </c>
      <c r="J3453">
        <f>IF(I3453="","",IF(I3453&gt;=MAXIFS($I$2:$I$5001,$B$2:$B$5001,B3453,$A$2:$A$5001,"&lt;="&amp;A3453),"PR",""))</f>
        <v/>
      </c>
    </row>
    <row r="3454">
      <c r="A3454" s="7" t="n"/>
      <c r="H3454" s="11">
        <f>IF(OR(D3454="",E3454=""),"",D3454*E3454)</f>
        <v/>
      </c>
      <c r="I3454" s="8">
        <f>IF(OR(D3454="",E3454=""),"",E3454*(1+D3454/30))</f>
        <v/>
      </c>
      <c r="J3454">
        <f>IF(I3454="","",IF(I3454&gt;=MAXIFS($I$2:$I$5001,$B$2:$B$5001,B3454,$A$2:$A$5001,"&lt;="&amp;A3454),"PR",""))</f>
        <v/>
      </c>
    </row>
    <row r="3455">
      <c r="A3455" s="7" t="n"/>
      <c r="H3455" s="11">
        <f>IF(OR(D3455="",E3455=""),"",D3455*E3455)</f>
        <v/>
      </c>
      <c r="I3455" s="8">
        <f>IF(OR(D3455="",E3455=""),"",E3455*(1+D3455/30))</f>
        <v/>
      </c>
      <c r="J3455">
        <f>IF(I3455="","",IF(I3455&gt;=MAXIFS($I$2:$I$5001,$B$2:$B$5001,B3455,$A$2:$A$5001,"&lt;="&amp;A3455),"PR",""))</f>
        <v/>
      </c>
    </row>
    <row r="3456">
      <c r="A3456" s="7" t="n"/>
      <c r="H3456" s="11">
        <f>IF(OR(D3456="",E3456=""),"",D3456*E3456)</f>
        <v/>
      </c>
      <c r="I3456" s="8">
        <f>IF(OR(D3456="",E3456=""),"",E3456*(1+D3456/30))</f>
        <v/>
      </c>
      <c r="J3456">
        <f>IF(I3456="","",IF(I3456&gt;=MAXIFS($I$2:$I$5001,$B$2:$B$5001,B3456,$A$2:$A$5001,"&lt;="&amp;A3456),"PR",""))</f>
        <v/>
      </c>
    </row>
    <row r="3457">
      <c r="A3457" s="7" t="n"/>
      <c r="H3457" s="11">
        <f>IF(OR(D3457="",E3457=""),"",D3457*E3457)</f>
        <v/>
      </c>
      <c r="I3457" s="8">
        <f>IF(OR(D3457="",E3457=""),"",E3457*(1+D3457/30))</f>
        <v/>
      </c>
      <c r="J3457">
        <f>IF(I3457="","",IF(I3457&gt;=MAXIFS($I$2:$I$5001,$B$2:$B$5001,B3457,$A$2:$A$5001,"&lt;="&amp;A3457),"PR",""))</f>
        <v/>
      </c>
    </row>
    <row r="3458">
      <c r="A3458" s="7" t="n"/>
      <c r="H3458" s="11">
        <f>IF(OR(D3458="",E3458=""),"",D3458*E3458)</f>
        <v/>
      </c>
      <c r="I3458" s="8">
        <f>IF(OR(D3458="",E3458=""),"",E3458*(1+D3458/30))</f>
        <v/>
      </c>
      <c r="J3458">
        <f>IF(I3458="","",IF(I3458&gt;=MAXIFS($I$2:$I$5001,$B$2:$B$5001,B3458,$A$2:$A$5001,"&lt;="&amp;A3458),"PR",""))</f>
        <v/>
      </c>
    </row>
    <row r="3459">
      <c r="A3459" s="7" t="n"/>
      <c r="H3459" s="11">
        <f>IF(OR(D3459="",E3459=""),"",D3459*E3459)</f>
        <v/>
      </c>
      <c r="I3459" s="8">
        <f>IF(OR(D3459="",E3459=""),"",E3459*(1+D3459/30))</f>
        <v/>
      </c>
      <c r="J3459">
        <f>IF(I3459="","",IF(I3459&gt;=MAXIFS($I$2:$I$5001,$B$2:$B$5001,B3459,$A$2:$A$5001,"&lt;="&amp;A3459),"PR",""))</f>
        <v/>
      </c>
    </row>
    <row r="3460">
      <c r="A3460" s="7" t="n"/>
      <c r="H3460" s="11">
        <f>IF(OR(D3460="",E3460=""),"",D3460*E3460)</f>
        <v/>
      </c>
      <c r="I3460" s="8">
        <f>IF(OR(D3460="",E3460=""),"",E3460*(1+D3460/30))</f>
        <v/>
      </c>
      <c r="J3460">
        <f>IF(I3460="","",IF(I3460&gt;=MAXIFS($I$2:$I$5001,$B$2:$B$5001,B3460,$A$2:$A$5001,"&lt;="&amp;A3460),"PR",""))</f>
        <v/>
      </c>
    </row>
    <row r="3461">
      <c r="A3461" s="7" t="n"/>
      <c r="H3461" s="11">
        <f>IF(OR(D3461="",E3461=""),"",D3461*E3461)</f>
        <v/>
      </c>
      <c r="I3461" s="8">
        <f>IF(OR(D3461="",E3461=""),"",E3461*(1+D3461/30))</f>
        <v/>
      </c>
      <c r="J3461">
        <f>IF(I3461="","",IF(I3461&gt;=MAXIFS($I$2:$I$5001,$B$2:$B$5001,B3461,$A$2:$A$5001,"&lt;="&amp;A3461),"PR",""))</f>
        <v/>
      </c>
    </row>
    <row r="3462">
      <c r="A3462" s="7" t="n"/>
      <c r="H3462" s="11">
        <f>IF(OR(D3462="",E3462=""),"",D3462*E3462)</f>
        <v/>
      </c>
      <c r="I3462" s="8">
        <f>IF(OR(D3462="",E3462=""),"",E3462*(1+D3462/30))</f>
        <v/>
      </c>
      <c r="J3462">
        <f>IF(I3462="","",IF(I3462&gt;=MAXIFS($I$2:$I$5001,$B$2:$B$5001,B3462,$A$2:$A$5001,"&lt;="&amp;A3462),"PR",""))</f>
        <v/>
      </c>
    </row>
    <row r="3463">
      <c r="A3463" s="7" t="n"/>
      <c r="H3463" s="11">
        <f>IF(OR(D3463="",E3463=""),"",D3463*E3463)</f>
        <v/>
      </c>
      <c r="I3463" s="8">
        <f>IF(OR(D3463="",E3463=""),"",E3463*(1+D3463/30))</f>
        <v/>
      </c>
      <c r="J3463">
        <f>IF(I3463="","",IF(I3463&gt;=MAXIFS($I$2:$I$5001,$B$2:$B$5001,B3463,$A$2:$A$5001,"&lt;="&amp;A3463),"PR",""))</f>
        <v/>
      </c>
    </row>
    <row r="3464">
      <c r="A3464" s="7" t="n"/>
      <c r="H3464" s="11">
        <f>IF(OR(D3464="",E3464=""),"",D3464*E3464)</f>
        <v/>
      </c>
      <c r="I3464" s="8">
        <f>IF(OR(D3464="",E3464=""),"",E3464*(1+D3464/30))</f>
        <v/>
      </c>
      <c r="J3464">
        <f>IF(I3464="","",IF(I3464&gt;=MAXIFS($I$2:$I$5001,$B$2:$B$5001,B3464,$A$2:$A$5001,"&lt;="&amp;A3464),"PR",""))</f>
        <v/>
      </c>
    </row>
    <row r="3465">
      <c r="A3465" s="7" t="n"/>
      <c r="H3465" s="11">
        <f>IF(OR(D3465="",E3465=""),"",D3465*E3465)</f>
        <v/>
      </c>
      <c r="I3465" s="8">
        <f>IF(OR(D3465="",E3465=""),"",E3465*(1+D3465/30))</f>
        <v/>
      </c>
      <c r="J3465">
        <f>IF(I3465="","",IF(I3465&gt;=MAXIFS($I$2:$I$5001,$B$2:$B$5001,B3465,$A$2:$A$5001,"&lt;="&amp;A3465),"PR",""))</f>
        <v/>
      </c>
    </row>
    <row r="3466">
      <c r="A3466" s="7" t="n"/>
      <c r="H3466" s="11">
        <f>IF(OR(D3466="",E3466=""),"",D3466*E3466)</f>
        <v/>
      </c>
      <c r="I3466" s="8">
        <f>IF(OR(D3466="",E3466=""),"",E3466*(1+D3466/30))</f>
        <v/>
      </c>
      <c r="J3466">
        <f>IF(I3466="","",IF(I3466&gt;=MAXIFS($I$2:$I$5001,$B$2:$B$5001,B3466,$A$2:$A$5001,"&lt;="&amp;A3466),"PR",""))</f>
        <v/>
      </c>
    </row>
    <row r="3467">
      <c r="A3467" s="7" t="n"/>
      <c r="H3467" s="11">
        <f>IF(OR(D3467="",E3467=""),"",D3467*E3467)</f>
        <v/>
      </c>
      <c r="I3467" s="8">
        <f>IF(OR(D3467="",E3467=""),"",E3467*(1+D3467/30))</f>
        <v/>
      </c>
      <c r="J3467">
        <f>IF(I3467="","",IF(I3467&gt;=MAXIFS($I$2:$I$5001,$B$2:$B$5001,B3467,$A$2:$A$5001,"&lt;="&amp;A3467),"PR",""))</f>
        <v/>
      </c>
    </row>
    <row r="3468">
      <c r="A3468" s="7" t="n"/>
      <c r="H3468" s="11">
        <f>IF(OR(D3468="",E3468=""),"",D3468*E3468)</f>
        <v/>
      </c>
      <c r="I3468" s="8">
        <f>IF(OR(D3468="",E3468=""),"",E3468*(1+D3468/30))</f>
        <v/>
      </c>
      <c r="J3468">
        <f>IF(I3468="","",IF(I3468&gt;=MAXIFS($I$2:$I$5001,$B$2:$B$5001,B3468,$A$2:$A$5001,"&lt;="&amp;A3468),"PR",""))</f>
        <v/>
      </c>
    </row>
    <row r="3469">
      <c r="A3469" s="7" t="n"/>
      <c r="H3469" s="11">
        <f>IF(OR(D3469="",E3469=""),"",D3469*E3469)</f>
        <v/>
      </c>
      <c r="I3469" s="8">
        <f>IF(OR(D3469="",E3469=""),"",E3469*(1+D3469/30))</f>
        <v/>
      </c>
      <c r="J3469">
        <f>IF(I3469="","",IF(I3469&gt;=MAXIFS($I$2:$I$5001,$B$2:$B$5001,B3469,$A$2:$A$5001,"&lt;="&amp;A3469),"PR",""))</f>
        <v/>
      </c>
    </row>
    <row r="3470">
      <c r="A3470" s="7" t="n"/>
      <c r="H3470" s="11">
        <f>IF(OR(D3470="",E3470=""),"",D3470*E3470)</f>
        <v/>
      </c>
      <c r="I3470" s="8">
        <f>IF(OR(D3470="",E3470=""),"",E3470*(1+D3470/30))</f>
        <v/>
      </c>
      <c r="J3470">
        <f>IF(I3470="","",IF(I3470&gt;=MAXIFS($I$2:$I$5001,$B$2:$B$5001,B3470,$A$2:$A$5001,"&lt;="&amp;A3470),"PR",""))</f>
        <v/>
      </c>
    </row>
    <row r="3471">
      <c r="A3471" s="7" t="n"/>
      <c r="H3471" s="11">
        <f>IF(OR(D3471="",E3471=""),"",D3471*E3471)</f>
        <v/>
      </c>
      <c r="I3471" s="8">
        <f>IF(OR(D3471="",E3471=""),"",E3471*(1+D3471/30))</f>
        <v/>
      </c>
      <c r="J3471">
        <f>IF(I3471="","",IF(I3471&gt;=MAXIFS($I$2:$I$5001,$B$2:$B$5001,B3471,$A$2:$A$5001,"&lt;="&amp;A3471),"PR",""))</f>
        <v/>
      </c>
    </row>
    <row r="3472">
      <c r="A3472" s="7" t="n"/>
      <c r="H3472" s="11">
        <f>IF(OR(D3472="",E3472=""),"",D3472*E3472)</f>
        <v/>
      </c>
      <c r="I3472" s="8">
        <f>IF(OR(D3472="",E3472=""),"",E3472*(1+D3472/30))</f>
        <v/>
      </c>
      <c r="J3472">
        <f>IF(I3472="","",IF(I3472&gt;=MAXIFS($I$2:$I$5001,$B$2:$B$5001,B3472,$A$2:$A$5001,"&lt;="&amp;A3472),"PR",""))</f>
        <v/>
      </c>
    </row>
    <row r="3473">
      <c r="A3473" s="7" t="n"/>
      <c r="H3473" s="11">
        <f>IF(OR(D3473="",E3473=""),"",D3473*E3473)</f>
        <v/>
      </c>
      <c r="I3473" s="8">
        <f>IF(OR(D3473="",E3473=""),"",E3473*(1+D3473/30))</f>
        <v/>
      </c>
      <c r="J3473">
        <f>IF(I3473="","",IF(I3473&gt;=MAXIFS($I$2:$I$5001,$B$2:$B$5001,B3473,$A$2:$A$5001,"&lt;="&amp;A3473),"PR",""))</f>
        <v/>
      </c>
    </row>
    <row r="3474">
      <c r="A3474" s="7" t="n"/>
      <c r="H3474" s="11">
        <f>IF(OR(D3474="",E3474=""),"",D3474*E3474)</f>
        <v/>
      </c>
      <c r="I3474" s="8">
        <f>IF(OR(D3474="",E3474=""),"",E3474*(1+D3474/30))</f>
        <v/>
      </c>
      <c r="J3474">
        <f>IF(I3474="","",IF(I3474&gt;=MAXIFS($I$2:$I$5001,$B$2:$B$5001,B3474,$A$2:$A$5001,"&lt;="&amp;A3474),"PR",""))</f>
        <v/>
      </c>
    </row>
    <row r="3475">
      <c r="A3475" s="7" t="n"/>
      <c r="H3475" s="11">
        <f>IF(OR(D3475="",E3475=""),"",D3475*E3475)</f>
        <v/>
      </c>
      <c r="I3475" s="8">
        <f>IF(OR(D3475="",E3475=""),"",E3475*(1+D3475/30))</f>
        <v/>
      </c>
      <c r="J3475">
        <f>IF(I3475="","",IF(I3475&gt;=MAXIFS($I$2:$I$5001,$B$2:$B$5001,B3475,$A$2:$A$5001,"&lt;="&amp;A3475),"PR",""))</f>
        <v/>
      </c>
    </row>
    <row r="3476">
      <c r="A3476" s="7" t="n"/>
      <c r="H3476" s="11">
        <f>IF(OR(D3476="",E3476=""),"",D3476*E3476)</f>
        <v/>
      </c>
      <c r="I3476" s="8">
        <f>IF(OR(D3476="",E3476=""),"",E3476*(1+D3476/30))</f>
        <v/>
      </c>
      <c r="J3476">
        <f>IF(I3476="","",IF(I3476&gt;=MAXIFS($I$2:$I$5001,$B$2:$B$5001,B3476,$A$2:$A$5001,"&lt;="&amp;A3476),"PR",""))</f>
        <v/>
      </c>
    </row>
    <row r="3477">
      <c r="A3477" s="7" t="n"/>
      <c r="H3477" s="11">
        <f>IF(OR(D3477="",E3477=""),"",D3477*E3477)</f>
        <v/>
      </c>
      <c r="I3477" s="8">
        <f>IF(OR(D3477="",E3477=""),"",E3477*(1+D3477/30))</f>
        <v/>
      </c>
      <c r="J3477">
        <f>IF(I3477="","",IF(I3477&gt;=MAXIFS($I$2:$I$5001,$B$2:$B$5001,B3477,$A$2:$A$5001,"&lt;="&amp;A3477),"PR",""))</f>
        <v/>
      </c>
    </row>
    <row r="3478">
      <c r="A3478" s="7" t="n"/>
      <c r="H3478" s="11">
        <f>IF(OR(D3478="",E3478=""),"",D3478*E3478)</f>
        <v/>
      </c>
      <c r="I3478" s="8">
        <f>IF(OR(D3478="",E3478=""),"",E3478*(1+D3478/30))</f>
        <v/>
      </c>
      <c r="J3478">
        <f>IF(I3478="","",IF(I3478&gt;=MAXIFS($I$2:$I$5001,$B$2:$B$5001,B3478,$A$2:$A$5001,"&lt;="&amp;A3478),"PR",""))</f>
        <v/>
      </c>
    </row>
    <row r="3479">
      <c r="A3479" s="7" t="n"/>
      <c r="H3479" s="11">
        <f>IF(OR(D3479="",E3479=""),"",D3479*E3479)</f>
        <v/>
      </c>
      <c r="I3479" s="8">
        <f>IF(OR(D3479="",E3479=""),"",E3479*(1+D3479/30))</f>
        <v/>
      </c>
      <c r="J3479">
        <f>IF(I3479="","",IF(I3479&gt;=MAXIFS($I$2:$I$5001,$B$2:$B$5001,B3479,$A$2:$A$5001,"&lt;="&amp;A3479),"PR",""))</f>
        <v/>
      </c>
    </row>
    <row r="3480">
      <c r="A3480" s="7" t="n"/>
      <c r="H3480" s="11">
        <f>IF(OR(D3480="",E3480=""),"",D3480*E3480)</f>
        <v/>
      </c>
      <c r="I3480" s="8">
        <f>IF(OR(D3480="",E3480=""),"",E3480*(1+D3480/30))</f>
        <v/>
      </c>
      <c r="J3480">
        <f>IF(I3480="","",IF(I3480&gt;=MAXIFS($I$2:$I$5001,$B$2:$B$5001,B3480,$A$2:$A$5001,"&lt;="&amp;A3480),"PR",""))</f>
        <v/>
      </c>
    </row>
    <row r="3481">
      <c r="A3481" s="7" t="n"/>
      <c r="H3481" s="11">
        <f>IF(OR(D3481="",E3481=""),"",D3481*E3481)</f>
        <v/>
      </c>
      <c r="I3481" s="8">
        <f>IF(OR(D3481="",E3481=""),"",E3481*(1+D3481/30))</f>
        <v/>
      </c>
      <c r="J3481">
        <f>IF(I3481="","",IF(I3481&gt;=MAXIFS($I$2:$I$5001,$B$2:$B$5001,B3481,$A$2:$A$5001,"&lt;="&amp;A3481),"PR",""))</f>
        <v/>
      </c>
    </row>
    <row r="3482">
      <c r="A3482" s="7" t="n"/>
      <c r="H3482" s="11">
        <f>IF(OR(D3482="",E3482=""),"",D3482*E3482)</f>
        <v/>
      </c>
      <c r="I3482" s="8">
        <f>IF(OR(D3482="",E3482=""),"",E3482*(1+D3482/30))</f>
        <v/>
      </c>
      <c r="J3482">
        <f>IF(I3482="","",IF(I3482&gt;=MAXIFS($I$2:$I$5001,$B$2:$B$5001,B3482,$A$2:$A$5001,"&lt;="&amp;A3482),"PR",""))</f>
        <v/>
      </c>
    </row>
    <row r="3483">
      <c r="A3483" s="7" t="n"/>
      <c r="H3483" s="11">
        <f>IF(OR(D3483="",E3483=""),"",D3483*E3483)</f>
        <v/>
      </c>
      <c r="I3483" s="8">
        <f>IF(OR(D3483="",E3483=""),"",E3483*(1+D3483/30))</f>
        <v/>
      </c>
      <c r="J3483">
        <f>IF(I3483="","",IF(I3483&gt;=MAXIFS($I$2:$I$5001,$B$2:$B$5001,B3483,$A$2:$A$5001,"&lt;="&amp;A3483),"PR",""))</f>
        <v/>
      </c>
    </row>
    <row r="3484">
      <c r="A3484" s="7" t="n"/>
      <c r="H3484" s="11">
        <f>IF(OR(D3484="",E3484=""),"",D3484*E3484)</f>
        <v/>
      </c>
      <c r="I3484" s="8">
        <f>IF(OR(D3484="",E3484=""),"",E3484*(1+D3484/30))</f>
        <v/>
      </c>
      <c r="J3484">
        <f>IF(I3484="","",IF(I3484&gt;=MAXIFS($I$2:$I$5001,$B$2:$B$5001,B3484,$A$2:$A$5001,"&lt;="&amp;A3484),"PR",""))</f>
        <v/>
      </c>
    </row>
    <row r="3485">
      <c r="A3485" s="7" t="n"/>
      <c r="H3485" s="11">
        <f>IF(OR(D3485="",E3485=""),"",D3485*E3485)</f>
        <v/>
      </c>
      <c r="I3485" s="8">
        <f>IF(OR(D3485="",E3485=""),"",E3485*(1+D3485/30))</f>
        <v/>
      </c>
      <c r="J3485">
        <f>IF(I3485="","",IF(I3485&gt;=MAXIFS($I$2:$I$5001,$B$2:$B$5001,B3485,$A$2:$A$5001,"&lt;="&amp;A3485),"PR",""))</f>
        <v/>
      </c>
    </row>
    <row r="3486">
      <c r="A3486" s="7" t="n"/>
      <c r="H3486" s="11">
        <f>IF(OR(D3486="",E3486=""),"",D3486*E3486)</f>
        <v/>
      </c>
      <c r="I3486" s="8">
        <f>IF(OR(D3486="",E3486=""),"",E3486*(1+D3486/30))</f>
        <v/>
      </c>
      <c r="J3486">
        <f>IF(I3486="","",IF(I3486&gt;=MAXIFS($I$2:$I$5001,$B$2:$B$5001,B3486,$A$2:$A$5001,"&lt;="&amp;A3486),"PR",""))</f>
        <v/>
      </c>
    </row>
    <row r="3487">
      <c r="A3487" s="7" t="n"/>
      <c r="H3487" s="11">
        <f>IF(OR(D3487="",E3487=""),"",D3487*E3487)</f>
        <v/>
      </c>
      <c r="I3487" s="8">
        <f>IF(OR(D3487="",E3487=""),"",E3487*(1+D3487/30))</f>
        <v/>
      </c>
      <c r="J3487">
        <f>IF(I3487="","",IF(I3487&gt;=MAXIFS($I$2:$I$5001,$B$2:$B$5001,B3487,$A$2:$A$5001,"&lt;="&amp;A3487),"PR",""))</f>
        <v/>
      </c>
    </row>
    <row r="3488">
      <c r="A3488" s="7" t="n"/>
      <c r="H3488" s="11">
        <f>IF(OR(D3488="",E3488=""),"",D3488*E3488)</f>
        <v/>
      </c>
      <c r="I3488" s="8">
        <f>IF(OR(D3488="",E3488=""),"",E3488*(1+D3488/30))</f>
        <v/>
      </c>
      <c r="J3488">
        <f>IF(I3488="","",IF(I3488&gt;=MAXIFS($I$2:$I$5001,$B$2:$B$5001,B3488,$A$2:$A$5001,"&lt;="&amp;A3488),"PR",""))</f>
        <v/>
      </c>
    </row>
    <row r="3489">
      <c r="A3489" s="7" t="n"/>
      <c r="H3489" s="11">
        <f>IF(OR(D3489="",E3489=""),"",D3489*E3489)</f>
        <v/>
      </c>
      <c r="I3489" s="8">
        <f>IF(OR(D3489="",E3489=""),"",E3489*(1+D3489/30))</f>
        <v/>
      </c>
      <c r="J3489">
        <f>IF(I3489="","",IF(I3489&gt;=MAXIFS($I$2:$I$5001,$B$2:$B$5001,B3489,$A$2:$A$5001,"&lt;="&amp;A3489),"PR",""))</f>
        <v/>
      </c>
    </row>
    <row r="3490">
      <c r="A3490" s="7" t="n"/>
      <c r="H3490" s="11">
        <f>IF(OR(D3490="",E3490=""),"",D3490*E3490)</f>
        <v/>
      </c>
      <c r="I3490" s="8">
        <f>IF(OR(D3490="",E3490=""),"",E3490*(1+D3490/30))</f>
        <v/>
      </c>
      <c r="J3490">
        <f>IF(I3490="","",IF(I3490&gt;=MAXIFS($I$2:$I$5001,$B$2:$B$5001,B3490,$A$2:$A$5001,"&lt;="&amp;A3490),"PR",""))</f>
        <v/>
      </c>
    </row>
    <row r="3491">
      <c r="A3491" s="7" t="n"/>
      <c r="H3491" s="11">
        <f>IF(OR(D3491="",E3491=""),"",D3491*E3491)</f>
        <v/>
      </c>
      <c r="I3491" s="8">
        <f>IF(OR(D3491="",E3491=""),"",E3491*(1+D3491/30))</f>
        <v/>
      </c>
      <c r="J3491">
        <f>IF(I3491="","",IF(I3491&gt;=MAXIFS($I$2:$I$5001,$B$2:$B$5001,B3491,$A$2:$A$5001,"&lt;="&amp;A3491),"PR",""))</f>
        <v/>
      </c>
    </row>
    <row r="3492">
      <c r="A3492" s="7" t="n"/>
      <c r="H3492" s="11">
        <f>IF(OR(D3492="",E3492=""),"",D3492*E3492)</f>
        <v/>
      </c>
      <c r="I3492" s="8">
        <f>IF(OR(D3492="",E3492=""),"",E3492*(1+D3492/30))</f>
        <v/>
      </c>
      <c r="J3492">
        <f>IF(I3492="","",IF(I3492&gt;=MAXIFS($I$2:$I$5001,$B$2:$B$5001,B3492,$A$2:$A$5001,"&lt;="&amp;A3492),"PR",""))</f>
        <v/>
      </c>
    </row>
    <row r="3493">
      <c r="A3493" s="7" t="n"/>
      <c r="H3493" s="11">
        <f>IF(OR(D3493="",E3493=""),"",D3493*E3493)</f>
        <v/>
      </c>
      <c r="I3493" s="8">
        <f>IF(OR(D3493="",E3493=""),"",E3493*(1+D3493/30))</f>
        <v/>
      </c>
      <c r="J3493">
        <f>IF(I3493="","",IF(I3493&gt;=MAXIFS($I$2:$I$5001,$B$2:$B$5001,B3493,$A$2:$A$5001,"&lt;="&amp;A3493),"PR",""))</f>
        <v/>
      </c>
    </row>
    <row r="3494">
      <c r="A3494" s="7" t="n"/>
      <c r="H3494" s="11">
        <f>IF(OR(D3494="",E3494=""),"",D3494*E3494)</f>
        <v/>
      </c>
      <c r="I3494" s="8">
        <f>IF(OR(D3494="",E3494=""),"",E3494*(1+D3494/30))</f>
        <v/>
      </c>
      <c r="J3494">
        <f>IF(I3494="","",IF(I3494&gt;=MAXIFS($I$2:$I$5001,$B$2:$B$5001,B3494,$A$2:$A$5001,"&lt;="&amp;A3494),"PR",""))</f>
        <v/>
      </c>
    </row>
    <row r="3495">
      <c r="A3495" s="7" t="n"/>
      <c r="H3495" s="11">
        <f>IF(OR(D3495="",E3495=""),"",D3495*E3495)</f>
        <v/>
      </c>
      <c r="I3495" s="8">
        <f>IF(OR(D3495="",E3495=""),"",E3495*(1+D3495/30))</f>
        <v/>
      </c>
      <c r="J3495">
        <f>IF(I3495="","",IF(I3495&gt;=MAXIFS($I$2:$I$5001,$B$2:$B$5001,B3495,$A$2:$A$5001,"&lt;="&amp;A3495),"PR",""))</f>
        <v/>
      </c>
    </row>
    <row r="3496">
      <c r="A3496" s="7" t="n"/>
      <c r="H3496" s="11">
        <f>IF(OR(D3496="",E3496=""),"",D3496*E3496)</f>
        <v/>
      </c>
      <c r="I3496" s="8">
        <f>IF(OR(D3496="",E3496=""),"",E3496*(1+D3496/30))</f>
        <v/>
      </c>
      <c r="J3496">
        <f>IF(I3496="","",IF(I3496&gt;=MAXIFS($I$2:$I$5001,$B$2:$B$5001,B3496,$A$2:$A$5001,"&lt;="&amp;A3496),"PR",""))</f>
        <v/>
      </c>
    </row>
    <row r="3497">
      <c r="A3497" s="7" t="n"/>
      <c r="H3497" s="11">
        <f>IF(OR(D3497="",E3497=""),"",D3497*E3497)</f>
        <v/>
      </c>
      <c r="I3497" s="8">
        <f>IF(OR(D3497="",E3497=""),"",E3497*(1+D3497/30))</f>
        <v/>
      </c>
      <c r="J3497">
        <f>IF(I3497="","",IF(I3497&gt;=MAXIFS($I$2:$I$5001,$B$2:$B$5001,B3497,$A$2:$A$5001,"&lt;="&amp;A3497),"PR",""))</f>
        <v/>
      </c>
    </row>
    <row r="3498">
      <c r="A3498" s="7" t="n"/>
      <c r="H3498" s="11">
        <f>IF(OR(D3498="",E3498=""),"",D3498*E3498)</f>
        <v/>
      </c>
      <c r="I3498" s="8">
        <f>IF(OR(D3498="",E3498=""),"",E3498*(1+D3498/30))</f>
        <v/>
      </c>
      <c r="J3498">
        <f>IF(I3498="","",IF(I3498&gt;=MAXIFS($I$2:$I$5001,$B$2:$B$5001,B3498,$A$2:$A$5001,"&lt;="&amp;A3498),"PR",""))</f>
        <v/>
      </c>
    </row>
    <row r="3499">
      <c r="A3499" s="7" t="n"/>
      <c r="H3499" s="11">
        <f>IF(OR(D3499="",E3499=""),"",D3499*E3499)</f>
        <v/>
      </c>
      <c r="I3499" s="8">
        <f>IF(OR(D3499="",E3499=""),"",E3499*(1+D3499/30))</f>
        <v/>
      </c>
      <c r="J3499">
        <f>IF(I3499="","",IF(I3499&gt;=MAXIFS($I$2:$I$5001,$B$2:$B$5001,B3499,$A$2:$A$5001,"&lt;="&amp;A3499),"PR",""))</f>
        <v/>
      </c>
    </row>
    <row r="3500">
      <c r="A3500" s="7" t="n"/>
      <c r="H3500" s="11">
        <f>IF(OR(D3500="",E3500=""),"",D3500*E3500)</f>
        <v/>
      </c>
      <c r="I3500" s="8">
        <f>IF(OR(D3500="",E3500=""),"",E3500*(1+D3500/30))</f>
        <v/>
      </c>
      <c r="J3500">
        <f>IF(I3500="","",IF(I3500&gt;=MAXIFS($I$2:$I$5001,$B$2:$B$5001,B3500,$A$2:$A$5001,"&lt;="&amp;A3500),"PR",""))</f>
        <v/>
      </c>
    </row>
    <row r="3501">
      <c r="A3501" s="7" t="n"/>
      <c r="H3501" s="11">
        <f>IF(OR(D3501="",E3501=""),"",D3501*E3501)</f>
        <v/>
      </c>
      <c r="I3501" s="8">
        <f>IF(OR(D3501="",E3501=""),"",E3501*(1+D3501/30))</f>
        <v/>
      </c>
      <c r="J3501">
        <f>IF(I3501="","",IF(I3501&gt;=MAXIFS($I$2:$I$5001,$B$2:$B$5001,B3501,$A$2:$A$5001,"&lt;="&amp;A3501),"PR",""))</f>
        <v/>
      </c>
    </row>
    <row r="3502">
      <c r="A3502" s="7" t="n"/>
      <c r="H3502" s="11">
        <f>IF(OR(D3502="",E3502=""),"",D3502*E3502)</f>
        <v/>
      </c>
      <c r="I3502" s="8">
        <f>IF(OR(D3502="",E3502=""),"",E3502*(1+D3502/30))</f>
        <v/>
      </c>
      <c r="J3502">
        <f>IF(I3502="","",IF(I3502&gt;=MAXIFS($I$2:$I$5001,$B$2:$B$5001,B3502,$A$2:$A$5001,"&lt;="&amp;A3502),"PR",""))</f>
        <v/>
      </c>
    </row>
    <row r="3503">
      <c r="A3503" s="7" t="n"/>
      <c r="H3503" s="11">
        <f>IF(OR(D3503="",E3503=""),"",D3503*E3503)</f>
        <v/>
      </c>
      <c r="I3503" s="8">
        <f>IF(OR(D3503="",E3503=""),"",E3503*(1+D3503/30))</f>
        <v/>
      </c>
      <c r="J3503">
        <f>IF(I3503="","",IF(I3503&gt;=MAXIFS($I$2:$I$5001,$B$2:$B$5001,B3503,$A$2:$A$5001,"&lt;="&amp;A3503),"PR",""))</f>
        <v/>
      </c>
    </row>
    <row r="3504">
      <c r="A3504" s="7" t="n"/>
      <c r="H3504" s="11">
        <f>IF(OR(D3504="",E3504=""),"",D3504*E3504)</f>
        <v/>
      </c>
      <c r="I3504" s="8">
        <f>IF(OR(D3504="",E3504=""),"",E3504*(1+D3504/30))</f>
        <v/>
      </c>
      <c r="J3504">
        <f>IF(I3504="","",IF(I3504&gt;=MAXIFS($I$2:$I$5001,$B$2:$B$5001,B3504,$A$2:$A$5001,"&lt;="&amp;A3504),"PR",""))</f>
        <v/>
      </c>
    </row>
    <row r="3505">
      <c r="A3505" s="7" t="n"/>
      <c r="H3505" s="11">
        <f>IF(OR(D3505="",E3505=""),"",D3505*E3505)</f>
        <v/>
      </c>
      <c r="I3505" s="8">
        <f>IF(OR(D3505="",E3505=""),"",E3505*(1+D3505/30))</f>
        <v/>
      </c>
      <c r="J3505">
        <f>IF(I3505="","",IF(I3505&gt;=MAXIFS($I$2:$I$5001,$B$2:$B$5001,B3505,$A$2:$A$5001,"&lt;="&amp;A3505),"PR",""))</f>
        <v/>
      </c>
    </row>
    <row r="3506">
      <c r="A3506" s="7" t="n"/>
      <c r="H3506" s="11">
        <f>IF(OR(D3506="",E3506=""),"",D3506*E3506)</f>
        <v/>
      </c>
      <c r="I3506" s="8">
        <f>IF(OR(D3506="",E3506=""),"",E3506*(1+D3506/30))</f>
        <v/>
      </c>
      <c r="J3506">
        <f>IF(I3506="","",IF(I3506&gt;=MAXIFS($I$2:$I$5001,$B$2:$B$5001,B3506,$A$2:$A$5001,"&lt;="&amp;A3506),"PR",""))</f>
        <v/>
      </c>
    </row>
    <row r="3507">
      <c r="A3507" s="7" t="n"/>
      <c r="H3507" s="11">
        <f>IF(OR(D3507="",E3507=""),"",D3507*E3507)</f>
        <v/>
      </c>
      <c r="I3507" s="8">
        <f>IF(OR(D3507="",E3507=""),"",E3507*(1+D3507/30))</f>
        <v/>
      </c>
      <c r="J3507">
        <f>IF(I3507="","",IF(I3507&gt;=MAXIFS($I$2:$I$5001,$B$2:$B$5001,B3507,$A$2:$A$5001,"&lt;="&amp;A3507),"PR",""))</f>
        <v/>
      </c>
    </row>
    <row r="3508">
      <c r="A3508" s="7" t="n"/>
      <c r="H3508" s="11">
        <f>IF(OR(D3508="",E3508=""),"",D3508*E3508)</f>
        <v/>
      </c>
      <c r="I3508" s="8">
        <f>IF(OR(D3508="",E3508=""),"",E3508*(1+D3508/30))</f>
        <v/>
      </c>
      <c r="J3508">
        <f>IF(I3508="","",IF(I3508&gt;=MAXIFS($I$2:$I$5001,$B$2:$B$5001,B3508,$A$2:$A$5001,"&lt;="&amp;A3508),"PR",""))</f>
        <v/>
      </c>
    </row>
    <row r="3509">
      <c r="A3509" s="7" t="n"/>
      <c r="H3509" s="11">
        <f>IF(OR(D3509="",E3509=""),"",D3509*E3509)</f>
        <v/>
      </c>
      <c r="I3509" s="8">
        <f>IF(OR(D3509="",E3509=""),"",E3509*(1+D3509/30))</f>
        <v/>
      </c>
      <c r="J3509">
        <f>IF(I3509="","",IF(I3509&gt;=MAXIFS($I$2:$I$5001,$B$2:$B$5001,B3509,$A$2:$A$5001,"&lt;="&amp;A3509),"PR",""))</f>
        <v/>
      </c>
    </row>
    <row r="3510">
      <c r="A3510" s="7" t="n"/>
      <c r="H3510" s="11">
        <f>IF(OR(D3510="",E3510=""),"",D3510*E3510)</f>
        <v/>
      </c>
      <c r="I3510" s="8">
        <f>IF(OR(D3510="",E3510=""),"",E3510*(1+D3510/30))</f>
        <v/>
      </c>
      <c r="J3510">
        <f>IF(I3510="","",IF(I3510&gt;=MAXIFS($I$2:$I$5001,$B$2:$B$5001,B3510,$A$2:$A$5001,"&lt;="&amp;A3510),"PR",""))</f>
        <v/>
      </c>
    </row>
    <row r="3511">
      <c r="A3511" s="7" t="n"/>
      <c r="H3511" s="11">
        <f>IF(OR(D3511="",E3511=""),"",D3511*E3511)</f>
        <v/>
      </c>
      <c r="I3511" s="8">
        <f>IF(OR(D3511="",E3511=""),"",E3511*(1+D3511/30))</f>
        <v/>
      </c>
      <c r="J3511">
        <f>IF(I3511="","",IF(I3511&gt;=MAXIFS($I$2:$I$5001,$B$2:$B$5001,B3511,$A$2:$A$5001,"&lt;="&amp;A3511),"PR",""))</f>
        <v/>
      </c>
    </row>
    <row r="3512">
      <c r="A3512" s="7" t="n"/>
      <c r="H3512" s="11">
        <f>IF(OR(D3512="",E3512=""),"",D3512*E3512)</f>
        <v/>
      </c>
      <c r="I3512" s="8">
        <f>IF(OR(D3512="",E3512=""),"",E3512*(1+D3512/30))</f>
        <v/>
      </c>
      <c r="J3512">
        <f>IF(I3512="","",IF(I3512&gt;=MAXIFS($I$2:$I$5001,$B$2:$B$5001,B3512,$A$2:$A$5001,"&lt;="&amp;A3512),"PR",""))</f>
        <v/>
      </c>
    </row>
    <row r="3513">
      <c r="A3513" s="7" t="n"/>
      <c r="H3513" s="11">
        <f>IF(OR(D3513="",E3513=""),"",D3513*E3513)</f>
        <v/>
      </c>
      <c r="I3513" s="8">
        <f>IF(OR(D3513="",E3513=""),"",E3513*(1+D3513/30))</f>
        <v/>
      </c>
      <c r="J3513">
        <f>IF(I3513="","",IF(I3513&gt;=MAXIFS($I$2:$I$5001,$B$2:$B$5001,B3513,$A$2:$A$5001,"&lt;="&amp;A3513),"PR",""))</f>
        <v/>
      </c>
    </row>
    <row r="3514">
      <c r="A3514" s="7" t="n"/>
      <c r="H3514" s="11">
        <f>IF(OR(D3514="",E3514=""),"",D3514*E3514)</f>
        <v/>
      </c>
      <c r="I3514" s="8">
        <f>IF(OR(D3514="",E3514=""),"",E3514*(1+D3514/30))</f>
        <v/>
      </c>
      <c r="J3514">
        <f>IF(I3514="","",IF(I3514&gt;=MAXIFS($I$2:$I$5001,$B$2:$B$5001,B3514,$A$2:$A$5001,"&lt;="&amp;A3514),"PR",""))</f>
        <v/>
      </c>
    </row>
    <row r="3515">
      <c r="A3515" s="7" t="n"/>
      <c r="H3515" s="11">
        <f>IF(OR(D3515="",E3515=""),"",D3515*E3515)</f>
        <v/>
      </c>
      <c r="I3515" s="8">
        <f>IF(OR(D3515="",E3515=""),"",E3515*(1+D3515/30))</f>
        <v/>
      </c>
      <c r="J3515">
        <f>IF(I3515="","",IF(I3515&gt;=MAXIFS($I$2:$I$5001,$B$2:$B$5001,B3515,$A$2:$A$5001,"&lt;="&amp;A3515),"PR",""))</f>
        <v/>
      </c>
    </row>
    <row r="3516">
      <c r="A3516" s="7" t="n"/>
      <c r="H3516" s="11">
        <f>IF(OR(D3516="",E3516=""),"",D3516*E3516)</f>
        <v/>
      </c>
      <c r="I3516" s="8">
        <f>IF(OR(D3516="",E3516=""),"",E3516*(1+D3516/30))</f>
        <v/>
      </c>
      <c r="J3516">
        <f>IF(I3516="","",IF(I3516&gt;=MAXIFS($I$2:$I$5001,$B$2:$B$5001,B3516,$A$2:$A$5001,"&lt;="&amp;A3516),"PR",""))</f>
        <v/>
      </c>
    </row>
    <row r="3517">
      <c r="A3517" s="7" t="n"/>
      <c r="H3517" s="11">
        <f>IF(OR(D3517="",E3517=""),"",D3517*E3517)</f>
        <v/>
      </c>
      <c r="I3517" s="8">
        <f>IF(OR(D3517="",E3517=""),"",E3517*(1+D3517/30))</f>
        <v/>
      </c>
      <c r="J3517">
        <f>IF(I3517="","",IF(I3517&gt;=MAXIFS($I$2:$I$5001,$B$2:$B$5001,B3517,$A$2:$A$5001,"&lt;="&amp;A3517),"PR",""))</f>
        <v/>
      </c>
    </row>
    <row r="3518">
      <c r="A3518" s="7" t="n"/>
      <c r="H3518" s="11">
        <f>IF(OR(D3518="",E3518=""),"",D3518*E3518)</f>
        <v/>
      </c>
      <c r="I3518" s="8">
        <f>IF(OR(D3518="",E3518=""),"",E3518*(1+D3518/30))</f>
        <v/>
      </c>
      <c r="J3518">
        <f>IF(I3518="","",IF(I3518&gt;=MAXIFS($I$2:$I$5001,$B$2:$B$5001,B3518,$A$2:$A$5001,"&lt;="&amp;A3518),"PR",""))</f>
        <v/>
      </c>
    </row>
    <row r="3519">
      <c r="A3519" s="7" t="n"/>
      <c r="H3519" s="11">
        <f>IF(OR(D3519="",E3519=""),"",D3519*E3519)</f>
        <v/>
      </c>
      <c r="I3519" s="8">
        <f>IF(OR(D3519="",E3519=""),"",E3519*(1+D3519/30))</f>
        <v/>
      </c>
      <c r="J3519">
        <f>IF(I3519="","",IF(I3519&gt;=MAXIFS($I$2:$I$5001,$B$2:$B$5001,B3519,$A$2:$A$5001,"&lt;="&amp;A3519),"PR",""))</f>
        <v/>
      </c>
    </row>
    <row r="3520">
      <c r="A3520" s="7" t="n"/>
      <c r="H3520" s="11">
        <f>IF(OR(D3520="",E3520=""),"",D3520*E3520)</f>
        <v/>
      </c>
      <c r="I3520" s="8">
        <f>IF(OR(D3520="",E3520=""),"",E3520*(1+D3520/30))</f>
        <v/>
      </c>
      <c r="J3520">
        <f>IF(I3520="","",IF(I3520&gt;=MAXIFS($I$2:$I$5001,$B$2:$B$5001,B3520,$A$2:$A$5001,"&lt;="&amp;A3520),"PR",""))</f>
        <v/>
      </c>
    </row>
    <row r="3521">
      <c r="A3521" s="7" t="n"/>
      <c r="H3521" s="11">
        <f>IF(OR(D3521="",E3521=""),"",D3521*E3521)</f>
        <v/>
      </c>
      <c r="I3521" s="8">
        <f>IF(OR(D3521="",E3521=""),"",E3521*(1+D3521/30))</f>
        <v/>
      </c>
      <c r="J3521">
        <f>IF(I3521="","",IF(I3521&gt;=MAXIFS($I$2:$I$5001,$B$2:$B$5001,B3521,$A$2:$A$5001,"&lt;="&amp;A3521),"PR",""))</f>
        <v/>
      </c>
    </row>
    <row r="3522">
      <c r="A3522" s="7" t="n"/>
      <c r="H3522" s="11">
        <f>IF(OR(D3522="",E3522=""),"",D3522*E3522)</f>
        <v/>
      </c>
      <c r="I3522" s="8">
        <f>IF(OR(D3522="",E3522=""),"",E3522*(1+D3522/30))</f>
        <v/>
      </c>
      <c r="J3522">
        <f>IF(I3522="","",IF(I3522&gt;=MAXIFS($I$2:$I$5001,$B$2:$B$5001,B3522,$A$2:$A$5001,"&lt;="&amp;A3522),"PR",""))</f>
        <v/>
      </c>
    </row>
    <row r="3523">
      <c r="A3523" s="7" t="n"/>
      <c r="H3523" s="11">
        <f>IF(OR(D3523="",E3523=""),"",D3523*E3523)</f>
        <v/>
      </c>
      <c r="I3523" s="8">
        <f>IF(OR(D3523="",E3523=""),"",E3523*(1+D3523/30))</f>
        <v/>
      </c>
      <c r="J3523">
        <f>IF(I3523="","",IF(I3523&gt;=MAXIFS($I$2:$I$5001,$B$2:$B$5001,B3523,$A$2:$A$5001,"&lt;="&amp;A3523),"PR",""))</f>
        <v/>
      </c>
    </row>
    <row r="3524">
      <c r="A3524" s="7" t="n"/>
      <c r="H3524" s="11">
        <f>IF(OR(D3524="",E3524=""),"",D3524*E3524)</f>
        <v/>
      </c>
      <c r="I3524" s="8">
        <f>IF(OR(D3524="",E3524=""),"",E3524*(1+D3524/30))</f>
        <v/>
      </c>
      <c r="J3524">
        <f>IF(I3524="","",IF(I3524&gt;=MAXIFS($I$2:$I$5001,$B$2:$B$5001,B3524,$A$2:$A$5001,"&lt;="&amp;A3524),"PR",""))</f>
        <v/>
      </c>
    </row>
    <row r="3525">
      <c r="A3525" s="7" t="n"/>
      <c r="H3525" s="11">
        <f>IF(OR(D3525="",E3525=""),"",D3525*E3525)</f>
        <v/>
      </c>
      <c r="I3525" s="8">
        <f>IF(OR(D3525="",E3525=""),"",E3525*(1+D3525/30))</f>
        <v/>
      </c>
      <c r="J3525">
        <f>IF(I3525="","",IF(I3525&gt;=MAXIFS($I$2:$I$5001,$B$2:$B$5001,B3525,$A$2:$A$5001,"&lt;="&amp;A3525),"PR",""))</f>
        <v/>
      </c>
    </row>
    <row r="3526">
      <c r="A3526" s="7" t="n"/>
      <c r="H3526" s="11">
        <f>IF(OR(D3526="",E3526=""),"",D3526*E3526)</f>
        <v/>
      </c>
      <c r="I3526" s="8">
        <f>IF(OR(D3526="",E3526=""),"",E3526*(1+D3526/30))</f>
        <v/>
      </c>
      <c r="J3526">
        <f>IF(I3526="","",IF(I3526&gt;=MAXIFS($I$2:$I$5001,$B$2:$B$5001,B3526,$A$2:$A$5001,"&lt;="&amp;A3526),"PR",""))</f>
        <v/>
      </c>
    </row>
    <row r="3527">
      <c r="A3527" s="7" t="n"/>
      <c r="H3527" s="11">
        <f>IF(OR(D3527="",E3527=""),"",D3527*E3527)</f>
        <v/>
      </c>
      <c r="I3527" s="8">
        <f>IF(OR(D3527="",E3527=""),"",E3527*(1+D3527/30))</f>
        <v/>
      </c>
      <c r="J3527">
        <f>IF(I3527="","",IF(I3527&gt;=MAXIFS($I$2:$I$5001,$B$2:$B$5001,B3527,$A$2:$A$5001,"&lt;="&amp;A3527),"PR",""))</f>
        <v/>
      </c>
    </row>
    <row r="3528">
      <c r="A3528" s="7" t="n"/>
      <c r="H3528" s="11">
        <f>IF(OR(D3528="",E3528=""),"",D3528*E3528)</f>
        <v/>
      </c>
      <c r="I3528" s="8">
        <f>IF(OR(D3528="",E3528=""),"",E3528*(1+D3528/30))</f>
        <v/>
      </c>
      <c r="J3528">
        <f>IF(I3528="","",IF(I3528&gt;=MAXIFS($I$2:$I$5001,$B$2:$B$5001,B3528,$A$2:$A$5001,"&lt;="&amp;A3528),"PR",""))</f>
        <v/>
      </c>
    </row>
    <row r="3529">
      <c r="A3529" s="7" t="n"/>
      <c r="H3529" s="11">
        <f>IF(OR(D3529="",E3529=""),"",D3529*E3529)</f>
        <v/>
      </c>
      <c r="I3529" s="8">
        <f>IF(OR(D3529="",E3529=""),"",E3529*(1+D3529/30))</f>
        <v/>
      </c>
      <c r="J3529">
        <f>IF(I3529="","",IF(I3529&gt;=MAXIFS($I$2:$I$5001,$B$2:$B$5001,B3529,$A$2:$A$5001,"&lt;="&amp;A3529),"PR",""))</f>
        <v/>
      </c>
    </row>
    <row r="3530">
      <c r="A3530" s="7" t="n"/>
      <c r="H3530" s="11">
        <f>IF(OR(D3530="",E3530=""),"",D3530*E3530)</f>
        <v/>
      </c>
      <c r="I3530" s="8">
        <f>IF(OR(D3530="",E3530=""),"",E3530*(1+D3530/30))</f>
        <v/>
      </c>
      <c r="J3530">
        <f>IF(I3530="","",IF(I3530&gt;=MAXIFS($I$2:$I$5001,$B$2:$B$5001,B3530,$A$2:$A$5001,"&lt;="&amp;A3530),"PR",""))</f>
        <v/>
      </c>
    </row>
    <row r="3531">
      <c r="A3531" s="7" t="n"/>
      <c r="H3531" s="11">
        <f>IF(OR(D3531="",E3531=""),"",D3531*E3531)</f>
        <v/>
      </c>
      <c r="I3531" s="8">
        <f>IF(OR(D3531="",E3531=""),"",E3531*(1+D3531/30))</f>
        <v/>
      </c>
      <c r="J3531">
        <f>IF(I3531="","",IF(I3531&gt;=MAXIFS($I$2:$I$5001,$B$2:$B$5001,B3531,$A$2:$A$5001,"&lt;="&amp;A3531),"PR",""))</f>
        <v/>
      </c>
    </row>
    <row r="3532">
      <c r="A3532" s="7" t="n"/>
      <c r="H3532" s="11">
        <f>IF(OR(D3532="",E3532=""),"",D3532*E3532)</f>
        <v/>
      </c>
      <c r="I3532" s="8">
        <f>IF(OR(D3532="",E3532=""),"",E3532*(1+D3532/30))</f>
        <v/>
      </c>
      <c r="J3532">
        <f>IF(I3532="","",IF(I3532&gt;=MAXIFS($I$2:$I$5001,$B$2:$B$5001,B3532,$A$2:$A$5001,"&lt;="&amp;A3532),"PR",""))</f>
        <v/>
      </c>
    </row>
    <row r="3533">
      <c r="A3533" s="7" t="n"/>
      <c r="H3533" s="11">
        <f>IF(OR(D3533="",E3533=""),"",D3533*E3533)</f>
        <v/>
      </c>
      <c r="I3533" s="8">
        <f>IF(OR(D3533="",E3533=""),"",E3533*(1+D3533/30))</f>
        <v/>
      </c>
      <c r="J3533">
        <f>IF(I3533="","",IF(I3533&gt;=MAXIFS($I$2:$I$5001,$B$2:$B$5001,B3533,$A$2:$A$5001,"&lt;="&amp;A3533),"PR",""))</f>
        <v/>
      </c>
    </row>
    <row r="3534">
      <c r="A3534" s="7" t="n"/>
      <c r="H3534" s="11">
        <f>IF(OR(D3534="",E3534=""),"",D3534*E3534)</f>
        <v/>
      </c>
      <c r="I3534" s="8">
        <f>IF(OR(D3534="",E3534=""),"",E3534*(1+D3534/30))</f>
        <v/>
      </c>
      <c r="J3534">
        <f>IF(I3534="","",IF(I3534&gt;=MAXIFS($I$2:$I$5001,$B$2:$B$5001,B3534,$A$2:$A$5001,"&lt;="&amp;A3534),"PR",""))</f>
        <v/>
      </c>
    </row>
    <row r="3535">
      <c r="A3535" s="7" t="n"/>
      <c r="H3535" s="11">
        <f>IF(OR(D3535="",E3535=""),"",D3535*E3535)</f>
        <v/>
      </c>
      <c r="I3535" s="8">
        <f>IF(OR(D3535="",E3535=""),"",E3535*(1+D3535/30))</f>
        <v/>
      </c>
      <c r="J3535">
        <f>IF(I3535="","",IF(I3535&gt;=MAXIFS($I$2:$I$5001,$B$2:$B$5001,B3535,$A$2:$A$5001,"&lt;="&amp;A3535),"PR",""))</f>
        <v/>
      </c>
    </row>
    <row r="3536">
      <c r="A3536" s="7" t="n"/>
      <c r="H3536" s="11">
        <f>IF(OR(D3536="",E3536=""),"",D3536*E3536)</f>
        <v/>
      </c>
      <c r="I3536" s="8">
        <f>IF(OR(D3536="",E3536=""),"",E3536*(1+D3536/30))</f>
        <v/>
      </c>
      <c r="J3536">
        <f>IF(I3536="","",IF(I3536&gt;=MAXIFS($I$2:$I$5001,$B$2:$B$5001,B3536,$A$2:$A$5001,"&lt;="&amp;A3536),"PR",""))</f>
        <v/>
      </c>
    </row>
    <row r="3537">
      <c r="A3537" s="7" t="n"/>
      <c r="H3537" s="11">
        <f>IF(OR(D3537="",E3537=""),"",D3537*E3537)</f>
        <v/>
      </c>
      <c r="I3537" s="8">
        <f>IF(OR(D3537="",E3537=""),"",E3537*(1+D3537/30))</f>
        <v/>
      </c>
      <c r="J3537">
        <f>IF(I3537="","",IF(I3537&gt;=MAXIFS($I$2:$I$5001,$B$2:$B$5001,B3537,$A$2:$A$5001,"&lt;="&amp;A3537),"PR",""))</f>
        <v/>
      </c>
    </row>
    <row r="3538">
      <c r="A3538" s="7" t="n"/>
      <c r="H3538" s="11">
        <f>IF(OR(D3538="",E3538=""),"",D3538*E3538)</f>
        <v/>
      </c>
      <c r="I3538" s="8">
        <f>IF(OR(D3538="",E3538=""),"",E3538*(1+D3538/30))</f>
        <v/>
      </c>
      <c r="J3538">
        <f>IF(I3538="","",IF(I3538&gt;=MAXIFS($I$2:$I$5001,$B$2:$B$5001,B3538,$A$2:$A$5001,"&lt;="&amp;A3538),"PR",""))</f>
        <v/>
      </c>
    </row>
    <row r="3539">
      <c r="A3539" s="7" t="n"/>
      <c r="H3539" s="11">
        <f>IF(OR(D3539="",E3539=""),"",D3539*E3539)</f>
        <v/>
      </c>
      <c r="I3539" s="8">
        <f>IF(OR(D3539="",E3539=""),"",E3539*(1+D3539/30))</f>
        <v/>
      </c>
      <c r="J3539">
        <f>IF(I3539="","",IF(I3539&gt;=MAXIFS($I$2:$I$5001,$B$2:$B$5001,B3539,$A$2:$A$5001,"&lt;="&amp;A3539),"PR",""))</f>
        <v/>
      </c>
    </row>
    <row r="3540">
      <c r="A3540" s="7" t="n"/>
      <c r="H3540" s="11">
        <f>IF(OR(D3540="",E3540=""),"",D3540*E3540)</f>
        <v/>
      </c>
      <c r="I3540" s="8">
        <f>IF(OR(D3540="",E3540=""),"",E3540*(1+D3540/30))</f>
        <v/>
      </c>
      <c r="J3540">
        <f>IF(I3540="","",IF(I3540&gt;=MAXIFS($I$2:$I$5001,$B$2:$B$5001,B3540,$A$2:$A$5001,"&lt;="&amp;A3540),"PR",""))</f>
        <v/>
      </c>
    </row>
    <row r="3541">
      <c r="A3541" s="7" t="n"/>
      <c r="H3541" s="11">
        <f>IF(OR(D3541="",E3541=""),"",D3541*E3541)</f>
        <v/>
      </c>
      <c r="I3541" s="8">
        <f>IF(OR(D3541="",E3541=""),"",E3541*(1+D3541/30))</f>
        <v/>
      </c>
      <c r="J3541">
        <f>IF(I3541="","",IF(I3541&gt;=MAXIFS($I$2:$I$5001,$B$2:$B$5001,B3541,$A$2:$A$5001,"&lt;="&amp;A3541),"PR",""))</f>
        <v/>
      </c>
    </row>
    <row r="3542">
      <c r="A3542" s="7" t="n"/>
      <c r="H3542" s="11">
        <f>IF(OR(D3542="",E3542=""),"",D3542*E3542)</f>
        <v/>
      </c>
      <c r="I3542" s="8">
        <f>IF(OR(D3542="",E3542=""),"",E3542*(1+D3542/30))</f>
        <v/>
      </c>
      <c r="J3542">
        <f>IF(I3542="","",IF(I3542&gt;=MAXIFS($I$2:$I$5001,$B$2:$B$5001,B3542,$A$2:$A$5001,"&lt;="&amp;A3542),"PR",""))</f>
        <v/>
      </c>
    </row>
    <row r="3543">
      <c r="A3543" s="7" t="n"/>
      <c r="H3543" s="11">
        <f>IF(OR(D3543="",E3543=""),"",D3543*E3543)</f>
        <v/>
      </c>
      <c r="I3543" s="8">
        <f>IF(OR(D3543="",E3543=""),"",E3543*(1+D3543/30))</f>
        <v/>
      </c>
      <c r="J3543">
        <f>IF(I3543="","",IF(I3543&gt;=MAXIFS($I$2:$I$5001,$B$2:$B$5001,B3543,$A$2:$A$5001,"&lt;="&amp;A3543),"PR",""))</f>
        <v/>
      </c>
    </row>
    <row r="3544">
      <c r="A3544" s="7" t="n"/>
      <c r="H3544" s="11">
        <f>IF(OR(D3544="",E3544=""),"",D3544*E3544)</f>
        <v/>
      </c>
      <c r="I3544" s="8">
        <f>IF(OR(D3544="",E3544=""),"",E3544*(1+D3544/30))</f>
        <v/>
      </c>
      <c r="J3544">
        <f>IF(I3544="","",IF(I3544&gt;=MAXIFS($I$2:$I$5001,$B$2:$B$5001,B3544,$A$2:$A$5001,"&lt;="&amp;A3544),"PR",""))</f>
        <v/>
      </c>
    </row>
    <row r="3545">
      <c r="A3545" s="7" t="n"/>
      <c r="H3545" s="11">
        <f>IF(OR(D3545="",E3545=""),"",D3545*E3545)</f>
        <v/>
      </c>
      <c r="I3545" s="8">
        <f>IF(OR(D3545="",E3545=""),"",E3545*(1+D3545/30))</f>
        <v/>
      </c>
      <c r="J3545">
        <f>IF(I3545="","",IF(I3545&gt;=MAXIFS($I$2:$I$5001,$B$2:$B$5001,B3545,$A$2:$A$5001,"&lt;="&amp;A3545),"PR",""))</f>
        <v/>
      </c>
    </row>
    <row r="3546">
      <c r="A3546" s="7" t="n"/>
      <c r="H3546" s="11">
        <f>IF(OR(D3546="",E3546=""),"",D3546*E3546)</f>
        <v/>
      </c>
      <c r="I3546" s="8">
        <f>IF(OR(D3546="",E3546=""),"",E3546*(1+D3546/30))</f>
        <v/>
      </c>
      <c r="J3546">
        <f>IF(I3546="","",IF(I3546&gt;=MAXIFS($I$2:$I$5001,$B$2:$B$5001,B3546,$A$2:$A$5001,"&lt;="&amp;A3546),"PR",""))</f>
        <v/>
      </c>
    </row>
    <row r="3547">
      <c r="A3547" s="7" t="n"/>
      <c r="H3547" s="11">
        <f>IF(OR(D3547="",E3547=""),"",D3547*E3547)</f>
        <v/>
      </c>
      <c r="I3547" s="8">
        <f>IF(OR(D3547="",E3547=""),"",E3547*(1+D3547/30))</f>
        <v/>
      </c>
      <c r="J3547">
        <f>IF(I3547="","",IF(I3547&gt;=MAXIFS($I$2:$I$5001,$B$2:$B$5001,B3547,$A$2:$A$5001,"&lt;="&amp;A3547),"PR",""))</f>
        <v/>
      </c>
    </row>
    <row r="3548">
      <c r="A3548" s="7" t="n"/>
      <c r="H3548" s="11">
        <f>IF(OR(D3548="",E3548=""),"",D3548*E3548)</f>
        <v/>
      </c>
      <c r="I3548" s="8">
        <f>IF(OR(D3548="",E3548=""),"",E3548*(1+D3548/30))</f>
        <v/>
      </c>
      <c r="J3548">
        <f>IF(I3548="","",IF(I3548&gt;=MAXIFS($I$2:$I$5001,$B$2:$B$5001,B3548,$A$2:$A$5001,"&lt;="&amp;A3548),"PR",""))</f>
        <v/>
      </c>
    </row>
    <row r="3549">
      <c r="A3549" s="7" t="n"/>
      <c r="H3549" s="11">
        <f>IF(OR(D3549="",E3549=""),"",D3549*E3549)</f>
        <v/>
      </c>
      <c r="I3549" s="8">
        <f>IF(OR(D3549="",E3549=""),"",E3549*(1+D3549/30))</f>
        <v/>
      </c>
      <c r="J3549">
        <f>IF(I3549="","",IF(I3549&gt;=MAXIFS($I$2:$I$5001,$B$2:$B$5001,B3549,$A$2:$A$5001,"&lt;="&amp;A3549),"PR",""))</f>
        <v/>
      </c>
    </row>
    <row r="3550">
      <c r="A3550" s="7" t="n"/>
      <c r="H3550" s="11">
        <f>IF(OR(D3550="",E3550=""),"",D3550*E3550)</f>
        <v/>
      </c>
      <c r="I3550" s="8">
        <f>IF(OR(D3550="",E3550=""),"",E3550*(1+D3550/30))</f>
        <v/>
      </c>
      <c r="J3550">
        <f>IF(I3550="","",IF(I3550&gt;=MAXIFS($I$2:$I$5001,$B$2:$B$5001,B3550,$A$2:$A$5001,"&lt;="&amp;A3550),"PR",""))</f>
        <v/>
      </c>
    </row>
    <row r="3551">
      <c r="A3551" s="7" t="n"/>
      <c r="H3551" s="11">
        <f>IF(OR(D3551="",E3551=""),"",D3551*E3551)</f>
        <v/>
      </c>
      <c r="I3551" s="8">
        <f>IF(OR(D3551="",E3551=""),"",E3551*(1+D3551/30))</f>
        <v/>
      </c>
      <c r="J3551">
        <f>IF(I3551="","",IF(I3551&gt;=MAXIFS($I$2:$I$5001,$B$2:$B$5001,B3551,$A$2:$A$5001,"&lt;="&amp;A3551),"PR",""))</f>
        <v/>
      </c>
    </row>
    <row r="3552">
      <c r="A3552" s="7" t="n"/>
      <c r="H3552" s="11">
        <f>IF(OR(D3552="",E3552=""),"",D3552*E3552)</f>
        <v/>
      </c>
      <c r="I3552" s="8">
        <f>IF(OR(D3552="",E3552=""),"",E3552*(1+D3552/30))</f>
        <v/>
      </c>
      <c r="J3552">
        <f>IF(I3552="","",IF(I3552&gt;=MAXIFS($I$2:$I$5001,$B$2:$B$5001,B3552,$A$2:$A$5001,"&lt;="&amp;A3552),"PR",""))</f>
        <v/>
      </c>
    </row>
    <row r="3553">
      <c r="A3553" s="7" t="n"/>
      <c r="H3553" s="11">
        <f>IF(OR(D3553="",E3553=""),"",D3553*E3553)</f>
        <v/>
      </c>
      <c r="I3553" s="8">
        <f>IF(OR(D3553="",E3553=""),"",E3553*(1+D3553/30))</f>
        <v/>
      </c>
      <c r="J3553">
        <f>IF(I3553="","",IF(I3553&gt;=MAXIFS($I$2:$I$5001,$B$2:$B$5001,B3553,$A$2:$A$5001,"&lt;="&amp;A3553),"PR",""))</f>
        <v/>
      </c>
    </row>
    <row r="3554">
      <c r="A3554" s="7" t="n"/>
      <c r="H3554" s="11">
        <f>IF(OR(D3554="",E3554=""),"",D3554*E3554)</f>
        <v/>
      </c>
      <c r="I3554" s="8">
        <f>IF(OR(D3554="",E3554=""),"",E3554*(1+D3554/30))</f>
        <v/>
      </c>
      <c r="J3554">
        <f>IF(I3554="","",IF(I3554&gt;=MAXIFS($I$2:$I$5001,$B$2:$B$5001,B3554,$A$2:$A$5001,"&lt;="&amp;A3554),"PR",""))</f>
        <v/>
      </c>
    </row>
    <row r="3555">
      <c r="A3555" s="7" t="n"/>
      <c r="H3555" s="11">
        <f>IF(OR(D3555="",E3555=""),"",D3555*E3555)</f>
        <v/>
      </c>
      <c r="I3555" s="8">
        <f>IF(OR(D3555="",E3555=""),"",E3555*(1+D3555/30))</f>
        <v/>
      </c>
      <c r="J3555">
        <f>IF(I3555="","",IF(I3555&gt;=MAXIFS($I$2:$I$5001,$B$2:$B$5001,B3555,$A$2:$A$5001,"&lt;="&amp;A3555),"PR",""))</f>
        <v/>
      </c>
    </row>
    <row r="3556">
      <c r="A3556" s="7" t="n"/>
      <c r="H3556" s="11">
        <f>IF(OR(D3556="",E3556=""),"",D3556*E3556)</f>
        <v/>
      </c>
      <c r="I3556" s="8">
        <f>IF(OR(D3556="",E3556=""),"",E3556*(1+D3556/30))</f>
        <v/>
      </c>
      <c r="J3556">
        <f>IF(I3556="","",IF(I3556&gt;=MAXIFS($I$2:$I$5001,$B$2:$B$5001,B3556,$A$2:$A$5001,"&lt;="&amp;A3556),"PR",""))</f>
        <v/>
      </c>
    </row>
    <row r="3557">
      <c r="A3557" s="7" t="n"/>
      <c r="H3557" s="11">
        <f>IF(OR(D3557="",E3557=""),"",D3557*E3557)</f>
        <v/>
      </c>
      <c r="I3557" s="8">
        <f>IF(OR(D3557="",E3557=""),"",E3557*(1+D3557/30))</f>
        <v/>
      </c>
      <c r="J3557">
        <f>IF(I3557="","",IF(I3557&gt;=MAXIFS($I$2:$I$5001,$B$2:$B$5001,B3557,$A$2:$A$5001,"&lt;="&amp;A3557),"PR",""))</f>
        <v/>
      </c>
    </row>
    <row r="3558">
      <c r="A3558" s="7" t="n"/>
      <c r="H3558" s="11">
        <f>IF(OR(D3558="",E3558=""),"",D3558*E3558)</f>
        <v/>
      </c>
      <c r="I3558" s="8">
        <f>IF(OR(D3558="",E3558=""),"",E3558*(1+D3558/30))</f>
        <v/>
      </c>
      <c r="J3558">
        <f>IF(I3558="","",IF(I3558&gt;=MAXIFS($I$2:$I$5001,$B$2:$B$5001,B3558,$A$2:$A$5001,"&lt;="&amp;A3558),"PR",""))</f>
        <v/>
      </c>
    </row>
    <row r="3559">
      <c r="A3559" s="7" t="n"/>
      <c r="H3559" s="11">
        <f>IF(OR(D3559="",E3559=""),"",D3559*E3559)</f>
        <v/>
      </c>
      <c r="I3559" s="8">
        <f>IF(OR(D3559="",E3559=""),"",E3559*(1+D3559/30))</f>
        <v/>
      </c>
      <c r="J3559">
        <f>IF(I3559="","",IF(I3559&gt;=MAXIFS($I$2:$I$5001,$B$2:$B$5001,B3559,$A$2:$A$5001,"&lt;="&amp;A3559),"PR",""))</f>
        <v/>
      </c>
    </row>
    <row r="3560">
      <c r="A3560" s="7" t="n"/>
      <c r="H3560" s="11">
        <f>IF(OR(D3560="",E3560=""),"",D3560*E3560)</f>
        <v/>
      </c>
      <c r="I3560" s="8">
        <f>IF(OR(D3560="",E3560=""),"",E3560*(1+D3560/30))</f>
        <v/>
      </c>
      <c r="J3560">
        <f>IF(I3560="","",IF(I3560&gt;=MAXIFS($I$2:$I$5001,$B$2:$B$5001,B3560,$A$2:$A$5001,"&lt;="&amp;A3560),"PR",""))</f>
        <v/>
      </c>
    </row>
    <row r="3561">
      <c r="A3561" s="7" t="n"/>
      <c r="H3561" s="11">
        <f>IF(OR(D3561="",E3561=""),"",D3561*E3561)</f>
        <v/>
      </c>
      <c r="I3561" s="8">
        <f>IF(OR(D3561="",E3561=""),"",E3561*(1+D3561/30))</f>
        <v/>
      </c>
      <c r="J3561">
        <f>IF(I3561="","",IF(I3561&gt;=MAXIFS($I$2:$I$5001,$B$2:$B$5001,B3561,$A$2:$A$5001,"&lt;="&amp;A3561),"PR",""))</f>
        <v/>
      </c>
    </row>
    <row r="3562">
      <c r="A3562" s="7" t="n"/>
      <c r="H3562" s="11">
        <f>IF(OR(D3562="",E3562=""),"",D3562*E3562)</f>
        <v/>
      </c>
      <c r="I3562" s="8">
        <f>IF(OR(D3562="",E3562=""),"",E3562*(1+D3562/30))</f>
        <v/>
      </c>
      <c r="J3562">
        <f>IF(I3562="","",IF(I3562&gt;=MAXIFS($I$2:$I$5001,$B$2:$B$5001,B3562,$A$2:$A$5001,"&lt;="&amp;A3562),"PR",""))</f>
        <v/>
      </c>
    </row>
    <row r="3563">
      <c r="A3563" s="7" t="n"/>
      <c r="H3563" s="11">
        <f>IF(OR(D3563="",E3563=""),"",D3563*E3563)</f>
        <v/>
      </c>
      <c r="I3563" s="8">
        <f>IF(OR(D3563="",E3563=""),"",E3563*(1+D3563/30))</f>
        <v/>
      </c>
      <c r="J3563">
        <f>IF(I3563="","",IF(I3563&gt;=MAXIFS($I$2:$I$5001,$B$2:$B$5001,B3563,$A$2:$A$5001,"&lt;="&amp;A3563),"PR",""))</f>
        <v/>
      </c>
    </row>
    <row r="3564">
      <c r="A3564" s="7" t="n"/>
      <c r="H3564" s="11">
        <f>IF(OR(D3564="",E3564=""),"",D3564*E3564)</f>
        <v/>
      </c>
      <c r="I3564" s="8">
        <f>IF(OR(D3564="",E3564=""),"",E3564*(1+D3564/30))</f>
        <v/>
      </c>
      <c r="J3564">
        <f>IF(I3564="","",IF(I3564&gt;=MAXIFS($I$2:$I$5001,$B$2:$B$5001,B3564,$A$2:$A$5001,"&lt;="&amp;A3564),"PR",""))</f>
        <v/>
      </c>
    </row>
    <row r="3565">
      <c r="A3565" s="7" t="n"/>
      <c r="H3565" s="11">
        <f>IF(OR(D3565="",E3565=""),"",D3565*E3565)</f>
        <v/>
      </c>
      <c r="I3565" s="8">
        <f>IF(OR(D3565="",E3565=""),"",E3565*(1+D3565/30))</f>
        <v/>
      </c>
      <c r="J3565">
        <f>IF(I3565="","",IF(I3565&gt;=MAXIFS($I$2:$I$5001,$B$2:$B$5001,B3565,$A$2:$A$5001,"&lt;="&amp;A3565),"PR",""))</f>
        <v/>
      </c>
    </row>
    <row r="3566">
      <c r="A3566" s="7" t="n"/>
      <c r="H3566" s="11">
        <f>IF(OR(D3566="",E3566=""),"",D3566*E3566)</f>
        <v/>
      </c>
      <c r="I3566" s="8">
        <f>IF(OR(D3566="",E3566=""),"",E3566*(1+D3566/30))</f>
        <v/>
      </c>
      <c r="J3566">
        <f>IF(I3566="","",IF(I3566&gt;=MAXIFS($I$2:$I$5001,$B$2:$B$5001,B3566,$A$2:$A$5001,"&lt;="&amp;A3566),"PR",""))</f>
        <v/>
      </c>
    </row>
    <row r="3567">
      <c r="A3567" s="7" t="n"/>
      <c r="H3567" s="11">
        <f>IF(OR(D3567="",E3567=""),"",D3567*E3567)</f>
        <v/>
      </c>
      <c r="I3567" s="8">
        <f>IF(OR(D3567="",E3567=""),"",E3567*(1+D3567/30))</f>
        <v/>
      </c>
      <c r="J3567">
        <f>IF(I3567="","",IF(I3567&gt;=MAXIFS($I$2:$I$5001,$B$2:$B$5001,B3567,$A$2:$A$5001,"&lt;="&amp;A3567),"PR",""))</f>
        <v/>
      </c>
    </row>
    <row r="3568">
      <c r="A3568" s="7" t="n"/>
      <c r="H3568" s="11">
        <f>IF(OR(D3568="",E3568=""),"",D3568*E3568)</f>
        <v/>
      </c>
      <c r="I3568" s="8">
        <f>IF(OR(D3568="",E3568=""),"",E3568*(1+D3568/30))</f>
        <v/>
      </c>
      <c r="J3568">
        <f>IF(I3568="","",IF(I3568&gt;=MAXIFS($I$2:$I$5001,$B$2:$B$5001,B3568,$A$2:$A$5001,"&lt;="&amp;A3568),"PR",""))</f>
        <v/>
      </c>
    </row>
    <row r="3569">
      <c r="A3569" s="7" t="n"/>
      <c r="H3569" s="11">
        <f>IF(OR(D3569="",E3569=""),"",D3569*E3569)</f>
        <v/>
      </c>
      <c r="I3569" s="8">
        <f>IF(OR(D3569="",E3569=""),"",E3569*(1+D3569/30))</f>
        <v/>
      </c>
      <c r="J3569">
        <f>IF(I3569="","",IF(I3569&gt;=MAXIFS($I$2:$I$5001,$B$2:$B$5001,B3569,$A$2:$A$5001,"&lt;="&amp;A3569),"PR",""))</f>
        <v/>
      </c>
    </row>
    <row r="3570">
      <c r="A3570" s="7" t="n"/>
      <c r="H3570" s="11">
        <f>IF(OR(D3570="",E3570=""),"",D3570*E3570)</f>
        <v/>
      </c>
      <c r="I3570" s="8">
        <f>IF(OR(D3570="",E3570=""),"",E3570*(1+D3570/30))</f>
        <v/>
      </c>
      <c r="J3570">
        <f>IF(I3570="","",IF(I3570&gt;=MAXIFS($I$2:$I$5001,$B$2:$B$5001,B3570,$A$2:$A$5001,"&lt;="&amp;A3570),"PR",""))</f>
        <v/>
      </c>
    </row>
    <row r="3571">
      <c r="A3571" s="7" t="n"/>
      <c r="H3571" s="11">
        <f>IF(OR(D3571="",E3571=""),"",D3571*E3571)</f>
        <v/>
      </c>
      <c r="I3571" s="8">
        <f>IF(OR(D3571="",E3571=""),"",E3571*(1+D3571/30))</f>
        <v/>
      </c>
      <c r="J3571">
        <f>IF(I3571="","",IF(I3571&gt;=MAXIFS($I$2:$I$5001,$B$2:$B$5001,B3571,$A$2:$A$5001,"&lt;="&amp;A3571),"PR",""))</f>
        <v/>
      </c>
    </row>
    <row r="3572">
      <c r="A3572" s="7" t="n"/>
      <c r="H3572" s="11">
        <f>IF(OR(D3572="",E3572=""),"",D3572*E3572)</f>
        <v/>
      </c>
      <c r="I3572" s="8">
        <f>IF(OR(D3572="",E3572=""),"",E3572*(1+D3572/30))</f>
        <v/>
      </c>
      <c r="J3572">
        <f>IF(I3572="","",IF(I3572&gt;=MAXIFS($I$2:$I$5001,$B$2:$B$5001,B3572,$A$2:$A$5001,"&lt;="&amp;A3572),"PR",""))</f>
        <v/>
      </c>
    </row>
    <row r="3573">
      <c r="A3573" s="7" t="n"/>
      <c r="H3573" s="11">
        <f>IF(OR(D3573="",E3573=""),"",D3573*E3573)</f>
        <v/>
      </c>
      <c r="I3573" s="8">
        <f>IF(OR(D3573="",E3573=""),"",E3573*(1+D3573/30))</f>
        <v/>
      </c>
      <c r="J3573">
        <f>IF(I3573="","",IF(I3573&gt;=MAXIFS($I$2:$I$5001,$B$2:$B$5001,B3573,$A$2:$A$5001,"&lt;="&amp;A3573),"PR",""))</f>
        <v/>
      </c>
    </row>
    <row r="3574">
      <c r="A3574" s="7" t="n"/>
      <c r="H3574" s="11">
        <f>IF(OR(D3574="",E3574=""),"",D3574*E3574)</f>
        <v/>
      </c>
      <c r="I3574" s="8">
        <f>IF(OR(D3574="",E3574=""),"",E3574*(1+D3574/30))</f>
        <v/>
      </c>
      <c r="J3574">
        <f>IF(I3574="","",IF(I3574&gt;=MAXIFS($I$2:$I$5001,$B$2:$B$5001,B3574,$A$2:$A$5001,"&lt;="&amp;A3574),"PR",""))</f>
        <v/>
      </c>
    </row>
    <row r="3575">
      <c r="A3575" s="7" t="n"/>
      <c r="H3575" s="11">
        <f>IF(OR(D3575="",E3575=""),"",D3575*E3575)</f>
        <v/>
      </c>
      <c r="I3575" s="8">
        <f>IF(OR(D3575="",E3575=""),"",E3575*(1+D3575/30))</f>
        <v/>
      </c>
      <c r="J3575">
        <f>IF(I3575="","",IF(I3575&gt;=MAXIFS($I$2:$I$5001,$B$2:$B$5001,B3575,$A$2:$A$5001,"&lt;="&amp;A3575),"PR",""))</f>
        <v/>
      </c>
    </row>
    <row r="3576">
      <c r="A3576" s="7" t="n"/>
      <c r="H3576" s="11">
        <f>IF(OR(D3576="",E3576=""),"",D3576*E3576)</f>
        <v/>
      </c>
      <c r="I3576" s="8">
        <f>IF(OR(D3576="",E3576=""),"",E3576*(1+D3576/30))</f>
        <v/>
      </c>
      <c r="J3576">
        <f>IF(I3576="","",IF(I3576&gt;=MAXIFS($I$2:$I$5001,$B$2:$B$5001,B3576,$A$2:$A$5001,"&lt;="&amp;A3576),"PR",""))</f>
        <v/>
      </c>
    </row>
    <row r="3577">
      <c r="A3577" s="7" t="n"/>
      <c r="H3577" s="11">
        <f>IF(OR(D3577="",E3577=""),"",D3577*E3577)</f>
        <v/>
      </c>
      <c r="I3577" s="8">
        <f>IF(OR(D3577="",E3577=""),"",E3577*(1+D3577/30))</f>
        <v/>
      </c>
      <c r="J3577">
        <f>IF(I3577="","",IF(I3577&gt;=MAXIFS($I$2:$I$5001,$B$2:$B$5001,B3577,$A$2:$A$5001,"&lt;="&amp;A3577),"PR",""))</f>
        <v/>
      </c>
    </row>
    <row r="3578">
      <c r="A3578" s="7" t="n"/>
      <c r="H3578" s="11">
        <f>IF(OR(D3578="",E3578=""),"",D3578*E3578)</f>
        <v/>
      </c>
      <c r="I3578" s="8">
        <f>IF(OR(D3578="",E3578=""),"",E3578*(1+D3578/30))</f>
        <v/>
      </c>
      <c r="J3578">
        <f>IF(I3578="","",IF(I3578&gt;=MAXIFS($I$2:$I$5001,$B$2:$B$5001,B3578,$A$2:$A$5001,"&lt;="&amp;A3578),"PR",""))</f>
        <v/>
      </c>
    </row>
    <row r="3579">
      <c r="A3579" s="7" t="n"/>
      <c r="H3579" s="11">
        <f>IF(OR(D3579="",E3579=""),"",D3579*E3579)</f>
        <v/>
      </c>
      <c r="I3579" s="8">
        <f>IF(OR(D3579="",E3579=""),"",E3579*(1+D3579/30))</f>
        <v/>
      </c>
      <c r="J3579">
        <f>IF(I3579="","",IF(I3579&gt;=MAXIFS($I$2:$I$5001,$B$2:$B$5001,B3579,$A$2:$A$5001,"&lt;="&amp;A3579),"PR",""))</f>
        <v/>
      </c>
    </row>
    <row r="3580">
      <c r="A3580" s="7" t="n"/>
      <c r="H3580" s="11">
        <f>IF(OR(D3580="",E3580=""),"",D3580*E3580)</f>
        <v/>
      </c>
      <c r="I3580" s="8">
        <f>IF(OR(D3580="",E3580=""),"",E3580*(1+D3580/30))</f>
        <v/>
      </c>
      <c r="J3580">
        <f>IF(I3580="","",IF(I3580&gt;=MAXIFS($I$2:$I$5001,$B$2:$B$5001,B3580,$A$2:$A$5001,"&lt;="&amp;A3580),"PR",""))</f>
        <v/>
      </c>
    </row>
    <row r="3581">
      <c r="A3581" s="7" t="n"/>
      <c r="H3581" s="11">
        <f>IF(OR(D3581="",E3581=""),"",D3581*E3581)</f>
        <v/>
      </c>
      <c r="I3581" s="8">
        <f>IF(OR(D3581="",E3581=""),"",E3581*(1+D3581/30))</f>
        <v/>
      </c>
      <c r="J3581">
        <f>IF(I3581="","",IF(I3581&gt;=MAXIFS($I$2:$I$5001,$B$2:$B$5001,B3581,$A$2:$A$5001,"&lt;="&amp;A3581),"PR",""))</f>
        <v/>
      </c>
    </row>
    <row r="3582">
      <c r="A3582" s="7" t="n"/>
      <c r="H3582" s="11">
        <f>IF(OR(D3582="",E3582=""),"",D3582*E3582)</f>
        <v/>
      </c>
      <c r="I3582" s="8">
        <f>IF(OR(D3582="",E3582=""),"",E3582*(1+D3582/30))</f>
        <v/>
      </c>
      <c r="J3582">
        <f>IF(I3582="","",IF(I3582&gt;=MAXIFS($I$2:$I$5001,$B$2:$B$5001,B3582,$A$2:$A$5001,"&lt;="&amp;A3582),"PR",""))</f>
        <v/>
      </c>
    </row>
    <row r="3583">
      <c r="A3583" s="7" t="n"/>
      <c r="H3583" s="11">
        <f>IF(OR(D3583="",E3583=""),"",D3583*E3583)</f>
        <v/>
      </c>
      <c r="I3583" s="8">
        <f>IF(OR(D3583="",E3583=""),"",E3583*(1+D3583/30))</f>
        <v/>
      </c>
      <c r="J3583">
        <f>IF(I3583="","",IF(I3583&gt;=MAXIFS($I$2:$I$5001,$B$2:$B$5001,B3583,$A$2:$A$5001,"&lt;="&amp;A3583),"PR",""))</f>
        <v/>
      </c>
    </row>
    <row r="3584">
      <c r="A3584" s="7" t="n"/>
      <c r="H3584" s="11">
        <f>IF(OR(D3584="",E3584=""),"",D3584*E3584)</f>
        <v/>
      </c>
      <c r="I3584" s="8">
        <f>IF(OR(D3584="",E3584=""),"",E3584*(1+D3584/30))</f>
        <v/>
      </c>
      <c r="J3584">
        <f>IF(I3584="","",IF(I3584&gt;=MAXIFS($I$2:$I$5001,$B$2:$B$5001,B3584,$A$2:$A$5001,"&lt;="&amp;A3584),"PR",""))</f>
        <v/>
      </c>
    </row>
    <row r="3585">
      <c r="A3585" s="7" t="n"/>
      <c r="H3585" s="11">
        <f>IF(OR(D3585="",E3585=""),"",D3585*E3585)</f>
        <v/>
      </c>
      <c r="I3585" s="8">
        <f>IF(OR(D3585="",E3585=""),"",E3585*(1+D3585/30))</f>
        <v/>
      </c>
      <c r="J3585">
        <f>IF(I3585="","",IF(I3585&gt;=MAXIFS($I$2:$I$5001,$B$2:$B$5001,B3585,$A$2:$A$5001,"&lt;="&amp;A3585),"PR",""))</f>
        <v/>
      </c>
    </row>
    <row r="3586">
      <c r="A3586" s="7" t="n"/>
      <c r="H3586" s="11">
        <f>IF(OR(D3586="",E3586=""),"",D3586*E3586)</f>
        <v/>
      </c>
      <c r="I3586" s="8">
        <f>IF(OR(D3586="",E3586=""),"",E3586*(1+D3586/30))</f>
        <v/>
      </c>
      <c r="J3586">
        <f>IF(I3586="","",IF(I3586&gt;=MAXIFS($I$2:$I$5001,$B$2:$B$5001,B3586,$A$2:$A$5001,"&lt;="&amp;A3586),"PR",""))</f>
        <v/>
      </c>
    </row>
    <row r="3587">
      <c r="A3587" s="7" t="n"/>
      <c r="H3587" s="11">
        <f>IF(OR(D3587="",E3587=""),"",D3587*E3587)</f>
        <v/>
      </c>
      <c r="I3587" s="8">
        <f>IF(OR(D3587="",E3587=""),"",E3587*(1+D3587/30))</f>
        <v/>
      </c>
      <c r="J3587">
        <f>IF(I3587="","",IF(I3587&gt;=MAXIFS($I$2:$I$5001,$B$2:$B$5001,B3587,$A$2:$A$5001,"&lt;="&amp;A3587),"PR",""))</f>
        <v/>
      </c>
    </row>
    <row r="3588">
      <c r="A3588" s="7" t="n"/>
      <c r="H3588" s="11">
        <f>IF(OR(D3588="",E3588=""),"",D3588*E3588)</f>
        <v/>
      </c>
      <c r="I3588" s="8">
        <f>IF(OR(D3588="",E3588=""),"",E3588*(1+D3588/30))</f>
        <v/>
      </c>
      <c r="J3588">
        <f>IF(I3588="","",IF(I3588&gt;=MAXIFS($I$2:$I$5001,$B$2:$B$5001,B3588,$A$2:$A$5001,"&lt;="&amp;A3588),"PR",""))</f>
        <v/>
      </c>
    </row>
    <row r="3589">
      <c r="A3589" s="7" t="n"/>
      <c r="H3589" s="11">
        <f>IF(OR(D3589="",E3589=""),"",D3589*E3589)</f>
        <v/>
      </c>
      <c r="I3589" s="8">
        <f>IF(OR(D3589="",E3589=""),"",E3589*(1+D3589/30))</f>
        <v/>
      </c>
      <c r="J3589">
        <f>IF(I3589="","",IF(I3589&gt;=MAXIFS($I$2:$I$5001,$B$2:$B$5001,B3589,$A$2:$A$5001,"&lt;="&amp;A3589),"PR",""))</f>
        <v/>
      </c>
    </row>
    <row r="3590">
      <c r="A3590" s="7" t="n"/>
      <c r="H3590" s="11">
        <f>IF(OR(D3590="",E3590=""),"",D3590*E3590)</f>
        <v/>
      </c>
      <c r="I3590" s="8">
        <f>IF(OR(D3590="",E3590=""),"",E3590*(1+D3590/30))</f>
        <v/>
      </c>
      <c r="J3590">
        <f>IF(I3590="","",IF(I3590&gt;=MAXIFS($I$2:$I$5001,$B$2:$B$5001,B3590,$A$2:$A$5001,"&lt;="&amp;A3590),"PR",""))</f>
        <v/>
      </c>
    </row>
    <row r="3591">
      <c r="A3591" s="7" t="n"/>
      <c r="H3591" s="11">
        <f>IF(OR(D3591="",E3591=""),"",D3591*E3591)</f>
        <v/>
      </c>
      <c r="I3591" s="8">
        <f>IF(OR(D3591="",E3591=""),"",E3591*(1+D3591/30))</f>
        <v/>
      </c>
      <c r="J3591">
        <f>IF(I3591="","",IF(I3591&gt;=MAXIFS($I$2:$I$5001,$B$2:$B$5001,B3591,$A$2:$A$5001,"&lt;="&amp;A3591),"PR",""))</f>
        <v/>
      </c>
    </row>
    <row r="3592">
      <c r="A3592" s="7" t="n"/>
      <c r="H3592" s="11">
        <f>IF(OR(D3592="",E3592=""),"",D3592*E3592)</f>
        <v/>
      </c>
      <c r="I3592" s="8">
        <f>IF(OR(D3592="",E3592=""),"",E3592*(1+D3592/30))</f>
        <v/>
      </c>
      <c r="J3592">
        <f>IF(I3592="","",IF(I3592&gt;=MAXIFS($I$2:$I$5001,$B$2:$B$5001,B3592,$A$2:$A$5001,"&lt;="&amp;A3592),"PR",""))</f>
        <v/>
      </c>
    </row>
    <row r="3593">
      <c r="A3593" s="7" t="n"/>
      <c r="H3593" s="11">
        <f>IF(OR(D3593="",E3593=""),"",D3593*E3593)</f>
        <v/>
      </c>
      <c r="I3593" s="8">
        <f>IF(OR(D3593="",E3593=""),"",E3593*(1+D3593/30))</f>
        <v/>
      </c>
      <c r="J3593">
        <f>IF(I3593="","",IF(I3593&gt;=MAXIFS($I$2:$I$5001,$B$2:$B$5001,B3593,$A$2:$A$5001,"&lt;="&amp;A3593),"PR",""))</f>
        <v/>
      </c>
    </row>
    <row r="3594">
      <c r="A3594" s="7" t="n"/>
      <c r="H3594" s="11">
        <f>IF(OR(D3594="",E3594=""),"",D3594*E3594)</f>
        <v/>
      </c>
      <c r="I3594" s="8">
        <f>IF(OR(D3594="",E3594=""),"",E3594*(1+D3594/30))</f>
        <v/>
      </c>
      <c r="J3594">
        <f>IF(I3594="","",IF(I3594&gt;=MAXIFS($I$2:$I$5001,$B$2:$B$5001,B3594,$A$2:$A$5001,"&lt;="&amp;A3594),"PR",""))</f>
        <v/>
      </c>
    </row>
    <row r="3595">
      <c r="A3595" s="7" t="n"/>
      <c r="H3595" s="11">
        <f>IF(OR(D3595="",E3595=""),"",D3595*E3595)</f>
        <v/>
      </c>
      <c r="I3595" s="8">
        <f>IF(OR(D3595="",E3595=""),"",E3595*(1+D3595/30))</f>
        <v/>
      </c>
      <c r="J3595">
        <f>IF(I3595="","",IF(I3595&gt;=MAXIFS($I$2:$I$5001,$B$2:$B$5001,B3595,$A$2:$A$5001,"&lt;="&amp;A3595),"PR",""))</f>
        <v/>
      </c>
    </row>
    <row r="3596">
      <c r="A3596" s="7" t="n"/>
      <c r="H3596" s="11">
        <f>IF(OR(D3596="",E3596=""),"",D3596*E3596)</f>
        <v/>
      </c>
      <c r="I3596" s="8">
        <f>IF(OR(D3596="",E3596=""),"",E3596*(1+D3596/30))</f>
        <v/>
      </c>
      <c r="J3596">
        <f>IF(I3596="","",IF(I3596&gt;=MAXIFS($I$2:$I$5001,$B$2:$B$5001,B3596,$A$2:$A$5001,"&lt;="&amp;A3596),"PR",""))</f>
        <v/>
      </c>
    </row>
    <row r="3597">
      <c r="A3597" s="7" t="n"/>
      <c r="H3597" s="11">
        <f>IF(OR(D3597="",E3597=""),"",D3597*E3597)</f>
        <v/>
      </c>
      <c r="I3597" s="8">
        <f>IF(OR(D3597="",E3597=""),"",E3597*(1+D3597/30))</f>
        <v/>
      </c>
      <c r="J3597">
        <f>IF(I3597="","",IF(I3597&gt;=MAXIFS($I$2:$I$5001,$B$2:$B$5001,B3597,$A$2:$A$5001,"&lt;="&amp;A3597),"PR",""))</f>
        <v/>
      </c>
    </row>
    <row r="3598">
      <c r="A3598" s="7" t="n"/>
      <c r="H3598" s="11">
        <f>IF(OR(D3598="",E3598=""),"",D3598*E3598)</f>
        <v/>
      </c>
      <c r="I3598" s="8">
        <f>IF(OR(D3598="",E3598=""),"",E3598*(1+D3598/30))</f>
        <v/>
      </c>
      <c r="J3598">
        <f>IF(I3598="","",IF(I3598&gt;=MAXIFS($I$2:$I$5001,$B$2:$B$5001,B3598,$A$2:$A$5001,"&lt;="&amp;A3598),"PR",""))</f>
        <v/>
      </c>
    </row>
    <row r="3599">
      <c r="A3599" s="7" t="n"/>
      <c r="H3599" s="11">
        <f>IF(OR(D3599="",E3599=""),"",D3599*E3599)</f>
        <v/>
      </c>
      <c r="I3599" s="8">
        <f>IF(OR(D3599="",E3599=""),"",E3599*(1+D3599/30))</f>
        <v/>
      </c>
      <c r="J3599">
        <f>IF(I3599="","",IF(I3599&gt;=MAXIFS($I$2:$I$5001,$B$2:$B$5001,B3599,$A$2:$A$5001,"&lt;="&amp;A3599),"PR",""))</f>
        <v/>
      </c>
    </row>
    <row r="3600">
      <c r="A3600" s="7" t="n"/>
      <c r="H3600" s="11">
        <f>IF(OR(D3600="",E3600=""),"",D3600*E3600)</f>
        <v/>
      </c>
      <c r="I3600" s="8">
        <f>IF(OR(D3600="",E3600=""),"",E3600*(1+D3600/30))</f>
        <v/>
      </c>
      <c r="J3600">
        <f>IF(I3600="","",IF(I3600&gt;=MAXIFS($I$2:$I$5001,$B$2:$B$5001,B3600,$A$2:$A$5001,"&lt;="&amp;A3600),"PR",""))</f>
        <v/>
      </c>
    </row>
    <row r="3601">
      <c r="A3601" s="7" t="n"/>
      <c r="H3601" s="11">
        <f>IF(OR(D3601="",E3601=""),"",D3601*E3601)</f>
        <v/>
      </c>
      <c r="I3601" s="8">
        <f>IF(OR(D3601="",E3601=""),"",E3601*(1+D3601/30))</f>
        <v/>
      </c>
      <c r="J3601">
        <f>IF(I3601="","",IF(I3601&gt;=MAXIFS($I$2:$I$5001,$B$2:$B$5001,B3601,$A$2:$A$5001,"&lt;="&amp;A3601),"PR",""))</f>
        <v/>
      </c>
    </row>
    <row r="3602">
      <c r="A3602" s="7" t="n"/>
      <c r="H3602" s="11">
        <f>IF(OR(D3602="",E3602=""),"",D3602*E3602)</f>
        <v/>
      </c>
      <c r="I3602" s="8">
        <f>IF(OR(D3602="",E3602=""),"",E3602*(1+D3602/30))</f>
        <v/>
      </c>
      <c r="J3602">
        <f>IF(I3602="","",IF(I3602&gt;=MAXIFS($I$2:$I$5001,$B$2:$B$5001,B3602,$A$2:$A$5001,"&lt;="&amp;A3602),"PR",""))</f>
        <v/>
      </c>
    </row>
    <row r="3603">
      <c r="A3603" s="7" t="n"/>
      <c r="H3603" s="11">
        <f>IF(OR(D3603="",E3603=""),"",D3603*E3603)</f>
        <v/>
      </c>
      <c r="I3603" s="8">
        <f>IF(OR(D3603="",E3603=""),"",E3603*(1+D3603/30))</f>
        <v/>
      </c>
      <c r="J3603">
        <f>IF(I3603="","",IF(I3603&gt;=MAXIFS($I$2:$I$5001,$B$2:$B$5001,B3603,$A$2:$A$5001,"&lt;="&amp;A3603),"PR",""))</f>
        <v/>
      </c>
    </row>
    <row r="3604">
      <c r="A3604" s="7" t="n"/>
      <c r="H3604" s="11">
        <f>IF(OR(D3604="",E3604=""),"",D3604*E3604)</f>
        <v/>
      </c>
      <c r="I3604" s="8">
        <f>IF(OR(D3604="",E3604=""),"",E3604*(1+D3604/30))</f>
        <v/>
      </c>
      <c r="J3604">
        <f>IF(I3604="","",IF(I3604&gt;=MAXIFS($I$2:$I$5001,$B$2:$B$5001,B3604,$A$2:$A$5001,"&lt;="&amp;A3604),"PR",""))</f>
        <v/>
      </c>
    </row>
    <row r="3605">
      <c r="A3605" s="7" t="n"/>
      <c r="H3605" s="11">
        <f>IF(OR(D3605="",E3605=""),"",D3605*E3605)</f>
        <v/>
      </c>
      <c r="I3605" s="8">
        <f>IF(OR(D3605="",E3605=""),"",E3605*(1+D3605/30))</f>
        <v/>
      </c>
      <c r="J3605">
        <f>IF(I3605="","",IF(I3605&gt;=MAXIFS($I$2:$I$5001,$B$2:$B$5001,B3605,$A$2:$A$5001,"&lt;="&amp;A3605),"PR",""))</f>
        <v/>
      </c>
    </row>
    <row r="3606">
      <c r="A3606" s="7" t="n"/>
      <c r="H3606" s="11">
        <f>IF(OR(D3606="",E3606=""),"",D3606*E3606)</f>
        <v/>
      </c>
      <c r="I3606" s="8">
        <f>IF(OR(D3606="",E3606=""),"",E3606*(1+D3606/30))</f>
        <v/>
      </c>
      <c r="J3606">
        <f>IF(I3606="","",IF(I3606&gt;=MAXIFS($I$2:$I$5001,$B$2:$B$5001,B3606,$A$2:$A$5001,"&lt;="&amp;A3606),"PR",""))</f>
        <v/>
      </c>
    </row>
    <row r="3607">
      <c r="A3607" s="7" t="n"/>
      <c r="H3607" s="11">
        <f>IF(OR(D3607="",E3607=""),"",D3607*E3607)</f>
        <v/>
      </c>
      <c r="I3607" s="8">
        <f>IF(OR(D3607="",E3607=""),"",E3607*(1+D3607/30))</f>
        <v/>
      </c>
      <c r="J3607">
        <f>IF(I3607="","",IF(I3607&gt;=MAXIFS($I$2:$I$5001,$B$2:$B$5001,B3607,$A$2:$A$5001,"&lt;="&amp;A3607),"PR",""))</f>
        <v/>
      </c>
    </row>
    <row r="3608">
      <c r="A3608" s="7" t="n"/>
      <c r="H3608" s="11">
        <f>IF(OR(D3608="",E3608=""),"",D3608*E3608)</f>
        <v/>
      </c>
      <c r="I3608" s="8">
        <f>IF(OR(D3608="",E3608=""),"",E3608*(1+D3608/30))</f>
        <v/>
      </c>
      <c r="J3608">
        <f>IF(I3608="","",IF(I3608&gt;=MAXIFS($I$2:$I$5001,$B$2:$B$5001,B3608,$A$2:$A$5001,"&lt;="&amp;A3608),"PR",""))</f>
        <v/>
      </c>
    </row>
    <row r="3609">
      <c r="A3609" s="7" t="n"/>
      <c r="H3609" s="11">
        <f>IF(OR(D3609="",E3609=""),"",D3609*E3609)</f>
        <v/>
      </c>
      <c r="I3609" s="8">
        <f>IF(OR(D3609="",E3609=""),"",E3609*(1+D3609/30))</f>
        <v/>
      </c>
      <c r="J3609">
        <f>IF(I3609="","",IF(I3609&gt;=MAXIFS($I$2:$I$5001,$B$2:$B$5001,B3609,$A$2:$A$5001,"&lt;="&amp;A3609),"PR",""))</f>
        <v/>
      </c>
    </row>
    <row r="3610">
      <c r="A3610" s="7" t="n"/>
      <c r="H3610" s="11">
        <f>IF(OR(D3610="",E3610=""),"",D3610*E3610)</f>
        <v/>
      </c>
      <c r="I3610" s="8">
        <f>IF(OR(D3610="",E3610=""),"",E3610*(1+D3610/30))</f>
        <v/>
      </c>
      <c r="J3610">
        <f>IF(I3610="","",IF(I3610&gt;=MAXIFS($I$2:$I$5001,$B$2:$B$5001,B3610,$A$2:$A$5001,"&lt;="&amp;A3610),"PR",""))</f>
        <v/>
      </c>
    </row>
    <row r="3611">
      <c r="A3611" s="7" t="n"/>
      <c r="H3611" s="11">
        <f>IF(OR(D3611="",E3611=""),"",D3611*E3611)</f>
        <v/>
      </c>
      <c r="I3611" s="8">
        <f>IF(OR(D3611="",E3611=""),"",E3611*(1+D3611/30))</f>
        <v/>
      </c>
      <c r="J3611">
        <f>IF(I3611="","",IF(I3611&gt;=MAXIFS($I$2:$I$5001,$B$2:$B$5001,B3611,$A$2:$A$5001,"&lt;="&amp;A3611),"PR",""))</f>
        <v/>
      </c>
    </row>
    <row r="3612">
      <c r="A3612" s="7" t="n"/>
      <c r="H3612" s="11">
        <f>IF(OR(D3612="",E3612=""),"",D3612*E3612)</f>
        <v/>
      </c>
      <c r="I3612" s="8">
        <f>IF(OR(D3612="",E3612=""),"",E3612*(1+D3612/30))</f>
        <v/>
      </c>
      <c r="J3612">
        <f>IF(I3612="","",IF(I3612&gt;=MAXIFS($I$2:$I$5001,$B$2:$B$5001,B3612,$A$2:$A$5001,"&lt;="&amp;A3612),"PR",""))</f>
        <v/>
      </c>
    </row>
    <row r="3613">
      <c r="A3613" s="7" t="n"/>
      <c r="H3613" s="11">
        <f>IF(OR(D3613="",E3613=""),"",D3613*E3613)</f>
        <v/>
      </c>
      <c r="I3613" s="8">
        <f>IF(OR(D3613="",E3613=""),"",E3613*(1+D3613/30))</f>
        <v/>
      </c>
      <c r="J3613">
        <f>IF(I3613="","",IF(I3613&gt;=MAXIFS($I$2:$I$5001,$B$2:$B$5001,B3613,$A$2:$A$5001,"&lt;="&amp;A3613),"PR",""))</f>
        <v/>
      </c>
    </row>
    <row r="3614">
      <c r="A3614" s="7" t="n"/>
      <c r="H3614" s="11">
        <f>IF(OR(D3614="",E3614=""),"",D3614*E3614)</f>
        <v/>
      </c>
      <c r="I3614" s="8">
        <f>IF(OR(D3614="",E3614=""),"",E3614*(1+D3614/30))</f>
        <v/>
      </c>
      <c r="J3614">
        <f>IF(I3614="","",IF(I3614&gt;=MAXIFS($I$2:$I$5001,$B$2:$B$5001,B3614,$A$2:$A$5001,"&lt;="&amp;A3614),"PR",""))</f>
        <v/>
      </c>
    </row>
    <row r="3615">
      <c r="A3615" s="7" t="n"/>
      <c r="H3615" s="11">
        <f>IF(OR(D3615="",E3615=""),"",D3615*E3615)</f>
        <v/>
      </c>
      <c r="I3615" s="8">
        <f>IF(OR(D3615="",E3615=""),"",E3615*(1+D3615/30))</f>
        <v/>
      </c>
      <c r="J3615">
        <f>IF(I3615="","",IF(I3615&gt;=MAXIFS($I$2:$I$5001,$B$2:$B$5001,B3615,$A$2:$A$5001,"&lt;="&amp;A3615),"PR",""))</f>
        <v/>
      </c>
    </row>
    <row r="3616">
      <c r="A3616" s="7" t="n"/>
      <c r="H3616" s="11">
        <f>IF(OR(D3616="",E3616=""),"",D3616*E3616)</f>
        <v/>
      </c>
      <c r="I3616" s="8">
        <f>IF(OR(D3616="",E3616=""),"",E3616*(1+D3616/30))</f>
        <v/>
      </c>
      <c r="J3616">
        <f>IF(I3616="","",IF(I3616&gt;=MAXIFS($I$2:$I$5001,$B$2:$B$5001,B3616,$A$2:$A$5001,"&lt;="&amp;A3616),"PR",""))</f>
        <v/>
      </c>
    </row>
    <row r="3617">
      <c r="A3617" s="7" t="n"/>
      <c r="H3617" s="11">
        <f>IF(OR(D3617="",E3617=""),"",D3617*E3617)</f>
        <v/>
      </c>
      <c r="I3617" s="8">
        <f>IF(OR(D3617="",E3617=""),"",E3617*(1+D3617/30))</f>
        <v/>
      </c>
      <c r="J3617">
        <f>IF(I3617="","",IF(I3617&gt;=MAXIFS($I$2:$I$5001,$B$2:$B$5001,B3617,$A$2:$A$5001,"&lt;="&amp;A3617),"PR",""))</f>
        <v/>
      </c>
    </row>
    <row r="3618">
      <c r="A3618" s="7" t="n"/>
      <c r="H3618" s="11">
        <f>IF(OR(D3618="",E3618=""),"",D3618*E3618)</f>
        <v/>
      </c>
      <c r="I3618" s="8">
        <f>IF(OR(D3618="",E3618=""),"",E3618*(1+D3618/30))</f>
        <v/>
      </c>
      <c r="J3618">
        <f>IF(I3618="","",IF(I3618&gt;=MAXIFS($I$2:$I$5001,$B$2:$B$5001,B3618,$A$2:$A$5001,"&lt;="&amp;A3618),"PR",""))</f>
        <v/>
      </c>
    </row>
    <row r="3619">
      <c r="A3619" s="7" t="n"/>
      <c r="H3619" s="11">
        <f>IF(OR(D3619="",E3619=""),"",D3619*E3619)</f>
        <v/>
      </c>
      <c r="I3619" s="8">
        <f>IF(OR(D3619="",E3619=""),"",E3619*(1+D3619/30))</f>
        <v/>
      </c>
      <c r="J3619">
        <f>IF(I3619="","",IF(I3619&gt;=MAXIFS($I$2:$I$5001,$B$2:$B$5001,B3619,$A$2:$A$5001,"&lt;="&amp;A3619),"PR",""))</f>
        <v/>
      </c>
    </row>
    <row r="3620">
      <c r="A3620" s="7" t="n"/>
      <c r="H3620" s="11">
        <f>IF(OR(D3620="",E3620=""),"",D3620*E3620)</f>
        <v/>
      </c>
      <c r="I3620" s="8">
        <f>IF(OR(D3620="",E3620=""),"",E3620*(1+D3620/30))</f>
        <v/>
      </c>
      <c r="J3620">
        <f>IF(I3620="","",IF(I3620&gt;=MAXIFS($I$2:$I$5001,$B$2:$B$5001,B3620,$A$2:$A$5001,"&lt;="&amp;A3620),"PR",""))</f>
        <v/>
      </c>
    </row>
    <row r="3621">
      <c r="A3621" s="7" t="n"/>
      <c r="H3621" s="11">
        <f>IF(OR(D3621="",E3621=""),"",D3621*E3621)</f>
        <v/>
      </c>
      <c r="I3621" s="8">
        <f>IF(OR(D3621="",E3621=""),"",E3621*(1+D3621/30))</f>
        <v/>
      </c>
      <c r="J3621">
        <f>IF(I3621="","",IF(I3621&gt;=MAXIFS($I$2:$I$5001,$B$2:$B$5001,B3621,$A$2:$A$5001,"&lt;="&amp;A3621),"PR",""))</f>
        <v/>
      </c>
    </row>
    <row r="3622">
      <c r="A3622" s="7" t="n"/>
      <c r="H3622" s="11">
        <f>IF(OR(D3622="",E3622=""),"",D3622*E3622)</f>
        <v/>
      </c>
      <c r="I3622" s="8">
        <f>IF(OR(D3622="",E3622=""),"",E3622*(1+D3622/30))</f>
        <v/>
      </c>
      <c r="J3622">
        <f>IF(I3622="","",IF(I3622&gt;=MAXIFS($I$2:$I$5001,$B$2:$B$5001,B3622,$A$2:$A$5001,"&lt;="&amp;A3622),"PR",""))</f>
        <v/>
      </c>
    </row>
    <row r="3623">
      <c r="A3623" s="7" t="n"/>
      <c r="H3623" s="11">
        <f>IF(OR(D3623="",E3623=""),"",D3623*E3623)</f>
        <v/>
      </c>
      <c r="I3623" s="8">
        <f>IF(OR(D3623="",E3623=""),"",E3623*(1+D3623/30))</f>
        <v/>
      </c>
      <c r="J3623">
        <f>IF(I3623="","",IF(I3623&gt;=MAXIFS($I$2:$I$5001,$B$2:$B$5001,B3623,$A$2:$A$5001,"&lt;="&amp;A3623),"PR",""))</f>
        <v/>
      </c>
    </row>
    <row r="3624">
      <c r="A3624" s="7" t="n"/>
      <c r="H3624" s="11">
        <f>IF(OR(D3624="",E3624=""),"",D3624*E3624)</f>
        <v/>
      </c>
      <c r="I3624" s="8">
        <f>IF(OR(D3624="",E3624=""),"",E3624*(1+D3624/30))</f>
        <v/>
      </c>
      <c r="J3624">
        <f>IF(I3624="","",IF(I3624&gt;=MAXIFS($I$2:$I$5001,$B$2:$B$5001,B3624,$A$2:$A$5001,"&lt;="&amp;A3624),"PR",""))</f>
        <v/>
      </c>
    </row>
    <row r="3625">
      <c r="A3625" s="7" t="n"/>
      <c r="H3625" s="11">
        <f>IF(OR(D3625="",E3625=""),"",D3625*E3625)</f>
        <v/>
      </c>
      <c r="I3625" s="8">
        <f>IF(OR(D3625="",E3625=""),"",E3625*(1+D3625/30))</f>
        <v/>
      </c>
      <c r="J3625">
        <f>IF(I3625="","",IF(I3625&gt;=MAXIFS($I$2:$I$5001,$B$2:$B$5001,B3625,$A$2:$A$5001,"&lt;="&amp;A3625),"PR",""))</f>
        <v/>
      </c>
    </row>
    <row r="3626">
      <c r="A3626" s="7" t="n"/>
      <c r="H3626" s="11">
        <f>IF(OR(D3626="",E3626=""),"",D3626*E3626)</f>
        <v/>
      </c>
      <c r="I3626" s="8">
        <f>IF(OR(D3626="",E3626=""),"",E3626*(1+D3626/30))</f>
        <v/>
      </c>
      <c r="J3626">
        <f>IF(I3626="","",IF(I3626&gt;=MAXIFS($I$2:$I$5001,$B$2:$B$5001,B3626,$A$2:$A$5001,"&lt;="&amp;A3626),"PR",""))</f>
        <v/>
      </c>
    </row>
    <row r="3627">
      <c r="A3627" s="7" t="n"/>
      <c r="H3627" s="11">
        <f>IF(OR(D3627="",E3627=""),"",D3627*E3627)</f>
        <v/>
      </c>
      <c r="I3627" s="8">
        <f>IF(OR(D3627="",E3627=""),"",E3627*(1+D3627/30))</f>
        <v/>
      </c>
      <c r="J3627">
        <f>IF(I3627="","",IF(I3627&gt;=MAXIFS($I$2:$I$5001,$B$2:$B$5001,B3627,$A$2:$A$5001,"&lt;="&amp;A3627),"PR",""))</f>
        <v/>
      </c>
    </row>
    <row r="3628">
      <c r="A3628" s="7" t="n"/>
      <c r="H3628" s="11">
        <f>IF(OR(D3628="",E3628=""),"",D3628*E3628)</f>
        <v/>
      </c>
      <c r="I3628" s="8">
        <f>IF(OR(D3628="",E3628=""),"",E3628*(1+D3628/30))</f>
        <v/>
      </c>
      <c r="J3628">
        <f>IF(I3628="","",IF(I3628&gt;=MAXIFS($I$2:$I$5001,$B$2:$B$5001,B3628,$A$2:$A$5001,"&lt;="&amp;A3628),"PR",""))</f>
        <v/>
      </c>
    </row>
    <row r="3629">
      <c r="A3629" s="7" t="n"/>
      <c r="H3629" s="11">
        <f>IF(OR(D3629="",E3629=""),"",D3629*E3629)</f>
        <v/>
      </c>
      <c r="I3629" s="8">
        <f>IF(OR(D3629="",E3629=""),"",E3629*(1+D3629/30))</f>
        <v/>
      </c>
      <c r="J3629">
        <f>IF(I3629="","",IF(I3629&gt;=MAXIFS($I$2:$I$5001,$B$2:$B$5001,B3629,$A$2:$A$5001,"&lt;="&amp;A3629),"PR",""))</f>
        <v/>
      </c>
    </row>
    <row r="3630">
      <c r="A3630" s="7" t="n"/>
      <c r="H3630" s="11">
        <f>IF(OR(D3630="",E3630=""),"",D3630*E3630)</f>
        <v/>
      </c>
      <c r="I3630" s="8">
        <f>IF(OR(D3630="",E3630=""),"",E3630*(1+D3630/30))</f>
        <v/>
      </c>
      <c r="J3630">
        <f>IF(I3630="","",IF(I3630&gt;=MAXIFS($I$2:$I$5001,$B$2:$B$5001,B3630,$A$2:$A$5001,"&lt;="&amp;A3630),"PR",""))</f>
        <v/>
      </c>
    </row>
    <row r="3631">
      <c r="A3631" s="7" t="n"/>
      <c r="H3631" s="11">
        <f>IF(OR(D3631="",E3631=""),"",D3631*E3631)</f>
        <v/>
      </c>
      <c r="I3631" s="8">
        <f>IF(OR(D3631="",E3631=""),"",E3631*(1+D3631/30))</f>
        <v/>
      </c>
      <c r="J3631">
        <f>IF(I3631="","",IF(I3631&gt;=MAXIFS($I$2:$I$5001,$B$2:$B$5001,B3631,$A$2:$A$5001,"&lt;="&amp;A3631),"PR",""))</f>
        <v/>
      </c>
    </row>
    <row r="3632">
      <c r="A3632" s="7" t="n"/>
      <c r="H3632" s="11">
        <f>IF(OR(D3632="",E3632=""),"",D3632*E3632)</f>
        <v/>
      </c>
      <c r="I3632" s="8">
        <f>IF(OR(D3632="",E3632=""),"",E3632*(1+D3632/30))</f>
        <v/>
      </c>
      <c r="J3632">
        <f>IF(I3632="","",IF(I3632&gt;=MAXIFS($I$2:$I$5001,$B$2:$B$5001,B3632,$A$2:$A$5001,"&lt;="&amp;A3632),"PR",""))</f>
        <v/>
      </c>
    </row>
    <row r="3633">
      <c r="A3633" s="7" t="n"/>
      <c r="H3633" s="11">
        <f>IF(OR(D3633="",E3633=""),"",D3633*E3633)</f>
        <v/>
      </c>
      <c r="I3633" s="8">
        <f>IF(OR(D3633="",E3633=""),"",E3633*(1+D3633/30))</f>
        <v/>
      </c>
      <c r="J3633">
        <f>IF(I3633="","",IF(I3633&gt;=MAXIFS($I$2:$I$5001,$B$2:$B$5001,B3633,$A$2:$A$5001,"&lt;="&amp;A3633),"PR",""))</f>
        <v/>
      </c>
    </row>
    <row r="3634">
      <c r="A3634" s="7" t="n"/>
      <c r="H3634" s="11">
        <f>IF(OR(D3634="",E3634=""),"",D3634*E3634)</f>
        <v/>
      </c>
      <c r="I3634" s="8">
        <f>IF(OR(D3634="",E3634=""),"",E3634*(1+D3634/30))</f>
        <v/>
      </c>
      <c r="J3634">
        <f>IF(I3634="","",IF(I3634&gt;=MAXIFS($I$2:$I$5001,$B$2:$B$5001,B3634,$A$2:$A$5001,"&lt;="&amp;A3634),"PR",""))</f>
        <v/>
      </c>
    </row>
    <row r="3635">
      <c r="A3635" s="7" t="n"/>
      <c r="H3635" s="11">
        <f>IF(OR(D3635="",E3635=""),"",D3635*E3635)</f>
        <v/>
      </c>
      <c r="I3635" s="8">
        <f>IF(OR(D3635="",E3635=""),"",E3635*(1+D3635/30))</f>
        <v/>
      </c>
      <c r="J3635">
        <f>IF(I3635="","",IF(I3635&gt;=MAXIFS($I$2:$I$5001,$B$2:$B$5001,B3635,$A$2:$A$5001,"&lt;="&amp;A3635),"PR",""))</f>
        <v/>
      </c>
    </row>
    <row r="3636">
      <c r="A3636" s="7" t="n"/>
      <c r="H3636" s="11">
        <f>IF(OR(D3636="",E3636=""),"",D3636*E3636)</f>
        <v/>
      </c>
      <c r="I3636" s="8">
        <f>IF(OR(D3636="",E3636=""),"",E3636*(1+D3636/30))</f>
        <v/>
      </c>
      <c r="J3636">
        <f>IF(I3636="","",IF(I3636&gt;=MAXIFS($I$2:$I$5001,$B$2:$B$5001,B3636,$A$2:$A$5001,"&lt;="&amp;A3636),"PR",""))</f>
        <v/>
      </c>
    </row>
    <row r="3637">
      <c r="A3637" s="7" t="n"/>
      <c r="H3637" s="11">
        <f>IF(OR(D3637="",E3637=""),"",D3637*E3637)</f>
        <v/>
      </c>
      <c r="I3637" s="8">
        <f>IF(OR(D3637="",E3637=""),"",E3637*(1+D3637/30))</f>
        <v/>
      </c>
      <c r="J3637">
        <f>IF(I3637="","",IF(I3637&gt;=MAXIFS($I$2:$I$5001,$B$2:$B$5001,B3637,$A$2:$A$5001,"&lt;="&amp;A3637),"PR",""))</f>
        <v/>
      </c>
    </row>
    <row r="3638">
      <c r="A3638" s="7" t="n"/>
      <c r="H3638" s="11">
        <f>IF(OR(D3638="",E3638=""),"",D3638*E3638)</f>
        <v/>
      </c>
      <c r="I3638" s="8">
        <f>IF(OR(D3638="",E3638=""),"",E3638*(1+D3638/30))</f>
        <v/>
      </c>
      <c r="J3638">
        <f>IF(I3638="","",IF(I3638&gt;=MAXIFS($I$2:$I$5001,$B$2:$B$5001,B3638,$A$2:$A$5001,"&lt;="&amp;A3638),"PR",""))</f>
        <v/>
      </c>
    </row>
    <row r="3639">
      <c r="A3639" s="7" t="n"/>
      <c r="H3639" s="11">
        <f>IF(OR(D3639="",E3639=""),"",D3639*E3639)</f>
        <v/>
      </c>
      <c r="I3639" s="8">
        <f>IF(OR(D3639="",E3639=""),"",E3639*(1+D3639/30))</f>
        <v/>
      </c>
      <c r="J3639">
        <f>IF(I3639="","",IF(I3639&gt;=MAXIFS($I$2:$I$5001,$B$2:$B$5001,B3639,$A$2:$A$5001,"&lt;="&amp;A3639),"PR",""))</f>
        <v/>
      </c>
    </row>
    <row r="3640">
      <c r="A3640" s="7" t="n"/>
      <c r="H3640" s="11">
        <f>IF(OR(D3640="",E3640=""),"",D3640*E3640)</f>
        <v/>
      </c>
      <c r="I3640" s="8">
        <f>IF(OR(D3640="",E3640=""),"",E3640*(1+D3640/30))</f>
        <v/>
      </c>
      <c r="J3640">
        <f>IF(I3640="","",IF(I3640&gt;=MAXIFS($I$2:$I$5001,$B$2:$B$5001,B3640,$A$2:$A$5001,"&lt;="&amp;A3640),"PR",""))</f>
        <v/>
      </c>
    </row>
    <row r="3641">
      <c r="A3641" s="7" t="n"/>
      <c r="H3641" s="11">
        <f>IF(OR(D3641="",E3641=""),"",D3641*E3641)</f>
        <v/>
      </c>
      <c r="I3641" s="8">
        <f>IF(OR(D3641="",E3641=""),"",E3641*(1+D3641/30))</f>
        <v/>
      </c>
      <c r="J3641">
        <f>IF(I3641="","",IF(I3641&gt;=MAXIFS($I$2:$I$5001,$B$2:$B$5001,B3641,$A$2:$A$5001,"&lt;="&amp;A3641),"PR",""))</f>
        <v/>
      </c>
    </row>
    <row r="3642">
      <c r="A3642" s="7" t="n"/>
      <c r="H3642" s="11">
        <f>IF(OR(D3642="",E3642=""),"",D3642*E3642)</f>
        <v/>
      </c>
      <c r="I3642" s="8">
        <f>IF(OR(D3642="",E3642=""),"",E3642*(1+D3642/30))</f>
        <v/>
      </c>
      <c r="J3642">
        <f>IF(I3642="","",IF(I3642&gt;=MAXIFS($I$2:$I$5001,$B$2:$B$5001,B3642,$A$2:$A$5001,"&lt;="&amp;A3642),"PR",""))</f>
        <v/>
      </c>
    </row>
    <row r="3643">
      <c r="A3643" s="7" t="n"/>
      <c r="H3643" s="11">
        <f>IF(OR(D3643="",E3643=""),"",D3643*E3643)</f>
        <v/>
      </c>
      <c r="I3643" s="8">
        <f>IF(OR(D3643="",E3643=""),"",E3643*(1+D3643/30))</f>
        <v/>
      </c>
      <c r="J3643">
        <f>IF(I3643="","",IF(I3643&gt;=MAXIFS($I$2:$I$5001,$B$2:$B$5001,B3643,$A$2:$A$5001,"&lt;="&amp;A3643),"PR",""))</f>
        <v/>
      </c>
    </row>
    <row r="3644">
      <c r="A3644" s="7" t="n"/>
      <c r="H3644" s="11">
        <f>IF(OR(D3644="",E3644=""),"",D3644*E3644)</f>
        <v/>
      </c>
      <c r="I3644" s="8">
        <f>IF(OR(D3644="",E3644=""),"",E3644*(1+D3644/30))</f>
        <v/>
      </c>
      <c r="J3644">
        <f>IF(I3644="","",IF(I3644&gt;=MAXIFS($I$2:$I$5001,$B$2:$B$5001,B3644,$A$2:$A$5001,"&lt;="&amp;A3644),"PR",""))</f>
        <v/>
      </c>
    </row>
    <row r="3645">
      <c r="A3645" s="7" t="n"/>
      <c r="H3645" s="11">
        <f>IF(OR(D3645="",E3645=""),"",D3645*E3645)</f>
        <v/>
      </c>
      <c r="I3645" s="8">
        <f>IF(OR(D3645="",E3645=""),"",E3645*(1+D3645/30))</f>
        <v/>
      </c>
      <c r="J3645">
        <f>IF(I3645="","",IF(I3645&gt;=MAXIFS($I$2:$I$5001,$B$2:$B$5001,B3645,$A$2:$A$5001,"&lt;="&amp;A3645),"PR",""))</f>
        <v/>
      </c>
    </row>
    <row r="3646">
      <c r="A3646" s="7" t="n"/>
      <c r="H3646" s="11">
        <f>IF(OR(D3646="",E3646=""),"",D3646*E3646)</f>
        <v/>
      </c>
      <c r="I3646" s="8">
        <f>IF(OR(D3646="",E3646=""),"",E3646*(1+D3646/30))</f>
        <v/>
      </c>
      <c r="J3646">
        <f>IF(I3646="","",IF(I3646&gt;=MAXIFS($I$2:$I$5001,$B$2:$B$5001,B3646,$A$2:$A$5001,"&lt;="&amp;A3646),"PR",""))</f>
        <v/>
      </c>
    </row>
    <row r="3647">
      <c r="A3647" s="7" t="n"/>
      <c r="H3647" s="11">
        <f>IF(OR(D3647="",E3647=""),"",D3647*E3647)</f>
        <v/>
      </c>
      <c r="I3647" s="8">
        <f>IF(OR(D3647="",E3647=""),"",E3647*(1+D3647/30))</f>
        <v/>
      </c>
      <c r="J3647">
        <f>IF(I3647="","",IF(I3647&gt;=MAXIFS($I$2:$I$5001,$B$2:$B$5001,B3647,$A$2:$A$5001,"&lt;="&amp;A3647),"PR",""))</f>
        <v/>
      </c>
    </row>
    <row r="3648">
      <c r="A3648" s="7" t="n"/>
      <c r="H3648" s="11">
        <f>IF(OR(D3648="",E3648=""),"",D3648*E3648)</f>
        <v/>
      </c>
      <c r="I3648" s="8">
        <f>IF(OR(D3648="",E3648=""),"",E3648*(1+D3648/30))</f>
        <v/>
      </c>
      <c r="J3648">
        <f>IF(I3648="","",IF(I3648&gt;=MAXIFS($I$2:$I$5001,$B$2:$B$5001,B3648,$A$2:$A$5001,"&lt;="&amp;A3648),"PR",""))</f>
        <v/>
      </c>
    </row>
    <row r="3649">
      <c r="A3649" s="7" t="n"/>
      <c r="H3649" s="11">
        <f>IF(OR(D3649="",E3649=""),"",D3649*E3649)</f>
        <v/>
      </c>
      <c r="I3649" s="8">
        <f>IF(OR(D3649="",E3649=""),"",E3649*(1+D3649/30))</f>
        <v/>
      </c>
      <c r="J3649">
        <f>IF(I3649="","",IF(I3649&gt;=MAXIFS($I$2:$I$5001,$B$2:$B$5001,B3649,$A$2:$A$5001,"&lt;="&amp;A3649),"PR",""))</f>
        <v/>
      </c>
    </row>
    <row r="3650">
      <c r="A3650" s="7" t="n"/>
      <c r="H3650" s="11">
        <f>IF(OR(D3650="",E3650=""),"",D3650*E3650)</f>
        <v/>
      </c>
      <c r="I3650" s="8">
        <f>IF(OR(D3650="",E3650=""),"",E3650*(1+D3650/30))</f>
        <v/>
      </c>
      <c r="J3650">
        <f>IF(I3650="","",IF(I3650&gt;=MAXIFS($I$2:$I$5001,$B$2:$B$5001,B3650,$A$2:$A$5001,"&lt;="&amp;A3650),"PR",""))</f>
        <v/>
      </c>
    </row>
    <row r="3651">
      <c r="A3651" s="7" t="n"/>
      <c r="H3651" s="11">
        <f>IF(OR(D3651="",E3651=""),"",D3651*E3651)</f>
        <v/>
      </c>
      <c r="I3651" s="8">
        <f>IF(OR(D3651="",E3651=""),"",E3651*(1+D3651/30))</f>
        <v/>
      </c>
      <c r="J3651">
        <f>IF(I3651="","",IF(I3651&gt;=MAXIFS($I$2:$I$5001,$B$2:$B$5001,B3651,$A$2:$A$5001,"&lt;="&amp;A3651),"PR",""))</f>
        <v/>
      </c>
    </row>
    <row r="3652">
      <c r="A3652" s="7" t="n"/>
      <c r="H3652" s="11">
        <f>IF(OR(D3652="",E3652=""),"",D3652*E3652)</f>
        <v/>
      </c>
      <c r="I3652" s="8">
        <f>IF(OR(D3652="",E3652=""),"",E3652*(1+D3652/30))</f>
        <v/>
      </c>
      <c r="J3652">
        <f>IF(I3652="","",IF(I3652&gt;=MAXIFS($I$2:$I$5001,$B$2:$B$5001,B3652,$A$2:$A$5001,"&lt;="&amp;A3652),"PR",""))</f>
        <v/>
      </c>
    </row>
    <row r="3653">
      <c r="A3653" s="7" t="n"/>
      <c r="H3653" s="11">
        <f>IF(OR(D3653="",E3653=""),"",D3653*E3653)</f>
        <v/>
      </c>
      <c r="I3653" s="8">
        <f>IF(OR(D3653="",E3653=""),"",E3653*(1+D3653/30))</f>
        <v/>
      </c>
      <c r="J3653">
        <f>IF(I3653="","",IF(I3653&gt;=MAXIFS($I$2:$I$5001,$B$2:$B$5001,B3653,$A$2:$A$5001,"&lt;="&amp;A3653),"PR",""))</f>
        <v/>
      </c>
    </row>
    <row r="3654">
      <c r="A3654" s="7" t="n"/>
      <c r="H3654" s="11">
        <f>IF(OR(D3654="",E3654=""),"",D3654*E3654)</f>
        <v/>
      </c>
      <c r="I3654" s="8">
        <f>IF(OR(D3654="",E3654=""),"",E3654*(1+D3654/30))</f>
        <v/>
      </c>
      <c r="J3654">
        <f>IF(I3654="","",IF(I3654&gt;=MAXIFS($I$2:$I$5001,$B$2:$B$5001,B3654,$A$2:$A$5001,"&lt;="&amp;A3654),"PR",""))</f>
        <v/>
      </c>
    </row>
    <row r="3655">
      <c r="A3655" s="7" t="n"/>
      <c r="H3655" s="11">
        <f>IF(OR(D3655="",E3655=""),"",D3655*E3655)</f>
        <v/>
      </c>
      <c r="I3655" s="8">
        <f>IF(OR(D3655="",E3655=""),"",E3655*(1+D3655/30))</f>
        <v/>
      </c>
      <c r="J3655">
        <f>IF(I3655="","",IF(I3655&gt;=MAXIFS($I$2:$I$5001,$B$2:$B$5001,B3655,$A$2:$A$5001,"&lt;="&amp;A3655),"PR",""))</f>
        <v/>
      </c>
    </row>
    <row r="3656">
      <c r="A3656" s="7" t="n"/>
      <c r="H3656" s="11">
        <f>IF(OR(D3656="",E3656=""),"",D3656*E3656)</f>
        <v/>
      </c>
      <c r="I3656" s="8">
        <f>IF(OR(D3656="",E3656=""),"",E3656*(1+D3656/30))</f>
        <v/>
      </c>
      <c r="J3656">
        <f>IF(I3656="","",IF(I3656&gt;=MAXIFS($I$2:$I$5001,$B$2:$B$5001,B3656,$A$2:$A$5001,"&lt;="&amp;A3656),"PR",""))</f>
        <v/>
      </c>
    </row>
    <row r="3657">
      <c r="A3657" s="7" t="n"/>
      <c r="H3657" s="11">
        <f>IF(OR(D3657="",E3657=""),"",D3657*E3657)</f>
        <v/>
      </c>
      <c r="I3657" s="8">
        <f>IF(OR(D3657="",E3657=""),"",E3657*(1+D3657/30))</f>
        <v/>
      </c>
      <c r="J3657">
        <f>IF(I3657="","",IF(I3657&gt;=MAXIFS($I$2:$I$5001,$B$2:$B$5001,B3657,$A$2:$A$5001,"&lt;="&amp;A3657),"PR",""))</f>
        <v/>
      </c>
    </row>
    <row r="3658">
      <c r="A3658" s="7" t="n"/>
      <c r="H3658" s="11">
        <f>IF(OR(D3658="",E3658=""),"",D3658*E3658)</f>
        <v/>
      </c>
      <c r="I3658" s="8">
        <f>IF(OR(D3658="",E3658=""),"",E3658*(1+D3658/30))</f>
        <v/>
      </c>
      <c r="J3658">
        <f>IF(I3658="","",IF(I3658&gt;=MAXIFS($I$2:$I$5001,$B$2:$B$5001,B3658,$A$2:$A$5001,"&lt;="&amp;A3658),"PR",""))</f>
        <v/>
      </c>
    </row>
    <row r="3659">
      <c r="A3659" s="7" t="n"/>
      <c r="H3659" s="11">
        <f>IF(OR(D3659="",E3659=""),"",D3659*E3659)</f>
        <v/>
      </c>
      <c r="I3659" s="8">
        <f>IF(OR(D3659="",E3659=""),"",E3659*(1+D3659/30))</f>
        <v/>
      </c>
      <c r="J3659">
        <f>IF(I3659="","",IF(I3659&gt;=MAXIFS($I$2:$I$5001,$B$2:$B$5001,B3659,$A$2:$A$5001,"&lt;="&amp;A3659),"PR",""))</f>
        <v/>
      </c>
    </row>
    <row r="3660">
      <c r="A3660" s="7" t="n"/>
      <c r="H3660" s="11">
        <f>IF(OR(D3660="",E3660=""),"",D3660*E3660)</f>
        <v/>
      </c>
      <c r="I3660" s="8">
        <f>IF(OR(D3660="",E3660=""),"",E3660*(1+D3660/30))</f>
        <v/>
      </c>
      <c r="J3660">
        <f>IF(I3660="","",IF(I3660&gt;=MAXIFS($I$2:$I$5001,$B$2:$B$5001,B3660,$A$2:$A$5001,"&lt;="&amp;A3660),"PR",""))</f>
        <v/>
      </c>
    </row>
    <row r="3661">
      <c r="A3661" s="7" t="n"/>
      <c r="H3661" s="11">
        <f>IF(OR(D3661="",E3661=""),"",D3661*E3661)</f>
        <v/>
      </c>
      <c r="I3661" s="8">
        <f>IF(OR(D3661="",E3661=""),"",E3661*(1+D3661/30))</f>
        <v/>
      </c>
      <c r="J3661">
        <f>IF(I3661="","",IF(I3661&gt;=MAXIFS($I$2:$I$5001,$B$2:$B$5001,B3661,$A$2:$A$5001,"&lt;="&amp;A3661),"PR",""))</f>
        <v/>
      </c>
    </row>
    <row r="3662">
      <c r="A3662" s="7" t="n"/>
      <c r="H3662" s="11">
        <f>IF(OR(D3662="",E3662=""),"",D3662*E3662)</f>
        <v/>
      </c>
      <c r="I3662" s="8">
        <f>IF(OR(D3662="",E3662=""),"",E3662*(1+D3662/30))</f>
        <v/>
      </c>
      <c r="J3662">
        <f>IF(I3662="","",IF(I3662&gt;=MAXIFS($I$2:$I$5001,$B$2:$B$5001,B3662,$A$2:$A$5001,"&lt;="&amp;A3662),"PR",""))</f>
        <v/>
      </c>
    </row>
    <row r="3663">
      <c r="A3663" s="7" t="n"/>
      <c r="H3663" s="11">
        <f>IF(OR(D3663="",E3663=""),"",D3663*E3663)</f>
        <v/>
      </c>
      <c r="I3663" s="8">
        <f>IF(OR(D3663="",E3663=""),"",E3663*(1+D3663/30))</f>
        <v/>
      </c>
      <c r="J3663">
        <f>IF(I3663="","",IF(I3663&gt;=MAXIFS($I$2:$I$5001,$B$2:$B$5001,B3663,$A$2:$A$5001,"&lt;="&amp;A3663),"PR",""))</f>
        <v/>
      </c>
    </row>
    <row r="3664">
      <c r="A3664" s="7" t="n"/>
      <c r="H3664" s="11">
        <f>IF(OR(D3664="",E3664=""),"",D3664*E3664)</f>
        <v/>
      </c>
      <c r="I3664" s="8">
        <f>IF(OR(D3664="",E3664=""),"",E3664*(1+D3664/30))</f>
        <v/>
      </c>
      <c r="J3664">
        <f>IF(I3664="","",IF(I3664&gt;=MAXIFS($I$2:$I$5001,$B$2:$B$5001,B3664,$A$2:$A$5001,"&lt;="&amp;A3664),"PR",""))</f>
        <v/>
      </c>
    </row>
    <row r="3665">
      <c r="A3665" s="7" t="n"/>
      <c r="H3665" s="11">
        <f>IF(OR(D3665="",E3665=""),"",D3665*E3665)</f>
        <v/>
      </c>
      <c r="I3665" s="8">
        <f>IF(OR(D3665="",E3665=""),"",E3665*(1+D3665/30))</f>
        <v/>
      </c>
      <c r="J3665">
        <f>IF(I3665="","",IF(I3665&gt;=MAXIFS($I$2:$I$5001,$B$2:$B$5001,B3665,$A$2:$A$5001,"&lt;="&amp;A3665),"PR",""))</f>
        <v/>
      </c>
    </row>
    <row r="3666">
      <c r="A3666" s="7" t="n"/>
      <c r="H3666" s="11">
        <f>IF(OR(D3666="",E3666=""),"",D3666*E3666)</f>
        <v/>
      </c>
      <c r="I3666" s="8">
        <f>IF(OR(D3666="",E3666=""),"",E3666*(1+D3666/30))</f>
        <v/>
      </c>
      <c r="J3666">
        <f>IF(I3666="","",IF(I3666&gt;=MAXIFS($I$2:$I$5001,$B$2:$B$5001,B3666,$A$2:$A$5001,"&lt;="&amp;A3666),"PR",""))</f>
        <v/>
      </c>
    </row>
    <row r="3667">
      <c r="A3667" s="7" t="n"/>
      <c r="H3667" s="11">
        <f>IF(OR(D3667="",E3667=""),"",D3667*E3667)</f>
        <v/>
      </c>
      <c r="I3667" s="8">
        <f>IF(OR(D3667="",E3667=""),"",E3667*(1+D3667/30))</f>
        <v/>
      </c>
      <c r="J3667">
        <f>IF(I3667="","",IF(I3667&gt;=MAXIFS($I$2:$I$5001,$B$2:$B$5001,B3667,$A$2:$A$5001,"&lt;="&amp;A3667),"PR",""))</f>
        <v/>
      </c>
    </row>
    <row r="3668">
      <c r="A3668" s="7" t="n"/>
      <c r="H3668" s="11">
        <f>IF(OR(D3668="",E3668=""),"",D3668*E3668)</f>
        <v/>
      </c>
      <c r="I3668" s="8">
        <f>IF(OR(D3668="",E3668=""),"",E3668*(1+D3668/30))</f>
        <v/>
      </c>
      <c r="J3668">
        <f>IF(I3668="","",IF(I3668&gt;=MAXIFS($I$2:$I$5001,$B$2:$B$5001,B3668,$A$2:$A$5001,"&lt;="&amp;A3668),"PR",""))</f>
        <v/>
      </c>
    </row>
    <row r="3669">
      <c r="A3669" s="7" t="n"/>
      <c r="H3669" s="11">
        <f>IF(OR(D3669="",E3669=""),"",D3669*E3669)</f>
        <v/>
      </c>
      <c r="I3669" s="8">
        <f>IF(OR(D3669="",E3669=""),"",E3669*(1+D3669/30))</f>
        <v/>
      </c>
      <c r="J3669">
        <f>IF(I3669="","",IF(I3669&gt;=MAXIFS($I$2:$I$5001,$B$2:$B$5001,B3669,$A$2:$A$5001,"&lt;="&amp;A3669),"PR",""))</f>
        <v/>
      </c>
    </row>
    <row r="3670">
      <c r="A3670" s="7" t="n"/>
      <c r="H3670" s="11">
        <f>IF(OR(D3670="",E3670=""),"",D3670*E3670)</f>
        <v/>
      </c>
      <c r="I3670" s="8">
        <f>IF(OR(D3670="",E3670=""),"",E3670*(1+D3670/30))</f>
        <v/>
      </c>
      <c r="J3670">
        <f>IF(I3670="","",IF(I3670&gt;=MAXIFS($I$2:$I$5001,$B$2:$B$5001,B3670,$A$2:$A$5001,"&lt;="&amp;A3670),"PR",""))</f>
        <v/>
      </c>
    </row>
    <row r="3671">
      <c r="A3671" s="7" t="n"/>
      <c r="H3671" s="11">
        <f>IF(OR(D3671="",E3671=""),"",D3671*E3671)</f>
        <v/>
      </c>
      <c r="I3671" s="8">
        <f>IF(OR(D3671="",E3671=""),"",E3671*(1+D3671/30))</f>
        <v/>
      </c>
      <c r="J3671">
        <f>IF(I3671="","",IF(I3671&gt;=MAXIFS($I$2:$I$5001,$B$2:$B$5001,B3671,$A$2:$A$5001,"&lt;="&amp;A3671),"PR",""))</f>
        <v/>
      </c>
    </row>
    <row r="3672">
      <c r="A3672" s="7" t="n"/>
      <c r="H3672" s="11">
        <f>IF(OR(D3672="",E3672=""),"",D3672*E3672)</f>
        <v/>
      </c>
      <c r="I3672" s="8">
        <f>IF(OR(D3672="",E3672=""),"",E3672*(1+D3672/30))</f>
        <v/>
      </c>
      <c r="J3672">
        <f>IF(I3672="","",IF(I3672&gt;=MAXIFS($I$2:$I$5001,$B$2:$B$5001,B3672,$A$2:$A$5001,"&lt;="&amp;A3672),"PR",""))</f>
        <v/>
      </c>
    </row>
    <row r="3673">
      <c r="A3673" s="7" t="n"/>
      <c r="H3673" s="11">
        <f>IF(OR(D3673="",E3673=""),"",D3673*E3673)</f>
        <v/>
      </c>
      <c r="I3673" s="8">
        <f>IF(OR(D3673="",E3673=""),"",E3673*(1+D3673/30))</f>
        <v/>
      </c>
      <c r="J3673">
        <f>IF(I3673="","",IF(I3673&gt;=MAXIFS($I$2:$I$5001,$B$2:$B$5001,B3673,$A$2:$A$5001,"&lt;="&amp;A3673),"PR",""))</f>
        <v/>
      </c>
    </row>
    <row r="3674">
      <c r="A3674" s="7" t="n"/>
      <c r="H3674" s="11">
        <f>IF(OR(D3674="",E3674=""),"",D3674*E3674)</f>
        <v/>
      </c>
      <c r="I3674" s="8">
        <f>IF(OR(D3674="",E3674=""),"",E3674*(1+D3674/30))</f>
        <v/>
      </c>
      <c r="J3674">
        <f>IF(I3674="","",IF(I3674&gt;=MAXIFS($I$2:$I$5001,$B$2:$B$5001,B3674,$A$2:$A$5001,"&lt;="&amp;A3674),"PR",""))</f>
        <v/>
      </c>
    </row>
    <row r="3675">
      <c r="A3675" s="7" t="n"/>
      <c r="H3675" s="11">
        <f>IF(OR(D3675="",E3675=""),"",D3675*E3675)</f>
        <v/>
      </c>
      <c r="I3675" s="8">
        <f>IF(OR(D3675="",E3675=""),"",E3675*(1+D3675/30))</f>
        <v/>
      </c>
      <c r="J3675">
        <f>IF(I3675="","",IF(I3675&gt;=MAXIFS($I$2:$I$5001,$B$2:$B$5001,B3675,$A$2:$A$5001,"&lt;="&amp;A3675),"PR",""))</f>
        <v/>
      </c>
    </row>
    <row r="3676">
      <c r="A3676" s="7" t="n"/>
      <c r="H3676" s="11">
        <f>IF(OR(D3676="",E3676=""),"",D3676*E3676)</f>
        <v/>
      </c>
      <c r="I3676" s="8">
        <f>IF(OR(D3676="",E3676=""),"",E3676*(1+D3676/30))</f>
        <v/>
      </c>
      <c r="J3676">
        <f>IF(I3676="","",IF(I3676&gt;=MAXIFS($I$2:$I$5001,$B$2:$B$5001,B3676,$A$2:$A$5001,"&lt;="&amp;A3676),"PR",""))</f>
        <v/>
      </c>
    </row>
    <row r="3677">
      <c r="A3677" s="7" t="n"/>
      <c r="H3677" s="11">
        <f>IF(OR(D3677="",E3677=""),"",D3677*E3677)</f>
        <v/>
      </c>
      <c r="I3677" s="8">
        <f>IF(OR(D3677="",E3677=""),"",E3677*(1+D3677/30))</f>
        <v/>
      </c>
      <c r="J3677">
        <f>IF(I3677="","",IF(I3677&gt;=MAXIFS($I$2:$I$5001,$B$2:$B$5001,B3677,$A$2:$A$5001,"&lt;="&amp;A3677),"PR",""))</f>
        <v/>
      </c>
    </row>
    <row r="3678">
      <c r="A3678" s="7" t="n"/>
      <c r="H3678" s="11">
        <f>IF(OR(D3678="",E3678=""),"",D3678*E3678)</f>
        <v/>
      </c>
      <c r="I3678" s="8">
        <f>IF(OR(D3678="",E3678=""),"",E3678*(1+D3678/30))</f>
        <v/>
      </c>
      <c r="J3678">
        <f>IF(I3678="","",IF(I3678&gt;=MAXIFS($I$2:$I$5001,$B$2:$B$5001,B3678,$A$2:$A$5001,"&lt;="&amp;A3678),"PR",""))</f>
        <v/>
      </c>
    </row>
    <row r="3679">
      <c r="A3679" s="7" t="n"/>
      <c r="H3679" s="11">
        <f>IF(OR(D3679="",E3679=""),"",D3679*E3679)</f>
        <v/>
      </c>
      <c r="I3679" s="8">
        <f>IF(OR(D3679="",E3679=""),"",E3679*(1+D3679/30))</f>
        <v/>
      </c>
      <c r="J3679">
        <f>IF(I3679="","",IF(I3679&gt;=MAXIFS($I$2:$I$5001,$B$2:$B$5001,B3679,$A$2:$A$5001,"&lt;="&amp;A3679),"PR",""))</f>
        <v/>
      </c>
    </row>
    <row r="3680">
      <c r="A3680" s="7" t="n"/>
      <c r="H3680" s="11">
        <f>IF(OR(D3680="",E3680=""),"",D3680*E3680)</f>
        <v/>
      </c>
      <c r="I3680" s="8">
        <f>IF(OR(D3680="",E3680=""),"",E3680*(1+D3680/30))</f>
        <v/>
      </c>
      <c r="J3680">
        <f>IF(I3680="","",IF(I3680&gt;=MAXIFS($I$2:$I$5001,$B$2:$B$5001,B3680,$A$2:$A$5001,"&lt;="&amp;A3680),"PR",""))</f>
        <v/>
      </c>
    </row>
    <row r="3681">
      <c r="A3681" s="7" t="n"/>
      <c r="H3681" s="11">
        <f>IF(OR(D3681="",E3681=""),"",D3681*E3681)</f>
        <v/>
      </c>
      <c r="I3681" s="8">
        <f>IF(OR(D3681="",E3681=""),"",E3681*(1+D3681/30))</f>
        <v/>
      </c>
      <c r="J3681">
        <f>IF(I3681="","",IF(I3681&gt;=MAXIFS($I$2:$I$5001,$B$2:$B$5001,B3681,$A$2:$A$5001,"&lt;="&amp;A3681),"PR",""))</f>
        <v/>
      </c>
    </row>
    <row r="3682">
      <c r="A3682" s="7" t="n"/>
      <c r="H3682" s="11">
        <f>IF(OR(D3682="",E3682=""),"",D3682*E3682)</f>
        <v/>
      </c>
      <c r="I3682" s="8">
        <f>IF(OR(D3682="",E3682=""),"",E3682*(1+D3682/30))</f>
        <v/>
      </c>
      <c r="J3682">
        <f>IF(I3682="","",IF(I3682&gt;=MAXIFS($I$2:$I$5001,$B$2:$B$5001,B3682,$A$2:$A$5001,"&lt;="&amp;A3682),"PR",""))</f>
        <v/>
      </c>
    </row>
    <row r="3683">
      <c r="A3683" s="7" t="n"/>
      <c r="H3683" s="11">
        <f>IF(OR(D3683="",E3683=""),"",D3683*E3683)</f>
        <v/>
      </c>
      <c r="I3683" s="8">
        <f>IF(OR(D3683="",E3683=""),"",E3683*(1+D3683/30))</f>
        <v/>
      </c>
      <c r="J3683">
        <f>IF(I3683="","",IF(I3683&gt;=MAXIFS($I$2:$I$5001,$B$2:$B$5001,B3683,$A$2:$A$5001,"&lt;="&amp;A3683),"PR",""))</f>
        <v/>
      </c>
    </row>
    <row r="3684">
      <c r="A3684" s="7" t="n"/>
      <c r="H3684" s="11">
        <f>IF(OR(D3684="",E3684=""),"",D3684*E3684)</f>
        <v/>
      </c>
      <c r="I3684" s="8">
        <f>IF(OR(D3684="",E3684=""),"",E3684*(1+D3684/30))</f>
        <v/>
      </c>
      <c r="J3684">
        <f>IF(I3684="","",IF(I3684&gt;=MAXIFS($I$2:$I$5001,$B$2:$B$5001,B3684,$A$2:$A$5001,"&lt;="&amp;A3684),"PR",""))</f>
        <v/>
      </c>
    </row>
    <row r="3685">
      <c r="A3685" s="7" t="n"/>
      <c r="H3685" s="11">
        <f>IF(OR(D3685="",E3685=""),"",D3685*E3685)</f>
        <v/>
      </c>
      <c r="I3685" s="8">
        <f>IF(OR(D3685="",E3685=""),"",E3685*(1+D3685/30))</f>
        <v/>
      </c>
      <c r="J3685">
        <f>IF(I3685="","",IF(I3685&gt;=MAXIFS($I$2:$I$5001,$B$2:$B$5001,B3685,$A$2:$A$5001,"&lt;="&amp;A3685),"PR",""))</f>
        <v/>
      </c>
    </row>
    <row r="3686">
      <c r="A3686" s="7" t="n"/>
      <c r="H3686" s="11">
        <f>IF(OR(D3686="",E3686=""),"",D3686*E3686)</f>
        <v/>
      </c>
      <c r="I3686" s="8">
        <f>IF(OR(D3686="",E3686=""),"",E3686*(1+D3686/30))</f>
        <v/>
      </c>
      <c r="J3686">
        <f>IF(I3686="","",IF(I3686&gt;=MAXIFS($I$2:$I$5001,$B$2:$B$5001,B3686,$A$2:$A$5001,"&lt;="&amp;A3686),"PR",""))</f>
        <v/>
      </c>
    </row>
    <row r="3687">
      <c r="A3687" s="7" t="n"/>
      <c r="H3687" s="11">
        <f>IF(OR(D3687="",E3687=""),"",D3687*E3687)</f>
        <v/>
      </c>
      <c r="I3687" s="8">
        <f>IF(OR(D3687="",E3687=""),"",E3687*(1+D3687/30))</f>
        <v/>
      </c>
      <c r="J3687">
        <f>IF(I3687="","",IF(I3687&gt;=MAXIFS($I$2:$I$5001,$B$2:$B$5001,B3687,$A$2:$A$5001,"&lt;="&amp;A3687),"PR",""))</f>
        <v/>
      </c>
    </row>
    <row r="3688">
      <c r="A3688" s="7" t="n"/>
      <c r="H3688" s="11">
        <f>IF(OR(D3688="",E3688=""),"",D3688*E3688)</f>
        <v/>
      </c>
      <c r="I3688" s="8">
        <f>IF(OR(D3688="",E3688=""),"",E3688*(1+D3688/30))</f>
        <v/>
      </c>
      <c r="J3688">
        <f>IF(I3688="","",IF(I3688&gt;=MAXIFS($I$2:$I$5001,$B$2:$B$5001,B3688,$A$2:$A$5001,"&lt;="&amp;A3688),"PR",""))</f>
        <v/>
      </c>
    </row>
    <row r="3689">
      <c r="A3689" s="7" t="n"/>
      <c r="H3689" s="11">
        <f>IF(OR(D3689="",E3689=""),"",D3689*E3689)</f>
        <v/>
      </c>
      <c r="I3689" s="8">
        <f>IF(OR(D3689="",E3689=""),"",E3689*(1+D3689/30))</f>
        <v/>
      </c>
      <c r="J3689">
        <f>IF(I3689="","",IF(I3689&gt;=MAXIFS($I$2:$I$5001,$B$2:$B$5001,B3689,$A$2:$A$5001,"&lt;="&amp;A3689),"PR",""))</f>
        <v/>
      </c>
    </row>
    <row r="3690">
      <c r="A3690" s="7" t="n"/>
      <c r="H3690" s="11">
        <f>IF(OR(D3690="",E3690=""),"",D3690*E3690)</f>
        <v/>
      </c>
      <c r="I3690" s="8">
        <f>IF(OR(D3690="",E3690=""),"",E3690*(1+D3690/30))</f>
        <v/>
      </c>
      <c r="J3690">
        <f>IF(I3690="","",IF(I3690&gt;=MAXIFS($I$2:$I$5001,$B$2:$B$5001,B3690,$A$2:$A$5001,"&lt;="&amp;A3690),"PR",""))</f>
        <v/>
      </c>
    </row>
    <row r="3691">
      <c r="A3691" s="7" t="n"/>
      <c r="H3691" s="11">
        <f>IF(OR(D3691="",E3691=""),"",D3691*E3691)</f>
        <v/>
      </c>
      <c r="I3691" s="8">
        <f>IF(OR(D3691="",E3691=""),"",E3691*(1+D3691/30))</f>
        <v/>
      </c>
      <c r="J3691">
        <f>IF(I3691="","",IF(I3691&gt;=MAXIFS($I$2:$I$5001,$B$2:$B$5001,B3691,$A$2:$A$5001,"&lt;="&amp;A3691),"PR",""))</f>
        <v/>
      </c>
    </row>
    <row r="3692">
      <c r="A3692" s="7" t="n"/>
      <c r="H3692" s="11">
        <f>IF(OR(D3692="",E3692=""),"",D3692*E3692)</f>
        <v/>
      </c>
      <c r="I3692" s="8">
        <f>IF(OR(D3692="",E3692=""),"",E3692*(1+D3692/30))</f>
        <v/>
      </c>
      <c r="J3692">
        <f>IF(I3692="","",IF(I3692&gt;=MAXIFS($I$2:$I$5001,$B$2:$B$5001,B3692,$A$2:$A$5001,"&lt;="&amp;A3692),"PR",""))</f>
        <v/>
      </c>
    </row>
    <row r="3693">
      <c r="A3693" s="7" t="n"/>
      <c r="H3693" s="11">
        <f>IF(OR(D3693="",E3693=""),"",D3693*E3693)</f>
        <v/>
      </c>
      <c r="I3693" s="8">
        <f>IF(OR(D3693="",E3693=""),"",E3693*(1+D3693/30))</f>
        <v/>
      </c>
      <c r="J3693">
        <f>IF(I3693="","",IF(I3693&gt;=MAXIFS($I$2:$I$5001,$B$2:$B$5001,B3693,$A$2:$A$5001,"&lt;="&amp;A3693),"PR",""))</f>
        <v/>
      </c>
    </row>
    <row r="3694">
      <c r="A3694" s="7" t="n"/>
      <c r="H3694" s="11">
        <f>IF(OR(D3694="",E3694=""),"",D3694*E3694)</f>
        <v/>
      </c>
      <c r="I3694" s="8">
        <f>IF(OR(D3694="",E3694=""),"",E3694*(1+D3694/30))</f>
        <v/>
      </c>
      <c r="J3694">
        <f>IF(I3694="","",IF(I3694&gt;=MAXIFS($I$2:$I$5001,$B$2:$B$5001,B3694,$A$2:$A$5001,"&lt;="&amp;A3694),"PR",""))</f>
        <v/>
      </c>
    </row>
    <row r="3695">
      <c r="A3695" s="7" t="n"/>
      <c r="H3695" s="11">
        <f>IF(OR(D3695="",E3695=""),"",D3695*E3695)</f>
        <v/>
      </c>
      <c r="I3695" s="8">
        <f>IF(OR(D3695="",E3695=""),"",E3695*(1+D3695/30))</f>
        <v/>
      </c>
      <c r="J3695">
        <f>IF(I3695="","",IF(I3695&gt;=MAXIFS($I$2:$I$5001,$B$2:$B$5001,B3695,$A$2:$A$5001,"&lt;="&amp;A3695),"PR",""))</f>
        <v/>
      </c>
    </row>
    <row r="3696">
      <c r="A3696" s="7" t="n"/>
      <c r="H3696" s="11">
        <f>IF(OR(D3696="",E3696=""),"",D3696*E3696)</f>
        <v/>
      </c>
      <c r="I3696" s="8">
        <f>IF(OR(D3696="",E3696=""),"",E3696*(1+D3696/30))</f>
        <v/>
      </c>
      <c r="J3696">
        <f>IF(I3696="","",IF(I3696&gt;=MAXIFS($I$2:$I$5001,$B$2:$B$5001,B3696,$A$2:$A$5001,"&lt;="&amp;A3696),"PR",""))</f>
        <v/>
      </c>
    </row>
    <row r="3697">
      <c r="A3697" s="7" t="n"/>
      <c r="H3697" s="11">
        <f>IF(OR(D3697="",E3697=""),"",D3697*E3697)</f>
        <v/>
      </c>
      <c r="I3697" s="8">
        <f>IF(OR(D3697="",E3697=""),"",E3697*(1+D3697/30))</f>
        <v/>
      </c>
      <c r="J3697">
        <f>IF(I3697="","",IF(I3697&gt;=MAXIFS($I$2:$I$5001,$B$2:$B$5001,B3697,$A$2:$A$5001,"&lt;="&amp;A3697),"PR",""))</f>
        <v/>
      </c>
    </row>
    <row r="3698">
      <c r="A3698" s="7" t="n"/>
      <c r="H3698" s="11">
        <f>IF(OR(D3698="",E3698=""),"",D3698*E3698)</f>
        <v/>
      </c>
      <c r="I3698" s="8">
        <f>IF(OR(D3698="",E3698=""),"",E3698*(1+D3698/30))</f>
        <v/>
      </c>
      <c r="J3698">
        <f>IF(I3698="","",IF(I3698&gt;=MAXIFS($I$2:$I$5001,$B$2:$B$5001,B3698,$A$2:$A$5001,"&lt;="&amp;A3698),"PR",""))</f>
        <v/>
      </c>
    </row>
    <row r="3699">
      <c r="A3699" s="7" t="n"/>
      <c r="H3699" s="11">
        <f>IF(OR(D3699="",E3699=""),"",D3699*E3699)</f>
        <v/>
      </c>
      <c r="I3699" s="8">
        <f>IF(OR(D3699="",E3699=""),"",E3699*(1+D3699/30))</f>
        <v/>
      </c>
      <c r="J3699">
        <f>IF(I3699="","",IF(I3699&gt;=MAXIFS($I$2:$I$5001,$B$2:$B$5001,B3699,$A$2:$A$5001,"&lt;="&amp;A3699),"PR",""))</f>
        <v/>
      </c>
    </row>
    <row r="3700">
      <c r="A3700" s="7" t="n"/>
      <c r="H3700" s="11">
        <f>IF(OR(D3700="",E3700=""),"",D3700*E3700)</f>
        <v/>
      </c>
      <c r="I3700" s="8">
        <f>IF(OR(D3700="",E3700=""),"",E3700*(1+D3700/30))</f>
        <v/>
      </c>
      <c r="J3700">
        <f>IF(I3700="","",IF(I3700&gt;=MAXIFS($I$2:$I$5001,$B$2:$B$5001,B3700,$A$2:$A$5001,"&lt;="&amp;A3700),"PR",""))</f>
        <v/>
      </c>
    </row>
    <row r="3701">
      <c r="A3701" s="7" t="n"/>
      <c r="H3701" s="11">
        <f>IF(OR(D3701="",E3701=""),"",D3701*E3701)</f>
        <v/>
      </c>
      <c r="I3701" s="8">
        <f>IF(OR(D3701="",E3701=""),"",E3701*(1+D3701/30))</f>
        <v/>
      </c>
      <c r="J3701">
        <f>IF(I3701="","",IF(I3701&gt;=MAXIFS($I$2:$I$5001,$B$2:$B$5001,B3701,$A$2:$A$5001,"&lt;="&amp;A3701),"PR",""))</f>
        <v/>
      </c>
    </row>
    <row r="3702">
      <c r="A3702" s="7" t="n"/>
      <c r="H3702" s="11">
        <f>IF(OR(D3702="",E3702=""),"",D3702*E3702)</f>
        <v/>
      </c>
      <c r="I3702" s="8">
        <f>IF(OR(D3702="",E3702=""),"",E3702*(1+D3702/30))</f>
        <v/>
      </c>
      <c r="J3702">
        <f>IF(I3702="","",IF(I3702&gt;=MAXIFS($I$2:$I$5001,$B$2:$B$5001,B3702,$A$2:$A$5001,"&lt;="&amp;A3702),"PR",""))</f>
        <v/>
      </c>
    </row>
    <row r="3703">
      <c r="A3703" s="7" t="n"/>
      <c r="H3703" s="11">
        <f>IF(OR(D3703="",E3703=""),"",D3703*E3703)</f>
        <v/>
      </c>
      <c r="I3703" s="8">
        <f>IF(OR(D3703="",E3703=""),"",E3703*(1+D3703/30))</f>
        <v/>
      </c>
      <c r="J3703">
        <f>IF(I3703="","",IF(I3703&gt;=MAXIFS($I$2:$I$5001,$B$2:$B$5001,B3703,$A$2:$A$5001,"&lt;="&amp;A3703),"PR",""))</f>
        <v/>
      </c>
    </row>
    <row r="3704">
      <c r="A3704" s="7" t="n"/>
      <c r="H3704" s="11">
        <f>IF(OR(D3704="",E3704=""),"",D3704*E3704)</f>
        <v/>
      </c>
      <c r="I3704" s="8">
        <f>IF(OR(D3704="",E3704=""),"",E3704*(1+D3704/30))</f>
        <v/>
      </c>
      <c r="J3704">
        <f>IF(I3704="","",IF(I3704&gt;=MAXIFS($I$2:$I$5001,$B$2:$B$5001,B3704,$A$2:$A$5001,"&lt;="&amp;A3704),"PR",""))</f>
        <v/>
      </c>
    </row>
    <row r="3705">
      <c r="A3705" s="7" t="n"/>
      <c r="H3705" s="11">
        <f>IF(OR(D3705="",E3705=""),"",D3705*E3705)</f>
        <v/>
      </c>
      <c r="I3705" s="8">
        <f>IF(OR(D3705="",E3705=""),"",E3705*(1+D3705/30))</f>
        <v/>
      </c>
      <c r="J3705">
        <f>IF(I3705="","",IF(I3705&gt;=MAXIFS($I$2:$I$5001,$B$2:$B$5001,B3705,$A$2:$A$5001,"&lt;="&amp;A3705),"PR",""))</f>
        <v/>
      </c>
    </row>
    <row r="3706">
      <c r="A3706" s="7" t="n"/>
      <c r="H3706" s="11">
        <f>IF(OR(D3706="",E3706=""),"",D3706*E3706)</f>
        <v/>
      </c>
      <c r="I3706" s="8">
        <f>IF(OR(D3706="",E3706=""),"",E3706*(1+D3706/30))</f>
        <v/>
      </c>
      <c r="J3706">
        <f>IF(I3706="","",IF(I3706&gt;=MAXIFS($I$2:$I$5001,$B$2:$B$5001,B3706,$A$2:$A$5001,"&lt;="&amp;A3706),"PR",""))</f>
        <v/>
      </c>
    </row>
    <row r="3707">
      <c r="A3707" s="7" t="n"/>
      <c r="H3707" s="11">
        <f>IF(OR(D3707="",E3707=""),"",D3707*E3707)</f>
        <v/>
      </c>
      <c r="I3707" s="8">
        <f>IF(OR(D3707="",E3707=""),"",E3707*(1+D3707/30))</f>
        <v/>
      </c>
      <c r="J3707">
        <f>IF(I3707="","",IF(I3707&gt;=MAXIFS($I$2:$I$5001,$B$2:$B$5001,B3707,$A$2:$A$5001,"&lt;="&amp;A3707),"PR",""))</f>
        <v/>
      </c>
    </row>
    <row r="3708">
      <c r="A3708" s="7" t="n"/>
      <c r="H3708" s="11">
        <f>IF(OR(D3708="",E3708=""),"",D3708*E3708)</f>
        <v/>
      </c>
      <c r="I3708" s="8">
        <f>IF(OR(D3708="",E3708=""),"",E3708*(1+D3708/30))</f>
        <v/>
      </c>
      <c r="J3708">
        <f>IF(I3708="","",IF(I3708&gt;=MAXIFS($I$2:$I$5001,$B$2:$B$5001,B3708,$A$2:$A$5001,"&lt;="&amp;A3708),"PR",""))</f>
        <v/>
      </c>
    </row>
    <row r="3709">
      <c r="A3709" s="7" t="n"/>
      <c r="H3709" s="11">
        <f>IF(OR(D3709="",E3709=""),"",D3709*E3709)</f>
        <v/>
      </c>
      <c r="I3709" s="8">
        <f>IF(OR(D3709="",E3709=""),"",E3709*(1+D3709/30))</f>
        <v/>
      </c>
      <c r="J3709">
        <f>IF(I3709="","",IF(I3709&gt;=MAXIFS($I$2:$I$5001,$B$2:$B$5001,B3709,$A$2:$A$5001,"&lt;="&amp;A3709),"PR",""))</f>
        <v/>
      </c>
    </row>
    <row r="3710">
      <c r="A3710" s="7" t="n"/>
      <c r="H3710" s="11">
        <f>IF(OR(D3710="",E3710=""),"",D3710*E3710)</f>
        <v/>
      </c>
      <c r="I3710" s="8">
        <f>IF(OR(D3710="",E3710=""),"",E3710*(1+D3710/30))</f>
        <v/>
      </c>
      <c r="J3710">
        <f>IF(I3710="","",IF(I3710&gt;=MAXIFS($I$2:$I$5001,$B$2:$B$5001,B3710,$A$2:$A$5001,"&lt;="&amp;A3710),"PR",""))</f>
        <v/>
      </c>
    </row>
    <row r="3711">
      <c r="A3711" s="7" t="n"/>
      <c r="H3711" s="11">
        <f>IF(OR(D3711="",E3711=""),"",D3711*E3711)</f>
        <v/>
      </c>
      <c r="I3711" s="8">
        <f>IF(OR(D3711="",E3711=""),"",E3711*(1+D3711/30))</f>
        <v/>
      </c>
      <c r="J3711">
        <f>IF(I3711="","",IF(I3711&gt;=MAXIFS($I$2:$I$5001,$B$2:$B$5001,B3711,$A$2:$A$5001,"&lt;="&amp;A3711),"PR",""))</f>
        <v/>
      </c>
    </row>
    <row r="3712">
      <c r="A3712" s="7" t="n"/>
      <c r="H3712" s="11">
        <f>IF(OR(D3712="",E3712=""),"",D3712*E3712)</f>
        <v/>
      </c>
      <c r="I3712" s="8">
        <f>IF(OR(D3712="",E3712=""),"",E3712*(1+D3712/30))</f>
        <v/>
      </c>
      <c r="J3712">
        <f>IF(I3712="","",IF(I3712&gt;=MAXIFS($I$2:$I$5001,$B$2:$B$5001,B3712,$A$2:$A$5001,"&lt;="&amp;A3712),"PR",""))</f>
        <v/>
      </c>
    </row>
    <row r="3713">
      <c r="A3713" s="7" t="n"/>
      <c r="H3713" s="11">
        <f>IF(OR(D3713="",E3713=""),"",D3713*E3713)</f>
        <v/>
      </c>
      <c r="I3713" s="8">
        <f>IF(OR(D3713="",E3713=""),"",E3713*(1+D3713/30))</f>
        <v/>
      </c>
      <c r="J3713">
        <f>IF(I3713="","",IF(I3713&gt;=MAXIFS($I$2:$I$5001,$B$2:$B$5001,B3713,$A$2:$A$5001,"&lt;="&amp;A3713),"PR",""))</f>
        <v/>
      </c>
    </row>
    <row r="3714">
      <c r="A3714" s="7" t="n"/>
      <c r="H3714" s="11">
        <f>IF(OR(D3714="",E3714=""),"",D3714*E3714)</f>
        <v/>
      </c>
      <c r="I3714" s="8">
        <f>IF(OR(D3714="",E3714=""),"",E3714*(1+D3714/30))</f>
        <v/>
      </c>
      <c r="J3714">
        <f>IF(I3714="","",IF(I3714&gt;=MAXIFS($I$2:$I$5001,$B$2:$B$5001,B3714,$A$2:$A$5001,"&lt;="&amp;A3714),"PR",""))</f>
        <v/>
      </c>
    </row>
    <row r="3715">
      <c r="A3715" s="7" t="n"/>
      <c r="H3715" s="11">
        <f>IF(OR(D3715="",E3715=""),"",D3715*E3715)</f>
        <v/>
      </c>
      <c r="I3715" s="8">
        <f>IF(OR(D3715="",E3715=""),"",E3715*(1+D3715/30))</f>
        <v/>
      </c>
      <c r="J3715">
        <f>IF(I3715="","",IF(I3715&gt;=MAXIFS($I$2:$I$5001,$B$2:$B$5001,B3715,$A$2:$A$5001,"&lt;="&amp;A3715),"PR",""))</f>
        <v/>
      </c>
    </row>
    <row r="3716">
      <c r="A3716" s="7" t="n"/>
      <c r="H3716" s="11">
        <f>IF(OR(D3716="",E3716=""),"",D3716*E3716)</f>
        <v/>
      </c>
      <c r="I3716" s="8">
        <f>IF(OR(D3716="",E3716=""),"",E3716*(1+D3716/30))</f>
        <v/>
      </c>
      <c r="J3716">
        <f>IF(I3716="","",IF(I3716&gt;=MAXIFS($I$2:$I$5001,$B$2:$B$5001,B3716,$A$2:$A$5001,"&lt;="&amp;A3716),"PR",""))</f>
        <v/>
      </c>
    </row>
    <row r="3717">
      <c r="A3717" s="7" t="n"/>
      <c r="H3717" s="11">
        <f>IF(OR(D3717="",E3717=""),"",D3717*E3717)</f>
        <v/>
      </c>
      <c r="I3717" s="8">
        <f>IF(OR(D3717="",E3717=""),"",E3717*(1+D3717/30))</f>
        <v/>
      </c>
      <c r="J3717">
        <f>IF(I3717="","",IF(I3717&gt;=MAXIFS($I$2:$I$5001,$B$2:$B$5001,B3717,$A$2:$A$5001,"&lt;="&amp;A3717),"PR",""))</f>
        <v/>
      </c>
    </row>
    <row r="3718">
      <c r="A3718" s="7" t="n"/>
      <c r="H3718" s="11">
        <f>IF(OR(D3718="",E3718=""),"",D3718*E3718)</f>
        <v/>
      </c>
      <c r="I3718" s="8">
        <f>IF(OR(D3718="",E3718=""),"",E3718*(1+D3718/30))</f>
        <v/>
      </c>
      <c r="J3718">
        <f>IF(I3718="","",IF(I3718&gt;=MAXIFS($I$2:$I$5001,$B$2:$B$5001,B3718,$A$2:$A$5001,"&lt;="&amp;A3718),"PR",""))</f>
        <v/>
      </c>
    </row>
    <row r="3719">
      <c r="A3719" s="7" t="n"/>
      <c r="H3719" s="11">
        <f>IF(OR(D3719="",E3719=""),"",D3719*E3719)</f>
        <v/>
      </c>
      <c r="I3719" s="8">
        <f>IF(OR(D3719="",E3719=""),"",E3719*(1+D3719/30))</f>
        <v/>
      </c>
      <c r="J3719">
        <f>IF(I3719="","",IF(I3719&gt;=MAXIFS($I$2:$I$5001,$B$2:$B$5001,B3719,$A$2:$A$5001,"&lt;="&amp;A3719),"PR",""))</f>
        <v/>
      </c>
    </row>
    <row r="3720">
      <c r="A3720" s="7" t="n"/>
      <c r="H3720" s="11">
        <f>IF(OR(D3720="",E3720=""),"",D3720*E3720)</f>
        <v/>
      </c>
      <c r="I3720" s="8">
        <f>IF(OR(D3720="",E3720=""),"",E3720*(1+D3720/30))</f>
        <v/>
      </c>
      <c r="J3720">
        <f>IF(I3720="","",IF(I3720&gt;=MAXIFS($I$2:$I$5001,$B$2:$B$5001,B3720,$A$2:$A$5001,"&lt;="&amp;A3720),"PR",""))</f>
        <v/>
      </c>
    </row>
    <row r="3721">
      <c r="A3721" s="7" t="n"/>
      <c r="H3721" s="11">
        <f>IF(OR(D3721="",E3721=""),"",D3721*E3721)</f>
        <v/>
      </c>
      <c r="I3721" s="8">
        <f>IF(OR(D3721="",E3721=""),"",E3721*(1+D3721/30))</f>
        <v/>
      </c>
      <c r="J3721">
        <f>IF(I3721="","",IF(I3721&gt;=MAXIFS($I$2:$I$5001,$B$2:$B$5001,B3721,$A$2:$A$5001,"&lt;="&amp;A3721),"PR",""))</f>
        <v/>
      </c>
    </row>
    <row r="3722">
      <c r="A3722" s="7" t="n"/>
      <c r="H3722" s="11">
        <f>IF(OR(D3722="",E3722=""),"",D3722*E3722)</f>
        <v/>
      </c>
      <c r="I3722" s="8">
        <f>IF(OR(D3722="",E3722=""),"",E3722*(1+D3722/30))</f>
        <v/>
      </c>
      <c r="J3722">
        <f>IF(I3722="","",IF(I3722&gt;=MAXIFS($I$2:$I$5001,$B$2:$B$5001,B3722,$A$2:$A$5001,"&lt;="&amp;A3722),"PR",""))</f>
        <v/>
      </c>
    </row>
    <row r="3723">
      <c r="A3723" s="7" t="n"/>
      <c r="H3723" s="11">
        <f>IF(OR(D3723="",E3723=""),"",D3723*E3723)</f>
        <v/>
      </c>
      <c r="I3723" s="8">
        <f>IF(OR(D3723="",E3723=""),"",E3723*(1+D3723/30))</f>
        <v/>
      </c>
      <c r="J3723">
        <f>IF(I3723="","",IF(I3723&gt;=MAXIFS($I$2:$I$5001,$B$2:$B$5001,B3723,$A$2:$A$5001,"&lt;="&amp;A3723),"PR",""))</f>
        <v/>
      </c>
    </row>
    <row r="3724">
      <c r="A3724" s="7" t="n"/>
      <c r="H3724" s="11">
        <f>IF(OR(D3724="",E3724=""),"",D3724*E3724)</f>
        <v/>
      </c>
      <c r="I3724" s="8">
        <f>IF(OR(D3724="",E3724=""),"",E3724*(1+D3724/30))</f>
        <v/>
      </c>
      <c r="J3724">
        <f>IF(I3724="","",IF(I3724&gt;=MAXIFS($I$2:$I$5001,$B$2:$B$5001,B3724,$A$2:$A$5001,"&lt;="&amp;A3724),"PR",""))</f>
        <v/>
      </c>
    </row>
    <row r="3725">
      <c r="A3725" s="7" t="n"/>
      <c r="H3725" s="11">
        <f>IF(OR(D3725="",E3725=""),"",D3725*E3725)</f>
        <v/>
      </c>
      <c r="I3725" s="8">
        <f>IF(OR(D3725="",E3725=""),"",E3725*(1+D3725/30))</f>
        <v/>
      </c>
      <c r="J3725">
        <f>IF(I3725="","",IF(I3725&gt;=MAXIFS($I$2:$I$5001,$B$2:$B$5001,B3725,$A$2:$A$5001,"&lt;="&amp;A3725),"PR",""))</f>
        <v/>
      </c>
    </row>
    <row r="3726">
      <c r="A3726" s="7" t="n"/>
      <c r="H3726" s="11">
        <f>IF(OR(D3726="",E3726=""),"",D3726*E3726)</f>
        <v/>
      </c>
      <c r="I3726" s="8">
        <f>IF(OR(D3726="",E3726=""),"",E3726*(1+D3726/30))</f>
        <v/>
      </c>
      <c r="J3726">
        <f>IF(I3726="","",IF(I3726&gt;=MAXIFS($I$2:$I$5001,$B$2:$B$5001,B3726,$A$2:$A$5001,"&lt;="&amp;A3726),"PR",""))</f>
        <v/>
      </c>
    </row>
    <row r="3727">
      <c r="A3727" s="7" t="n"/>
      <c r="H3727" s="11">
        <f>IF(OR(D3727="",E3727=""),"",D3727*E3727)</f>
        <v/>
      </c>
      <c r="I3727" s="8">
        <f>IF(OR(D3727="",E3727=""),"",E3727*(1+D3727/30))</f>
        <v/>
      </c>
      <c r="J3727">
        <f>IF(I3727="","",IF(I3727&gt;=MAXIFS($I$2:$I$5001,$B$2:$B$5001,B3727,$A$2:$A$5001,"&lt;="&amp;A3727),"PR",""))</f>
        <v/>
      </c>
    </row>
    <row r="3728">
      <c r="A3728" s="7" t="n"/>
      <c r="H3728" s="11">
        <f>IF(OR(D3728="",E3728=""),"",D3728*E3728)</f>
        <v/>
      </c>
      <c r="I3728" s="8">
        <f>IF(OR(D3728="",E3728=""),"",E3728*(1+D3728/30))</f>
        <v/>
      </c>
      <c r="J3728">
        <f>IF(I3728="","",IF(I3728&gt;=MAXIFS($I$2:$I$5001,$B$2:$B$5001,B3728,$A$2:$A$5001,"&lt;="&amp;A3728),"PR",""))</f>
        <v/>
      </c>
    </row>
    <row r="3729">
      <c r="A3729" s="7" t="n"/>
      <c r="H3729" s="11">
        <f>IF(OR(D3729="",E3729=""),"",D3729*E3729)</f>
        <v/>
      </c>
      <c r="I3729" s="8">
        <f>IF(OR(D3729="",E3729=""),"",E3729*(1+D3729/30))</f>
        <v/>
      </c>
      <c r="J3729">
        <f>IF(I3729="","",IF(I3729&gt;=MAXIFS($I$2:$I$5001,$B$2:$B$5001,B3729,$A$2:$A$5001,"&lt;="&amp;A3729),"PR",""))</f>
        <v/>
      </c>
    </row>
    <row r="3730">
      <c r="A3730" s="7" t="n"/>
      <c r="H3730" s="11">
        <f>IF(OR(D3730="",E3730=""),"",D3730*E3730)</f>
        <v/>
      </c>
      <c r="I3730" s="8">
        <f>IF(OR(D3730="",E3730=""),"",E3730*(1+D3730/30))</f>
        <v/>
      </c>
      <c r="J3730">
        <f>IF(I3730="","",IF(I3730&gt;=MAXIFS($I$2:$I$5001,$B$2:$B$5001,B3730,$A$2:$A$5001,"&lt;="&amp;A3730),"PR",""))</f>
        <v/>
      </c>
    </row>
    <row r="3731">
      <c r="A3731" s="7" t="n"/>
      <c r="H3731" s="11">
        <f>IF(OR(D3731="",E3731=""),"",D3731*E3731)</f>
        <v/>
      </c>
      <c r="I3731" s="8">
        <f>IF(OR(D3731="",E3731=""),"",E3731*(1+D3731/30))</f>
        <v/>
      </c>
      <c r="J3731">
        <f>IF(I3731="","",IF(I3731&gt;=MAXIFS($I$2:$I$5001,$B$2:$B$5001,B3731,$A$2:$A$5001,"&lt;="&amp;A3731),"PR",""))</f>
        <v/>
      </c>
    </row>
    <row r="3732">
      <c r="A3732" s="7" t="n"/>
      <c r="H3732" s="11">
        <f>IF(OR(D3732="",E3732=""),"",D3732*E3732)</f>
        <v/>
      </c>
      <c r="I3732" s="8">
        <f>IF(OR(D3732="",E3732=""),"",E3732*(1+D3732/30))</f>
        <v/>
      </c>
      <c r="J3732">
        <f>IF(I3732="","",IF(I3732&gt;=MAXIFS($I$2:$I$5001,$B$2:$B$5001,B3732,$A$2:$A$5001,"&lt;="&amp;A3732),"PR",""))</f>
        <v/>
      </c>
    </row>
    <row r="3733">
      <c r="A3733" s="7" t="n"/>
      <c r="H3733" s="11">
        <f>IF(OR(D3733="",E3733=""),"",D3733*E3733)</f>
        <v/>
      </c>
      <c r="I3733" s="8">
        <f>IF(OR(D3733="",E3733=""),"",E3733*(1+D3733/30))</f>
        <v/>
      </c>
      <c r="J3733">
        <f>IF(I3733="","",IF(I3733&gt;=MAXIFS($I$2:$I$5001,$B$2:$B$5001,B3733,$A$2:$A$5001,"&lt;="&amp;A3733),"PR",""))</f>
        <v/>
      </c>
    </row>
    <row r="3734">
      <c r="A3734" s="7" t="n"/>
      <c r="H3734" s="11">
        <f>IF(OR(D3734="",E3734=""),"",D3734*E3734)</f>
        <v/>
      </c>
      <c r="I3734" s="8">
        <f>IF(OR(D3734="",E3734=""),"",E3734*(1+D3734/30))</f>
        <v/>
      </c>
      <c r="J3734">
        <f>IF(I3734="","",IF(I3734&gt;=MAXIFS($I$2:$I$5001,$B$2:$B$5001,B3734,$A$2:$A$5001,"&lt;="&amp;A3734),"PR",""))</f>
        <v/>
      </c>
    </row>
    <row r="3735">
      <c r="A3735" s="7" t="n"/>
      <c r="H3735" s="11">
        <f>IF(OR(D3735="",E3735=""),"",D3735*E3735)</f>
        <v/>
      </c>
      <c r="I3735" s="8">
        <f>IF(OR(D3735="",E3735=""),"",E3735*(1+D3735/30))</f>
        <v/>
      </c>
      <c r="J3735">
        <f>IF(I3735="","",IF(I3735&gt;=MAXIFS($I$2:$I$5001,$B$2:$B$5001,B3735,$A$2:$A$5001,"&lt;="&amp;A3735),"PR",""))</f>
        <v/>
      </c>
    </row>
    <row r="3736">
      <c r="A3736" s="7" t="n"/>
      <c r="H3736" s="11">
        <f>IF(OR(D3736="",E3736=""),"",D3736*E3736)</f>
        <v/>
      </c>
      <c r="I3736" s="8">
        <f>IF(OR(D3736="",E3736=""),"",E3736*(1+D3736/30))</f>
        <v/>
      </c>
      <c r="J3736">
        <f>IF(I3736="","",IF(I3736&gt;=MAXIFS($I$2:$I$5001,$B$2:$B$5001,B3736,$A$2:$A$5001,"&lt;="&amp;A3736),"PR",""))</f>
        <v/>
      </c>
    </row>
    <row r="3737">
      <c r="A3737" s="7" t="n"/>
      <c r="H3737" s="11">
        <f>IF(OR(D3737="",E3737=""),"",D3737*E3737)</f>
        <v/>
      </c>
      <c r="I3737" s="8">
        <f>IF(OR(D3737="",E3737=""),"",E3737*(1+D3737/30))</f>
        <v/>
      </c>
      <c r="J3737">
        <f>IF(I3737="","",IF(I3737&gt;=MAXIFS($I$2:$I$5001,$B$2:$B$5001,B3737,$A$2:$A$5001,"&lt;="&amp;A3737),"PR",""))</f>
        <v/>
      </c>
    </row>
    <row r="3738">
      <c r="A3738" s="7" t="n"/>
      <c r="H3738" s="11">
        <f>IF(OR(D3738="",E3738=""),"",D3738*E3738)</f>
        <v/>
      </c>
      <c r="I3738" s="8">
        <f>IF(OR(D3738="",E3738=""),"",E3738*(1+D3738/30))</f>
        <v/>
      </c>
      <c r="J3738">
        <f>IF(I3738="","",IF(I3738&gt;=MAXIFS($I$2:$I$5001,$B$2:$B$5001,B3738,$A$2:$A$5001,"&lt;="&amp;A3738),"PR",""))</f>
        <v/>
      </c>
    </row>
    <row r="3739">
      <c r="A3739" s="7" t="n"/>
      <c r="H3739" s="11">
        <f>IF(OR(D3739="",E3739=""),"",D3739*E3739)</f>
        <v/>
      </c>
      <c r="I3739" s="8">
        <f>IF(OR(D3739="",E3739=""),"",E3739*(1+D3739/30))</f>
        <v/>
      </c>
      <c r="J3739">
        <f>IF(I3739="","",IF(I3739&gt;=MAXIFS($I$2:$I$5001,$B$2:$B$5001,B3739,$A$2:$A$5001,"&lt;="&amp;A3739),"PR",""))</f>
        <v/>
      </c>
    </row>
    <row r="3740">
      <c r="A3740" s="7" t="n"/>
      <c r="H3740" s="11">
        <f>IF(OR(D3740="",E3740=""),"",D3740*E3740)</f>
        <v/>
      </c>
      <c r="I3740" s="8">
        <f>IF(OR(D3740="",E3740=""),"",E3740*(1+D3740/30))</f>
        <v/>
      </c>
      <c r="J3740">
        <f>IF(I3740="","",IF(I3740&gt;=MAXIFS($I$2:$I$5001,$B$2:$B$5001,B3740,$A$2:$A$5001,"&lt;="&amp;A3740),"PR",""))</f>
        <v/>
      </c>
    </row>
    <row r="3741">
      <c r="A3741" s="7" t="n"/>
      <c r="H3741" s="11">
        <f>IF(OR(D3741="",E3741=""),"",D3741*E3741)</f>
        <v/>
      </c>
      <c r="I3741" s="8">
        <f>IF(OR(D3741="",E3741=""),"",E3741*(1+D3741/30))</f>
        <v/>
      </c>
      <c r="J3741">
        <f>IF(I3741="","",IF(I3741&gt;=MAXIFS($I$2:$I$5001,$B$2:$B$5001,B3741,$A$2:$A$5001,"&lt;="&amp;A3741),"PR",""))</f>
        <v/>
      </c>
    </row>
    <row r="3742">
      <c r="A3742" s="7" t="n"/>
      <c r="H3742" s="11">
        <f>IF(OR(D3742="",E3742=""),"",D3742*E3742)</f>
        <v/>
      </c>
      <c r="I3742" s="8">
        <f>IF(OR(D3742="",E3742=""),"",E3742*(1+D3742/30))</f>
        <v/>
      </c>
      <c r="J3742">
        <f>IF(I3742="","",IF(I3742&gt;=MAXIFS($I$2:$I$5001,$B$2:$B$5001,B3742,$A$2:$A$5001,"&lt;="&amp;A3742),"PR",""))</f>
        <v/>
      </c>
    </row>
    <row r="3743">
      <c r="A3743" s="7" t="n"/>
      <c r="H3743" s="11">
        <f>IF(OR(D3743="",E3743=""),"",D3743*E3743)</f>
        <v/>
      </c>
      <c r="I3743" s="8">
        <f>IF(OR(D3743="",E3743=""),"",E3743*(1+D3743/30))</f>
        <v/>
      </c>
      <c r="J3743">
        <f>IF(I3743="","",IF(I3743&gt;=MAXIFS($I$2:$I$5001,$B$2:$B$5001,B3743,$A$2:$A$5001,"&lt;="&amp;A3743),"PR",""))</f>
        <v/>
      </c>
    </row>
    <row r="3744">
      <c r="A3744" s="7" t="n"/>
      <c r="H3744" s="11">
        <f>IF(OR(D3744="",E3744=""),"",D3744*E3744)</f>
        <v/>
      </c>
      <c r="I3744" s="8">
        <f>IF(OR(D3744="",E3744=""),"",E3744*(1+D3744/30))</f>
        <v/>
      </c>
      <c r="J3744">
        <f>IF(I3744="","",IF(I3744&gt;=MAXIFS($I$2:$I$5001,$B$2:$B$5001,B3744,$A$2:$A$5001,"&lt;="&amp;A3744),"PR",""))</f>
        <v/>
      </c>
    </row>
    <row r="3745">
      <c r="A3745" s="7" t="n"/>
      <c r="H3745" s="11">
        <f>IF(OR(D3745="",E3745=""),"",D3745*E3745)</f>
        <v/>
      </c>
      <c r="I3745" s="8">
        <f>IF(OR(D3745="",E3745=""),"",E3745*(1+D3745/30))</f>
        <v/>
      </c>
      <c r="J3745">
        <f>IF(I3745="","",IF(I3745&gt;=MAXIFS($I$2:$I$5001,$B$2:$B$5001,B3745,$A$2:$A$5001,"&lt;="&amp;A3745),"PR",""))</f>
        <v/>
      </c>
    </row>
    <row r="3746">
      <c r="A3746" s="7" t="n"/>
      <c r="H3746" s="11">
        <f>IF(OR(D3746="",E3746=""),"",D3746*E3746)</f>
        <v/>
      </c>
      <c r="I3746" s="8">
        <f>IF(OR(D3746="",E3746=""),"",E3746*(1+D3746/30))</f>
        <v/>
      </c>
      <c r="J3746">
        <f>IF(I3746="","",IF(I3746&gt;=MAXIFS($I$2:$I$5001,$B$2:$B$5001,B3746,$A$2:$A$5001,"&lt;="&amp;A3746),"PR",""))</f>
        <v/>
      </c>
    </row>
    <row r="3747">
      <c r="A3747" s="7" t="n"/>
      <c r="H3747" s="11">
        <f>IF(OR(D3747="",E3747=""),"",D3747*E3747)</f>
        <v/>
      </c>
      <c r="I3747" s="8">
        <f>IF(OR(D3747="",E3747=""),"",E3747*(1+D3747/30))</f>
        <v/>
      </c>
      <c r="J3747">
        <f>IF(I3747="","",IF(I3747&gt;=MAXIFS($I$2:$I$5001,$B$2:$B$5001,B3747,$A$2:$A$5001,"&lt;="&amp;A3747),"PR",""))</f>
        <v/>
      </c>
    </row>
    <row r="3748">
      <c r="A3748" s="7" t="n"/>
      <c r="H3748" s="11">
        <f>IF(OR(D3748="",E3748=""),"",D3748*E3748)</f>
        <v/>
      </c>
      <c r="I3748" s="8">
        <f>IF(OR(D3748="",E3748=""),"",E3748*(1+D3748/30))</f>
        <v/>
      </c>
      <c r="J3748">
        <f>IF(I3748="","",IF(I3748&gt;=MAXIFS($I$2:$I$5001,$B$2:$B$5001,B3748,$A$2:$A$5001,"&lt;="&amp;A3748),"PR",""))</f>
        <v/>
      </c>
    </row>
    <row r="3749">
      <c r="A3749" s="7" t="n"/>
      <c r="H3749" s="11">
        <f>IF(OR(D3749="",E3749=""),"",D3749*E3749)</f>
        <v/>
      </c>
      <c r="I3749" s="8">
        <f>IF(OR(D3749="",E3749=""),"",E3749*(1+D3749/30))</f>
        <v/>
      </c>
      <c r="J3749">
        <f>IF(I3749="","",IF(I3749&gt;=MAXIFS($I$2:$I$5001,$B$2:$B$5001,B3749,$A$2:$A$5001,"&lt;="&amp;A3749),"PR",""))</f>
        <v/>
      </c>
    </row>
    <row r="3750">
      <c r="A3750" s="7" t="n"/>
      <c r="H3750" s="11">
        <f>IF(OR(D3750="",E3750=""),"",D3750*E3750)</f>
        <v/>
      </c>
      <c r="I3750" s="8">
        <f>IF(OR(D3750="",E3750=""),"",E3750*(1+D3750/30))</f>
        <v/>
      </c>
      <c r="J3750">
        <f>IF(I3750="","",IF(I3750&gt;=MAXIFS($I$2:$I$5001,$B$2:$B$5001,B3750,$A$2:$A$5001,"&lt;="&amp;A3750),"PR",""))</f>
        <v/>
      </c>
    </row>
    <row r="3751">
      <c r="A3751" s="7" t="n"/>
      <c r="H3751" s="11">
        <f>IF(OR(D3751="",E3751=""),"",D3751*E3751)</f>
        <v/>
      </c>
      <c r="I3751" s="8">
        <f>IF(OR(D3751="",E3751=""),"",E3751*(1+D3751/30))</f>
        <v/>
      </c>
      <c r="J3751">
        <f>IF(I3751="","",IF(I3751&gt;=MAXIFS($I$2:$I$5001,$B$2:$B$5001,B3751,$A$2:$A$5001,"&lt;="&amp;A3751),"PR",""))</f>
        <v/>
      </c>
    </row>
    <row r="3752">
      <c r="A3752" s="7" t="n"/>
      <c r="H3752" s="11">
        <f>IF(OR(D3752="",E3752=""),"",D3752*E3752)</f>
        <v/>
      </c>
      <c r="I3752" s="8">
        <f>IF(OR(D3752="",E3752=""),"",E3752*(1+D3752/30))</f>
        <v/>
      </c>
      <c r="J3752">
        <f>IF(I3752="","",IF(I3752&gt;=MAXIFS($I$2:$I$5001,$B$2:$B$5001,B3752,$A$2:$A$5001,"&lt;="&amp;A3752),"PR",""))</f>
        <v/>
      </c>
    </row>
    <row r="3753">
      <c r="A3753" s="7" t="n"/>
      <c r="H3753" s="11">
        <f>IF(OR(D3753="",E3753=""),"",D3753*E3753)</f>
        <v/>
      </c>
      <c r="I3753" s="8">
        <f>IF(OR(D3753="",E3753=""),"",E3753*(1+D3753/30))</f>
        <v/>
      </c>
      <c r="J3753">
        <f>IF(I3753="","",IF(I3753&gt;=MAXIFS($I$2:$I$5001,$B$2:$B$5001,B3753,$A$2:$A$5001,"&lt;="&amp;A3753),"PR",""))</f>
        <v/>
      </c>
    </row>
    <row r="3754">
      <c r="A3754" s="7" t="n"/>
      <c r="H3754" s="11">
        <f>IF(OR(D3754="",E3754=""),"",D3754*E3754)</f>
        <v/>
      </c>
      <c r="I3754" s="8">
        <f>IF(OR(D3754="",E3754=""),"",E3754*(1+D3754/30))</f>
        <v/>
      </c>
      <c r="J3754">
        <f>IF(I3754="","",IF(I3754&gt;=MAXIFS($I$2:$I$5001,$B$2:$B$5001,B3754,$A$2:$A$5001,"&lt;="&amp;A3754),"PR",""))</f>
        <v/>
      </c>
    </row>
    <row r="3755">
      <c r="A3755" s="7" t="n"/>
      <c r="H3755" s="11">
        <f>IF(OR(D3755="",E3755=""),"",D3755*E3755)</f>
        <v/>
      </c>
      <c r="I3755" s="8">
        <f>IF(OR(D3755="",E3755=""),"",E3755*(1+D3755/30))</f>
        <v/>
      </c>
      <c r="J3755">
        <f>IF(I3755="","",IF(I3755&gt;=MAXIFS($I$2:$I$5001,$B$2:$B$5001,B3755,$A$2:$A$5001,"&lt;="&amp;A3755),"PR",""))</f>
        <v/>
      </c>
    </row>
    <row r="3756">
      <c r="A3756" s="7" t="n"/>
      <c r="H3756" s="11">
        <f>IF(OR(D3756="",E3756=""),"",D3756*E3756)</f>
        <v/>
      </c>
      <c r="I3756" s="8">
        <f>IF(OR(D3756="",E3756=""),"",E3756*(1+D3756/30))</f>
        <v/>
      </c>
      <c r="J3756">
        <f>IF(I3756="","",IF(I3756&gt;=MAXIFS($I$2:$I$5001,$B$2:$B$5001,B3756,$A$2:$A$5001,"&lt;="&amp;A3756),"PR",""))</f>
        <v/>
      </c>
    </row>
    <row r="3757">
      <c r="A3757" s="7" t="n"/>
      <c r="H3757" s="11">
        <f>IF(OR(D3757="",E3757=""),"",D3757*E3757)</f>
        <v/>
      </c>
      <c r="I3757" s="8">
        <f>IF(OR(D3757="",E3757=""),"",E3757*(1+D3757/30))</f>
        <v/>
      </c>
      <c r="J3757">
        <f>IF(I3757="","",IF(I3757&gt;=MAXIFS($I$2:$I$5001,$B$2:$B$5001,B3757,$A$2:$A$5001,"&lt;="&amp;A3757),"PR",""))</f>
        <v/>
      </c>
    </row>
    <row r="3758">
      <c r="A3758" s="7" t="n"/>
      <c r="H3758" s="11">
        <f>IF(OR(D3758="",E3758=""),"",D3758*E3758)</f>
        <v/>
      </c>
      <c r="I3758" s="8">
        <f>IF(OR(D3758="",E3758=""),"",E3758*(1+D3758/30))</f>
        <v/>
      </c>
      <c r="J3758">
        <f>IF(I3758="","",IF(I3758&gt;=MAXIFS($I$2:$I$5001,$B$2:$B$5001,B3758,$A$2:$A$5001,"&lt;="&amp;A3758),"PR",""))</f>
        <v/>
      </c>
    </row>
    <row r="3759">
      <c r="A3759" s="7" t="n"/>
      <c r="H3759" s="11">
        <f>IF(OR(D3759="",E3759=""),"",D3759*E3759)</f>
        <v/>
      </c>
      <c r="I3759" s="8">
        <f>IF(OR(D3759="",E3759=""),"",E3759*(1+D3759/30))</f>
        <v/>
      </c>
      <c r="J3759">
        <f>IF(I3759="","",IF(I3759&gt;=MAXIFS($I$2:$I$5001,$B$2:$B$5001,B3759,$A$2:$A$5001,"&lt;="&amp;A3759),"PR",""))</f>
        <v/>
      </c>
    </row>
    <row r="3760">
      <c r="A3760" s="7" t="n"/>
      <c r="H3760" s="11">
        <f>IF(OR(D3760="",E3760=""),"",D3760*E3760)</f>
        <v/>
      </c>
      <c r="I3760" s="8">
        <f>IF(OR(D3760="",E3760=""),"",E3760*(1+D3760/30))</f>
        <v/>
      </c>
      <c r="J3760">
        <f>IF(I3760="","",IF(I3760&gt;=MAXIFS($I$2:$I$5001,$B$2:$B$5001,B3760,$A$2:$A$5001,"&lt;="&amp;A3760),"PR",""))</f>
        <v/>
      </c>
    </row>
    <row r="3761">
      <c r="A3761" s="7" t="n"/>
      <c r="H3761" s="11">
        <f>IF(OR(D3761="",E3761=""),"",D3761*E3761)</f>
        <v/>
      </c>
      <c r="I3761" s="8">
        <f>IF(OR(D3761="",E3761=""),"",E3761*(1+D3761/30))</f>
        <v/>
      </c>
      <c r="J3761">
        <f>IF(I3761="","",IF(I3761&gt;=MAXIFS($I$2:$I$5001,$B$2:$B$5001,B3761,$A$2:$A$5001,"&lt;="&amp;A3761),"PR",""))</f>
        <v/>
      </c>
    </row>
    <row r="3762">
      <c r="A3762" s="7" t="n"/>
      <c r="H3762" s="11">
        <f>IF(OR(D3762="",E3762=""),"",D3762*E3762)</f>
        <v/>
      </c>
      <c r="I3762" s="8">
        <f>IF(OR(D3762="",E3762=""),"",E3762*(1+D3762/30))</f>
        <v/>
      </c>
      <c r="J3762">
        <f>IF(I3762="","",IF(I3762&gt;=MAXIFS($I$2:$I$5001,$B$2:$B$5001,B3762,$A$2:$A$5001,"&lt;="&amp;A3762),"PR",""))</f>
        <v/>
      </c>
    </row>
    <row r="3763">
      <c r="A3763" s="7" t="n"/>
      <c r="H3763" s="11">
        <f>IF(OR(D3763="",E3763=""),"",D3763*E3763)</f>
        <v/>
      </c>
      <c r="I3763" s="8">
        <f>IF(OR(D3763="",E3763=""),"",E3763*(1+D3763/30))</f>
        <v/>
      </c>
      <c r="J3763">
        <f>IF(I3763="","",IF(I3763&gt;=MAXIFS($I$2:$I$5001,$B$2:$B$5001,B3763,$A$2:$A$5001,"&lt;="&amp;A3763),"PR",""))</f>
        <v/>
      </c>
    </row>
    <row r="3764">
      <c r="A3764" s="7" t="n"/>
      <c r="H3764" s="11">
        <f>IF(OR(D3764="",E3764=""),"",D3764*E3764)</f>
        <v/>
      </c>
      <c r="I3764" s="8">
        <f>IF(OR(D3764="",E3764=""),"",E3764*(1+D3764/30))</f>
        <v/>
      </c>
      <c r="J3764">
        <f>IF(I3764="","",IF(I3764&gt;=MAXIFS($I$2:$I$5001,$B$2:$B$5001,B3764,$A$2:$A$5001,"&lt;="&amp;A3764),"PR",""))</f>
        <v/>
      </c>
    </row>
    <row r="3765">
      <c r="A3765" s="7" t="n"/>
      <c r="H3765" s="11">
        <f>IF(OR(D3765="",E3765=""),"",D3765*E3765)</f>
        <v/>
      </c>
      <c r="I3765" s="8">
        <f>IF(OR(D3765="",E3765=""),"",E3765*(1+D3765/30))</f>
        <v/>
      </c>
      <c r="J3765">
        <f>IF(I3765="","",IF(I3765&gt;=MAXIFS($I$2:$I$5001,$B$2:$B$5001,B3765,$A$2:$A$5001,"&lt;="&amp;A3765),"PR",""))</f>
        <v/>
      </c>
    </row>
    <row r="3766">
      <c r="A3766" s="7" t="n"/>
      <c r="H3766" s="11">
        <f>IF(OR(D3766="",E3766=""),"",D3766*E3766)</f>
        <v/>
      </c>
      <c r="I3766" s="8">
        <f>IF(OR(D3766="",E3766=""),"",E3766*(1+D3766/30))</f>
        <v/>
      </c>
      <c r="J3766">
        <f>IF(I3766="","",IF(I3766&gt;=MAXIFS($I$2:$I$5001,$B$2:$B$5001,B3766,$A$2:$A$5001,"&lt;="&amp;A3766),"PR",""))</f>
        <v/>
      </c>
    </row>
    <row r="3767">
      <c r="A3767" s="7" t="n"/>
      <c r="H3767" s="11">
        <f>IF(OR(D3767="",E3767=""),"",D3767*E3767)</f>
        <v/>
      </c>
      <c r="I3767" s="8">
        <f>IF(OR(D3767="",E3767=""),"",E3767*(1+D3767/30))</f>
        <v/>
      </c>
      <c r="J3767">
        <f>IF(I3767="","",IF(I3767&gt;=MAXIFS($I$2:$I$5001,$B$2:$B$5001,B3767,$A$2:$A$5001,"&lt;="&amp;A3767),"PR",""))</f>
        <v/>
      </c>
    </row>
    <row r="3768">
      <c r="A3768" s="7" t="n"/>
      <c r="H3768" s="11">
        <f>IF(OR(D3768="",E3768=""),"",D3768*E3768)</f>
        <v/>
      </c>
      <c r="I3768" s="8">
        <f>IF(OR(D3768="",E3768=""),"",E3768*(1+D3768/30))</f>
        <v/>
      </c>
      <c r="J3768">
        <f>IF(I3768="","",IF(I3768&gt;=MAXIFS($I$2:$I$5001,$B$2:$B$5001,B3768,$A$2:$A$5001,"&lt;="&amp;A3768),"PR",""))</f>
        <v/>
      </c>
    </row>
    <row r="3769">
      <c r="A3769" s="7" t="n"/>
      <c r="H3769" s="11">
        <f>IF(OR(D3769="",E3769=""),"",D3769*E3769)</f>
        <v/>
      </c>
      <c r="I3769" s="8">
        <f>IF(OR(D3769="",E3769=""),"",E3769*(1+D3769/30))</f>
        <v/>
      </c>
      <c r="J3769">
        <f>IF(I3769="","",IF(I3769&gt;=MAXIFS($I$2:$I$5001,$B$2:$B$5001,B3769,$A$2:$A$5001,"&lt;="&amp;A3769),"PR",""))</f>
        <v/>
      </c>
    </row>
    <row r="3770">
      <c r="A3770" s="7" t="n"/>
      <c r="H3770" s="11">
        <f>IF(OR(D3770="",E3770=""),"",D3770*E3770)</f>
        <v/>
      </c>
      <c r="I3770" s="8">
        <f>IF(OR(D3770="",E3770=""),"",E3770*(1+D3770/30))</f>
        <v/>
      </c>
      <c r="J3770">
        <f>IF(I3770="","",IF(I3770&gt;=MAXIFS($I$2:$I$5001,$B$2:$B$5001,B3770,$A$2:$A$5001,"&lt;="&amp;A3770),"PR",""))</f>
        <v/>
      </c>
    </row>
    <row r="3771">
      <c r="A3771" s="7" t="n"/>
      <c r="H3771" s="11">
        <f>IF(OR(D3771="",E3771=""),"",D3771*E3771)</f>
        <v/>
      </c>
      <c r="I3771" s="8">
        <f>IF(OR(D3771="",E3771=""),"",E3771*(1+D3771/30))</f>
        <v/>
      </c>
      <c r="J3771">
        <f>IF(I3771="","",IF(I3771&gt;=MAXIFS($I$2:$I$5001,$B$2:$B$5001,B3771,$A$2:$A$5001,"&lt;="&amp;A3771),"PR",""))</f>
        <v/>
      </c>
    </row>
    <row r="3772">
      <c r="A3772" s="7" t="n"/>
      <c r="H3772" s="11">
        <f>IF(OR(D3772="",E3772=""),"",D3772*E3772)</f>
        <v/>
      </c>
      <c r="I3772" s="8">
        <f>IF(OR(D3772="",E3772=""),"",E3772*(1+D3772/30))</f>
        <v/>
      </c>
      <c r="J3772">
        <f>IF(I3772="","",IF(I3772&gt;=MAXIFS($I$2:$I$5001,$B$2:$B$5001,B3772,$A$2:$A$5001,"&lt;="&amp;A3772),"PR",""))</f>
        <v/>
      </c>
    </row>
    <row r="3773">
      <c r="A3773" s="7" t="n"/>
      <c r="H3773" s="11">
        <f>IF(OR(D3773="",E3773=""),"",D3773*E3773)</f>
        <v/>
      </c>
      <c r="I3773" s="8">
        <f>IF(OR(D3773="",E3773=""),"",E3773*(1+D3773/30))</f>
        <v/>
      </c>
      <c r="J3773">
        <f>IF(I3773="","",IF(I3773&gt;=MAXIFS($I$2:$I$5001,$B$2:$B$5001,B3773,$A$2:$A$5001,"&lt;="&amp;A3773),"PR",""))</f>
        <v/>
      </c>
    </row>
    <row r="3774">
      <c r="A3774" s="7" t="n"/>
      <c r="H3774" s="11">
        <f>IF(OR(D3774="",E3774=""),"",D3774*E3774)</f>
        <v/>
      </c>
      <c r="I3774" s="8">
        <f>IF(OR(D3774="",E3774=""),"",E3774*(1+D3774/30))</f>
        <v/>
      </c>
      <c r="J3774">
        <f>IF(I3774="","",IF(I3774&gt;=MAXIFS($I$2:$I$5001,$B$2:$B$5001,B3774,$A$2:$A$5001,"&lt;="&amp;A3774),"PR",""))</f>
        <v/>
      </c>
    </row>
    <row r="3775">
      <c r="A3775" s="7" t="n"/>
      <c r="H3775" s="11">
        <f>IF(OR(D3775="",E3775=""),"",D3775*E3775)</f>
        <v/>
      </c>
      <c r="I3775" s="8">
        <f>IF(OR(D3775="",E3775=""),"",E3775*(1+D3775/30))</f>
        <v/>
      </c>
      <c r="J3775">
        <f>IF(I3775="","",IF(I3775&gt;=MAXIFS($I$2:$I$5001,$B$2:$B$5001,B3775,$A$2:$A$5001,"&lt;="&amp;A3775),"PR",""))</f>
        <v/>
      </c>
    </row>
    <row r="3776">
      <c r="A3776" s="7" t="n"/>
      <c r="H3776" s="11">
        <f>IF(OR(D3776="",E3776=""),"",D3776*E3776)</f>
        <v/>
      </c>
      <c r="I3776" s="8">
        <f>IF(OR(D3776="",E3776=""),"",E3776*(1+D3776/30))</f>
        <v/>
      </c>
      <c r="J3776">
        <f>IF(I3776="","",IF(I3776&gt;=MAXIFS($I$2:$I$5001,$B$2:$B$5001,B3776,$A$2:$A$5001,"&lt;="&amp;A3776),"PR",""))</f>
        <v/>
      </c>
    </row>
    <row r="3777">
      <c r="A3777" s="7" t="n"/>
      <c r="H3777" s="11">
        <f>IF(OR(D3777="",E3777=""),"",D3777*E3777)</f>
        <v/>
      </c>
      <c r="I3777" s="8">
        <f>IF(OR(D3777="",E3777=""),"",E3777*(1+D3777/30))</f>
        <v/>
      </c>
      <c r="J3777">
        <f>IF(I3777="","",IF(I3777&gt;=MAXIFS($I$2:$I$5001,$B$2:$B$5001,B3777,$A$2:$A$5001,"&lt;="&amp;A3777),"PR",""))</f>
        <v/>
      </c>
    </row>
    <row r="3778">
      <c r="A3778" s="7" t="n"/>
      <c r="H3778" s="11">
        <f>IF(OR(D3778="",E3778=""),"",D3778*E3778)</f>
        <v/>
      </c>
      <c r="I3778" s="8">
        <f>IF(OR(D3778="",E3778=""),"",E3778*(1+D3778/30))</f>
        <v/>
      </c>
      <c r="J3778">
        <f>IF(I3778="","",IF(I3778&gt;=MAXIFS($I$2:$I$5001,$B$2:$B$5001,B3778,$A$2:$A$5001,"&lt;="&amp;A3778),"PR",""))</f>
        <v/>
      </c>
    </row>
    <row r="3779">
      <c r="A3779" s="7" t="n"/>
      <c r="H3779" s="11">
        <f>IF(OR(D3779="",E3779=""),"",D3779*E3779)</f>
        <v/>
      </c>
      <c r="I3779" s="8">
        <f>IF(OR(D3779="",E3779=""),"",E3779*(1+D3779/30))</f>
        <v/>
      </c>
      <c r="J3779">
        <f>IF(I3779="","",IF(I3779&gt;=MAXIFS($I$2:$I$5001,$B$2:$B$5001,B3779,$A$2:$A$5001,"&lt;="&amp;A3779),"PR",""))</f>
        <v/>
      </c>
    </row>
    <row r="3780">
      <c r="A3780" s="7" t="n"/>
      <c r="H3780" s="11">
        <f>IF(OR(D3780="",E3780=""),"",D3780*E3780)</f>
        <v/>
      </c>
      <c r="I3780" s="8">
        <f>IF(OR(D3780="",E3780=""),"",E3780*(1+D3780/30))</f>
        <v/>
      </c>
      <c r="J3780">
        <f>IF(I3780="","",IF(I3780&gt;=MAXIFS($I$2:$I$5001,$B$2:$B$5001,B3780,$A$2:$A$5001,"&lt;="&amp;A3780),"PR",""))</f>
        <v/>
      </c>
    </row>
    <row r="3781">
      <c r="A3781" s="7" t="n"/>
      <c r="H3781" s="11">
        <f>IF(OR(D3781="",E3781=""),"",D3781*E3781)</f>
        <v/>
      </c>
      <c r="I3781" s="8">
        <f>IF(OR(D3781="",E3781=""),"",E3781*(1+D3781/30))</f>
        <v/>
      </c>
      <c r="J3781">
        <f>IF(I3781="","",IF(I3781&gt;=MAXIFS($I$2:$I$5001,$B$2:$B$5001,B3781,$A$2:$A$5001,"&lt;="&amp;A3781),"PR",""))</f>
        <v/>
      </c>
    </row>
    <row r="3782">
      <c r="A3782" s="7" t="n"/>
      <c r="H3782" s="11">
        <f>IF(OR(D3782="",E3782=""),"",D3782*E3782)</f>
        <v/>
      </c>
      <c r="I3782" s="8">
        <f>IF(OR(D3782="",E3782=""),"",E3782*(1+D3782/30))</f>
        <v/>
      </c>
      <c r="J3782">
        <f>IF(I3782="","",IF(I3782&gt;=MAXIFS($I$2:$I$5001,$B$2:$B$5001,B3782,$A$2:$A$5001,"&lt;="&amp;A3782),"PR",""))</f>
        <v/>
      </c>
    </row>
    <row r="3783">
      <c r="A3783" s="7" t="n"/>
      <c r="H3783" s="11">
        <f>IF(OR(D3783="",E3783=""),"",D3783*E3783)</f>
        <v/>
      </c>
      <c r="I3783" s="8">
        <f>IF(OR(D3783="",E3783=""),"",E3783*(1+D3783/30))</f>
        <v/>
      </c>
      <c r="J3783">
        <f>IF(I3783="","",IF(I3783&gt;=MAXIFS($I$2:$I$5001,$B$2:$B$5001,B3783,$A$2:$A$5001,"&lt;="&amp;A3783),"PR",""))</f>
        <v/>
      </c>
    </row>
    <row r="3784">
      <c r="A3784" s="7" t="n"/>
      <c r="H3784" s="11">
        <f>IF(OR(D3784="",E3784=""),"",D3784*E3784)</f>
        <v/>
      </c>
      <c r="I3784" s="8">
        <f>IF(OR(D3784="",E3784=""),"",E3784*(1+D3784/30))</f>
        <v/>
      </c>
      <c r="J3784">
        <f>IF(I3784="","",IF(I3784&gt;=MAXIFS($I$2:$I$5001,$B$2:$B$5001,B3784,$A$2:$A$5001,"&lt;="&amp;A3784),"PR",""))</f>
        <v/>
      </c>
    </row>
    <row r="3785">
      <c r="A3785" s="7" t="n"/>
      <c r="H3785" s="11">
        <f>IF(OR(D3785="",E3785=""),"",D3785*E3785)</f>
        <v/>
      </c>
      <c r="I3785" s="8">
        <f>IF(OR(D3785="",E3785=""),"",E3785*(1+D3785/30))</f>
        <v/>
      </c>
      <c r="J3785">
        <f>IF(I3785="","",IF(I3785&gt;=MAXIFS($I$2:$I$5001,$B$2:$B$5001,B3785,$A$2:$A$5001,"&lt;="&amp;A3785),"PR",""))</f>
        <v/>
      </c>
    </row>
    <row r="3786">
      <c r="A3786" s="7" t="n"/>
      <c r="H3786" s="11">
        <f>IF(OR(D3786="",E3786=""),"",D3786*E3786)</f>
        <v/>
      </c>
      <c r="I3786" s="8">
        <f>IF(OR(D3786="",E3786=""),"",E3786*(1+D3786/30))</f>
        <v/>
      </c>
      <c r="J3786">
        <f>IF(I3786="","",IF(I3786&gt;=MAXIFS($I$2:$I$5001,$B$2:$B$5001,B3786,$A$2:$A$5001,"&lt;="&amp;A3786),"PR",""))</f>
        <v/>
      </c>
    </row>
    <row r="3787">
      <c r="A3787" s="7" t="n"/>
      <c r="H3787" s="11">
        <f>IF(OR(D3787="",E3787=""),"",D3787*E3787)</f>
        <v/>
      </c>
      <c r="I3787" s="8">
        <f>IF(OR(D3787="",E3787=""),"",E3787*(1+D3787/30))</f>
        <v/>
      </c>
      <c r="J3787">
        <f>IF(I3787="","",IF(I3787&gt;=MAXIFS($I$2:$I$5001,$B$2:$B$5001,B3787,$A$2:$A$5001,"&lt;="&amp;A3787),"PR",""))</f>
        <v/>
      </c>
    </row>
    <row r="3788">
      <c r="A3788" s="7" t="n"/>
      <c r="H3788" s="11">
        <f>IF(OR(D3788="",E3788=""),"",D3788*E3788)</f>
        <v/>
      </c>
      <c r="I3788" s="8">
        <f>IF(OR(D3788="",E3788=""),"",E3788*(1+D3788/30))</f>
        <v/>
      </c>
      <c r="J3788">
        <f>IF(I3788="","",IF(I3788&gt;=MAXIFS($I$2:$I$5001,$B$2:$B$5001,B3788,$A$2:$A$5001,"&lt;="&amp;A3788),"PR",""))</f>
        <v/>
      </c>
    </row>
    <row r="3789">
      <c r="A3789" s="7" t="n"/>
      <c r="H3789" s="11">
        <f>IF(OR(D3789="",E3789=""),"",D3789*E3789)</f>
        <v/>
      </c>
      <c r="I3789" s="8">
        <f>IF(OR(D3789="",E3789=""),"",E3789*(1+D3789/30))</f>
        <v/>
      </c>
      <c r="J3789">
        <f>IF(I3789="","",IF(I3789&gt;=MAXIFS($I$2:$I$5001,$B$2:$B$5001,B3789,$A$2:$A$5001,"&lt;="&amp;A3789),"PR",""))</f>
        <v/>
      </c>
    </row>
    <row r="3790">
      <c r="A3790" s="7" t="n"/>
      <c r="H3790" s="11">
        <f>IF(OR(D3790="",E3790=""),"",D3790*E3790)</f>
        <v/>
      </c>
      <c r="I3790" s="8">
        <f>IF(OR(D3790="",E3790=""),"",E3790*(1+D3790/30))</f>
        <v/>
      </c>
      <c r="J3790">
        <f>IF(I3790="","",IF(I3790&gt;=MAXIFS($I$2:$I$5001,$B$2:$B$5001,B3790,$A$2:$A$5001,"&lt;="&amp;A3790),"PR",""))</f>
        <v/>
      </c>
    </row>
    <row r="3791">
      <c r="A3791" s="7" t="n"/>
      <c r="H3791" s="11">
        <f>IF(OR(D3791="",E3791=""),"",D3791*E3791)</f>
        <v/>
      </c>
      <c r="I3791" s="8">
        <f>IF(OR(D3791="",E3791=""),"",E3791*(1+D3791/30))</f>
        <v/>
      </c>
      <c r="J3791">
        <f>IF(I3791="","",IF(I3791&gt;=MAXIFS($I$2:$I$5001,$B$2:$B$5001,B3791,$A$2:$A$5001,"&lt;="&amp;A3791),"PR",""))</f>
        <v/>
      </c>
    </row>
    <row r="3792">
      <c r="A3792" s="7" t="n"/>
      <c r="H3792" s="11">
        <f>IF(OR(D3792="",E3792=""),"",D3792*E3792)</f>
        <v/>
      </c>
      <c r="I3792" s="8">
        <f>IF(OR(D3792="",E3792=""),"",E3792*(1+D3792/30))</f>
        <v/>
      </c>
      <c r="J3792">
        <f>IF(I3792="","",IF(I3792&gt;=MAXIFS($I$2:$I$5001,$B$2:$B$5001,B3792,$A$2:$A$5001,"&lt;="&amp;A3792),"PR",""))</f>
        <v/>
      </c>
    </row>
    <row r="3793">
      <c r="A3793" s="7" t="n"/>
      <c r="H3793" s="11">
        <f>IF(OR(D3793="",E3793=""),"",D3793*E3793)</f>
        <v/>
      </c>
      <c r="I3793" s="8">
        <f>IF(OR(D3793="",E3793=""),"",E3793*(1+D3793/30))</f>
        <v/>
      </c>
      <c r="J3793">
        <f>IF(I3793="","",IF(I3793&gt;=MAXIFS($I$2:$I$5001,$B$2:$B$5001,B3793,$A$2:$A$5001,"&lt;="&amp;A3793),"PR",""))</f>
        <v/>
      </c>
    </row>
    <row r="3794">
      <c r="A3794" s="7" t="n"/>
      <c r="H3794" s="11">
        <f>IF(OR(D3794="",E3794=""),"",D3794*E3794)</f>
        <v/>
      </c>
      <c r="I3794" s="8">
        <f>IF(OR(D3794="",E3794=""),"",E3794*(1+D3794/30))</f>
        <v/>
      </c>
      <c r="J3794">
        <f>IF(I3794="","",IF(I3794&gt;=MAXIFS($I$2:$I$5001,$B$2:$B$5001,B3794,$A$2:$A$5001,"&lt;="&amp;A3794),"PR",""))</f>
        <v/>
      </c>
    </row>
    <row r="3795">
      <c r="A3795" s="7" t="n"/>
      <c r="H3795" s="11">
        <f>IF(OR(D3795="",E3795=""),"",D3795*E3795)</f>
        <v/>
      </c>
      <c r="I3795" s="8">
        <f>IF(OR(D3795="",E3795=""),"",E3795*(1+D3795/30))</f>
        <v/>
      </c>
      <c r="J3795">
        <f>IF(I3795="","",IF(I3795&gt;=MAXIFS($I$2:$I$5001,$B$2:$B$5001,B3795,$A$2:$A$5001,"&lt;="&amp;A3795),"PR",""))</f>
        <v/>
      </c>
    </row>
    <row r="3796">
      <c r="A3796" s="7" t="n"/>
      <c r="H3796" s="11">
        <f>IF(OR(D3796="",E3796=""),"",D3796*E3796)</f>
        <v/>
      </c>
      <c r="I3796" s="8">
        <f>IF(OR(D3796="",E3796=""),"",E3796*(1+D3796/30))</f>
        <v/>
      </c>
      <c r="J3796">
        <f>IF(I3796="","",IF(I3796&gt;=MAXIFS($I$2:$I$5001,$B$2:$B$5001,B3796,$A$2:$A$5001,"&lt;="&amp;A3796),"PR",""))</f>
        <v/>
      </c>
    </row>
    <row r="3797">
      <c r="A3797" s="7" t="n"/>
      <c r="H3797" s="11">
        <f>IF(OR(D3797="",E3797=""),"",D3797*E3797)</f>
        <v/>
      </c>
      <c r="I3797" s="8">
        <f>IF(OR(D3797="",E3797=""),"",E3797*(1+D3797/30))</f>
        <v/>
      </c>
      <c r="J3797">
        <f>IF(I3797="","",IF(I3797&gt;=MAXIFS($I$2:$I$5001,$B$2:$B$5001,B3797,$A$2:$A$5001,"&lt;="&amp;A3797),"PR",""))</f>
        <v/>
      </c>
    </row>
    <row r="3798">
      <c r="A3798" s="7" t="n"/>
      <c r="H3798" s="11">
        <f>IF(OR(D3798="",E3798=""),"",D3798*E3798)</f>
        <v/>
      </c>
      <c r="I3798" s="8">
        <f>IF(OR(D3798="",E3798=""),"",E3798*(1+D3798/30))</f>
        <v/>
      </c>
      <c r="J3798">
        <f>IF(I3798="","",IF(I3798&gt;=MAXIFS($I$2:$I$5001,$B$2:$B$5001,B3798,$A$2:$A$5001,"&lt;="&amp;A3798),"PR",""))</f>
        <v/>
      </c>
    </row>
    <row r="3799">
      <c r="A3799" s="7" t="n"/>
      <c r="H3799" s="11">
        <f>IF(OR(D3799="",E3799=""),"",D3799*E3799)</f>
        <v/>
      </c>
      <c r="I3799" s="8">
        <f>IF(OR(D3799="",E3799=""),"",E3799*(1+D3799/30))</f>
        <v/>
      </c>
      <c r="J3799">
        <f>IF(I3799="","",IF(I3799&gt;=MAXIFS($I$2:$I$5001,$B$2:$B$5001,B3799,$A$2:$A$5001,"&lt;="&amp;A3799),"PR",""))</f>
        <v/>
      </c>
    </row>
    <row r="3800">
      <c r="A3800" s="7" t="n"/>
      <c r="H3800" s="11">
        <f>IF(OR(D3800="",E3800=""),"",D3800*E3800)</f>
        <v/>
      </c>
      <c r="I3800" s="8">
        <f>IF(OR(D3800="",E3800=""),"",E3800*(1+D3800/30))</f>
        <v/>
      </c>
      <c r="J3800">
        <f>IF(I3800="","",IF(I3800&gt;=MAXIFS($I$2:$I$5001,$B$2:$B$5001,B3800,$A$2:$A$5001,"&lt;="&amp;A3800),"PR",""))</f>
        <v/>
      </c>
    </row>
    <row r="3801">
      <c r="A3801" s="7" t="n"/>
      <c r="H3801" s="11">
        <f>IF(OR(D3801="",E3801=""),"",D3801*E3801)</f>
        <v/>
      </c>
      <c r="I3801" s="8">
        <f>IF(OR(D3801="",E3801=""),"",E3801*(1+D3801/30))</f>
        <v/>
      </c>
      <c r="J3801">
        <f>IF(I3801="","",IF(I3801&gt;=MAXIFS($I$2:$I$5001,$B$2:$B$5001,B3801,$A$2:$A$5001,"&lt;="&amp;A3801),"PR",""))</f>
        <v/>
      </c>
    </row>
    <row r="3802">
      <c r="A3802" s="7" t="n"/>
      <c r="H3802" s="11">
        <f>IF(OR(D3802="",E3802=""),"",D3802*E3802)</f>
        <v/>
      </c>
      <c r="I3802" s="8">
        <f>IF(OR(D3802="",E3802=""),"",E3802*(1+D3802/30))</f>
        <v/>
      </c>
      <c r="J3802">
        <f>IF(I3802="","",IF(I3802&gt;=MAXIFS($I$2:$I$5001,$B$2:$B$5001,B3802,$A$2:$A$5001,"&lt;="&amp;A3802),"PR",""))</f>
        <v/>
      </c>
    </row>
    <row r="3803">
      <c r="A3803" s="7" t="n"/>
      <c r="H3803" s="11">
        <f>IF(OR(D3803="",E3803=""),"",D3803*E3803)</f>
        <v/>
      </c>
      <c r="I3803" s="8">
        <f>IF(OR(D3803="",E3803=""),"",E3803*(1+D3803/30))</f>
        <v/>
      </c>
      <c r="J3803">
        <f>IF(I3803="","",IF(I3803&gt;=MAXIFS($I$2:$I$5001,$B$2:$B$5001,B3803,$A$2:$A$5001,"&lt;="&amp;A3803),"PR",""))</f>
        <v/>
      </c>
    </row>
    <row r="3804">
      <c r="A3804" s="7" t="n"/>
      <c r="H3804" s="11">
        <f>IF(OR(D3804="",E3804=""),"",D3804*E3804)</f>
        <v/>
      </c>
      <c r="I3804" s="8">
        <f>IF(OR(D3804="",E3804=""),"",E3804*(1+D3804/30))</f>
        <v/>
      </c>
      <c r="J3804">
        <f>IF(I3804="","",IF(I3804&gt;=MAXIFS($I$2:$I$5001,$B$2:$B$5001,B3804,$A$2:$A$5001,"&lt;="&amp;A3804),"PR",""))</f>
        <v/>
      </c>
    </row>
    <row r="3805">
      <c r="A3805" s="7" t="n"/>
      <c r="H3805" s="11">
        <f>IF(OR(D3805="",E3805=""),"",D3805*E3805)</f>
        <v/>
      </c>
      <c r="I3805" s="8">
        <f>IF(OR(D3805="",E3805=""),"",E3805*(1+D3805/30))</f>
        <v/>
      </c>
      <c r="J3805">
        <f>IF(I3805="","",IF(I3805&gt;=MAXIFS($I$2:$I$5001,$B$2:$B$5001,B3805,$A$2:$A$5001,"&lt;="&amp;A3805),"PR",""))</f>
        <v/>
      </c>
    </row>
    <row r="3806">
      <c r="A3806" s="7" t="n"/>
      <c r="H3806" s="11">
        <f>IF(OR(D3806="",E3806=""),"",D3806*E3806)</f>
        <v/>
      </c>
      <c r="I3806" s="8">
        <f>IF(OR(D3806="",E3806=""),"",E3806*(1+D3806/30))</f>
        <v/>
      </c>
      <c r="J3806">
        <f>IF(I3806="","",IF(I3806&gt;=MAXIFS($I$2:$I$5001,$B$2:$B$5001,B3806,$A$2:$A$5001,"&lt;="&amp;A3806),"PR",""))</f>
        <v/>
      </c>
    </row>
    <row r="3807">
      <c r="A3807" s="7" t="n"/>
      <c r="H3807" s="11">
        <f>IF(OR(D3807="",E3807=""),"",D3807*E3807)</f>
        <v/>
      </c>
      <c r="I3807" s="8">
        <f>IF(OR(D3807="",E3807=""),"",E3807*(1+D3807/30))</f>
        <v/>
      </c>
      <c r="J3807">
        <f>IF(I3807="","",IF(I3807&gt;=MAXIFS($I$2:$I$5001,$B$2:$B$5001,B3807,$A$2:$A$5001,"&lt;="&amp;A3807),"PR",""))</f>
        <v/>
      </c>
    </row>
    <row r="3808">
      <c r="A3808" s="7" t="n"/>
      <c r="H3808" s="11">
        <f>IF(OR(D3808="",E3808=""),"",D3808*E3808)</f>
        <v/>
      </c>
      <c r="I3808" s="8">
        <f>IF(OR(D3808="",E3808=""),"",E3808*(1+D3808/30))</f>
        <v/>
      </c>
      <c r="J3808">
        <f>IF(I3808="","",IF(I3808&gt;=MAXIFS($I$2:$I$5001,$B$2:$B$5001,B3808,$A$2:$A$5001,"&lt;="&amp;A3808),"PR",""))</f>
        <v/>
      </c>
    </row>
    <row r="3809">
      <c r="A3809" s="7" t="n"/>
      <c r="H3809" s="11">
        <f>IF(OR(D3809="",E3809=""),"",D3809*E3809)</f>
        <v/>
      </c>
      <c r="I3809" s="8">
        <f>IF(OR(D3809="",E3809=""),"",E3809*(1+D3809/30))</f>
        <v/>
      </c>
      <c r="J3809">
        <f>IF(I3809="","",IF(I3809&gt;=MAXIFS($I$2:$I$5001,$B$2:$B$5001,B3809,$A$2:$A$5001,"&lt;="&amp;A3809),"PR",""))</f>
        <v/>
      </c>
    </row>
    <row r="3810">
      <c r="A3810" s="7" t="n"/>
      <c r="H3810" s="11">
        <f>IF(OR(D3810="",E3810=""),"",D3810*E3810)</f>
        <v/>
      </c>
      <c r="I3810" s="8">
        <f>IF(OR(D3810="",E3810=""),"",E3810*(1+D3810/30))</f>
        <v/>
      </c>
      <c r="J3810">
        <f>IF(I3810="","",IF(I3810&gt;=MAXIFS($I$2:$I$5001,$B$2:$B$5001,B3810,$A$2:$A$5001,"&lt;="&amp;A3810),"PR",""))</f>
        <v/>
      </c>
    </row>
    <row r="3811">
      <c r="A3811" s="7" t="n"/>
      <c r="H3811" s="11">
        <f>IF(OR(D3811="",E3811=""),"",D3811*E3811)</f>
        <v/>
      </c>
      <c r="I3811" s="8">
        <f>IF(OR(D3811="",E3811=""),"",E3811*(1+D3811/30))</f>
        <v/>
      </c>
      <c r="J3811">
        <f>IF(I3811="","",IF(I3811&gt;=MAXIFS($I$2:$I$5001,$B$2:$B$5001,B3811,$A$2:$A$5001,"&lt;="&amp;A3811),"PR",""))</f>
        <v/>
      </c>
    </row>
    <row r="3812">
      <c r="A3812" s="7" t="n"/>
      <c r="H3812" s="11">
        <f>IF(OR(D3812="",E3812=""),"",D3812*E3812)</f>
        <v/>
      </c>
      <c r="I3812" s="8">
        <f>IF(OR(D3812="",E3812=""),"",E3812*(1+D3812/30))</f>
        <v/>
      </c>
      <c r="J3812">
        <f>IF(I3812="","",IF(I3812&gt;=MAXIFS($I$2:$I$5001,$B$2:$B$5001,B3812,$A$2:$A$5001,"&lt;="&amp;A3812),"PR",""))</f>
        <v/>
      </c>
    </row>
    <row r="3813">
      <c r="A3813" s="7" t="n"/>
      <c r="H3813" s="11">
        <f>IF(OR(D3813="",E3813=""),"",D3813*E3813)</f>
        <v/>
      </c>
      <c r="I3813" s="8">
        <f>IF(OR(D3813="",E3813=""),"",E3813*(1+D3813/30))</f>
        <v/>
      </c>
      <c r="J3813">
        <f>IF(I3813="","",IF(I3813&gt;=MAXIFS($I$2:$I$5001,$B$2:$B$5001,B3813,$A$2:$A$5001,"&lt;="&amp;A3813),"PR",""))</f>
        <v/>
      </c>
    </row>
    <row r="3814">
      <c r="A3814" s="7" t="n"/>
      <c r="H3814" s="11">
        <f>IF(OR(D3814="",E3814=""),"",D3814*E3814)</f>
        <v/>
      </c>
      <c r="I3814" s="8">
        <f>IF(OR(D3814="",E3814=""),"",E3814*(1+D3814/30))</f>
        <v/>
      </c>
      <c r="J3814">
        <f>IF(I3814="","",IF(I3814&gt;=MAXIFS($I$2:$I$5001,$B$2:$B$5001,B3814,$A$2:$A$5001,"&lt;="&amp;A3814),"PR",""))</f>
        <v/>
      </c>
    </row>
    <row r="3815">
      <c r="A3815" s="7" t="n"/>
      <c r="H3815" s="11">
        <f>IF(OR(D3815="",E3815=""),"",D3815*E3815)</f>
        <v/>
      </c>
      <c r="I3815" s="8">
        <f>IF(OR(D3815="",E3815=""),"",E3815*(1+D3815/30))</f>
        <v/>
      </c>
      <c r="J3815">
        <f>IF(I3815="","",IF(I3815&gt;=MAXIFS($I$2:$I$5001,$B$2:$B$5001,B3815,$A$2:$A$5001,"&lt;="&amp;A3815),"PR",""))</f>
        <v/>
      </c>
    </row>
    <row r="3816">
      <c r="A3816" s="7" t="n"/>
      <c r="H3816" s="11">
        <f>IF(OR(D3816="",E3816=""),"",D3816*E3816)</f>
        <v/>
      </c>
      <c r="I3816" s="8">
        <f>IF(OR(D3816="",E3816=""),"",E3816*(1+D3816/30))</f>
        <v/>
      </c>
      <c r="J3816">
        <f>IF(I3816="","",IF(I3816&gt;=MAXIFS($I$2:$I$5001,$B$2:$B$5001,B3816,$A$2:$A$5001,"&lt;="&amp;A3816),"PR",""))</f>
        <v/>
      </c>
    </row>
    <row r="3817">
      <c r="A3817" s="7" t="n"/>
      <c r="H3817" s="11">
        <f>IF(OR(D3817="",E3817=""),"",D3817*E3817)</f>
        <v/>
      </c>
      <c r="I3817" s="8">
        <f>IF(OR(D3817="",E3817=""),"",E3817*(1+D3817/30))</f>
        <v/>
      </c>
      <c r="J3817">
        <f>IF(I3817="","",IF(I3817&gt;=MAXIFS($I$2:$I$5001,$B$2:$B$5001,B3817,$A$2:$A$5001,"&lt;="&amp;A3817),"PR",""))</f>
        <v/>
      </c>
    </row>
    <row r="3818">
      <c r="A3818" s="7" t="n"/>
      <c r="H3818" s="11">
        <f>IF(OR(D3818="",E3818=""),"",D3818*E3818)</f>
        <v/>
      </c>
      <c r="I3818" s="8">
        <f>IF(OR(D3818="",E3818=""),"",E3818*(1+D3818/30))</f>
        <v/>
      </c>
      <c r="J3818">
        <f>IF(I3818="","",IF(I3818&gt;=MAXIFS($I$2:$I$5001,$B$2:$B$5001,B3818,$A$2:$A$5001,"&lt;="&amp;A3818),"PR",""))</f>
        <v/>
      </c>
    </row>
    <row r="3819">
      <c r="A3819" s="7" t="n"/>
      <c r="H3819" s="11">
        <f>IF(OR(D3819="",E3819=""),"",D3819*E3819)</f>
        <v/>
      </c>
      <c r="I3819" s="8">
        <f>IF(OR(D3819="",E3819=""),"",E3819*(1+D3819/30))</f>
        <v/>
      </c>
      <c r="J3819">
        <f>IF(I3819="","",IF(I3819&gt;=MAXIFS($I$2:$I$5001,$B$2:$B$5001,B3819,$A$2:$A$5001,"&lt;="&amp;A3819),"PR",""))</f>
        <v/>
      </c>
    </row>
    <row r="3820">
      <c r="A3820" s="7" t="n"/>
      <c r="H3820" s="11">
        <f>IF(OR(D3820="",E3820=""),"",D3820*E3820)</f>
        <v/>
      </c>
      <c r="I3820" s="8">
        <f>IF(OR(D3820="",E3820=""),"",E3820*(1+D3820/30))</f>
        <v/>
      </c>
      <c r="J3820">
        <f>IF(I3820="","",IF(I3820&gt;=MAXIFS($I$2:$I$5001,$B$2:$B$5001,B3820,$A$2:$A$5001,"&lt;="&amp;A3820),"PR",""))</f>
        <v/>
      </c>
    </row>
    <row r="3821">
      <c r="A3821" s="7" t="n"/>
      <c r="H3821" s="11">
        <f>IF(OR(D3821="",E3821=""),"",D3821*E3821)</f>
        <v/>
      </c>
      <c r="I3821" s="8">
        <f>IF(OR(D3821="",E3821=""),"",E3821*(1+D3821/30))</f>
        <v/>
      </c>
      <c r="J3821">
        <f>IF(I3821="","",IF(I3821&gt;=MAXIFS($I$2:$I$5001,$B$2:$B$5001,B3821,$A$2:$A$5001,"&lt;="&amp;A3821),"PR",""))</f>
        <v/>
      </c>
    </row>
    <row r="3822">
      <c r="A3822" s="7" t="n"/>
      <c r="H3822" s="11">
        <f>IF(OR(D3822="",E3822=""),"",D3822*E3822)</f>
        <v/>
      </c>
      <c r="I3822" s="8">
        <f>IF(OR(D3822="",E3822=""),"",E3822*(1+D3822/30))</f>
        <v/>
      </c>
      <c r="J3822">
        <f>IF(I3822="","",IF(I3822&gt;=MAXIFS($I$2:$I$5001,$B$2:$B$5001,B3822,$A$2:$A$5001,"&lt;="&amp;A3822),"PR",""))</f>
        <v/>
      </c>
    </row>
    <row r="3823">
      <c r="A3823" s="7" t="n"/>
      <c r="H3823" s="11">
        <f>IF(OR(D3823="",E3823=""),"",D3823*E3823)</f>
        <v/>
      </c>
      <c r="I3823" s="8">
        <f>IF(OR(D3823="",E3823=""),"",E3823*(1+D3823/30))</f>
        <v/>
      </c>
      <c r="J3823">
        <f>IF(I3823="","",IF(I3823&gt;=MAXIFS($I$2:$I$5001,$B$2:$B$5001,B3823,$A$2:$A$5001,"&lt;="&amp;A3823),"PR",""))</f>
        <v/>
      </c>
    </row>
    <row r="3824">
      <c r="A3824" s="7" t="n"/>
      <c r="H3824" s="11">
        <f>IF(OR(D3824="",E3824=""),"",D3824*E3824)</f>
        <v/>
      </c>
      <c r="I3824" s="8">
        <f>IF(OR(D3824="",E3824=""),"",E3824*(1+D3824/30))</f>
        <v/>
      </c>
      <c r="J3824">
        <f>IF(I3824="","",IF(I3824&gt;=MAXIFS($I$2:$I$5001,$B$2:$B$5001,B3824,$A$2:$A$5001,"&lt;="&amp;A3824),"PR",""))</f>
        <v/>
      </c>
    </row>
    <row r="3825">
      <c r="A3825" s="7" t="n"/>
      <c r="H3825" s="11">
        <f>IF(OR(D3825="",E3825=""),"",D3825*E3825)</f>
        <v/>
      </c>
      <c r="I3825" s="8">
        <f>IF(OR(D3825="",E3825=""),"",E3825*(1+D3825/30))</f>
        <v/>
      </c>
      <c r="J3825">
        <f>IF(I3825="","",IF(I3825&gt;=MAXIFS($I$2:$I$5001,$B$2:$B$5001,B3825,$A$2:$A$5001,"&lt;="&amp;A3825),"PR",""))</f>
        <v/>
      </c>
    </row>
    <row r="3826">
      <c r="A3826" s="7" t="n"/>
      <c r="H3826" s="11">
        <f>IF(OR(D3826="",E3826=""),"",D3826*E3826)</f>
        <v/>
      </c>
      <c r="I3826" s="8">
        <f>IF(OR(D3826="",E3826=""),"",E3826*(1+D3826/30))</f>
        <v/>
      </c>
      <c r="J3826">
        <f>IF(I3826="","",IF(I3826&gt;=MAXIFS($I$2:$I$5001,$B$2:$B$5001,B3826,$A$2:$A$5001,"&lt;="&amp;A3826),"PR",""))</f>
        <v/>
      </c>
    </row>
    <row r="3827">
      <c r="A3827" s="7" t="n"/>
      <c r="H3827" s="11">
        <f>IF(OR(D3827="",E3827=""),"",D3827*E3827)</f>
        <v/>
      </c>
      <c r="I3827" s="8">
        <f>IF(OR(D3827="",E3827=""),"",E3827*(1+D3827/30))</f>
        <v/>
      </c>
      <c r="J3827">
        <f>IF(I3827="","",IF(I3827&gt;=MAXIFS($I$2:$I$5001,$B$2:$B$5001,B3827,$A$2:$A$5001,"&lt;="&amp;A3827),"PR",""))</f>
        <v/>
      </c>
    </row>
    <row r="3828">
      <c r="A3828" s="7" t="n"/>
      <c r="H3828" s="11">
        <f>IF(OR(D3828="",E3828=""),"",D3828*E3828)</f>
        <v/>
      </c>
      <c r="I3828" s="8">
        <f>IF(OR(D3828="",E3828=""),"",E3828*(1+D3828/30))</f>
        <v/>
      </c>
      <c r="J3828">
        <f>IF(I3828="","",IF(I3828&gt;=MAXIFS($I$2:$I$5001,$B$2:$B$5001,B3828,$A$2:$A$5001,"&lt;="&amp;A3828),"PR",""))</f>
        <v/>
      </c>
    </row>
    <row r="3829">
      <c r="A3829" s="7" t="n"/>
      <c r="H3829" s="11">
        <f>IF(OR(D3829="",E3829=""),"",D3829*E3829)</f>
        <v/>
      </c>
      <c r="I3829" s="8">
        <f>IF(OR(D3829="",E3829=""),"",E3829*(1+D3829/30))</f>
        <v/>
      </c>
      <c r="J3829">
        <f>IF(I3829="","",IF(I3829&gt;=MAXIFS($I$2:$I$5001,$B$2:$B$5001,B3829,$A$2:$A$5001,"&lt;="&amp;A3829),"PR",""))</f>
        <v/>
      </c>
    </row>
    <row r="3830">
      <c r="A3830" s="7" t="n"/>
      <c r="H3830" s="11">
        <f>IF(OR(D3830="",E3830=""),"",D3830*E3830)</f>
        <v/>
      </c>
      <c r="I3830" s="8">
        <f>IF(OR(D3830="",E3830=""),"",E3830*(1+D3830/30))</f>
        <v/>
      </c>
      <c r="J3830">
        <f>IF(I3830="","",IF(I3830&gt;=MAXIFS($I$2:$I$5001,$B$2:$B$5001,B3830,$A$2:$A$5001,"&lt;="&amp;A3830),"PR",""))</f>
        <v/>
      </c>
    </row>
    <row r="3831">
      <c r="A3831" s="7" t="n"/>
      <c r="H3831" s="11">
        <f>IF(OR(D3831="",E3831=""),"",D3831*E3831)</f>
        <v/>
      </c>
      <c r="I3831" s="8">
        <f>IF(OR(D3831="",E3831=""),"",E3831*(1+D3831/30))</f>
        <v/>
      </c>
      <c r="J3831">
        <f>IF(I3831="","",IF(I3831&gt;=MAXIFS($I$2:$I$5001,$B$2:$B$5001,B3831,$A$2:$A$5001,"&lt;="&amp;A3831),"PR",""))</f>
        <v/>
      </c>
    </row>
    <row r="3832">
      <c r="A3832" s="7" t="n"/>
      <c r="H3832" s="11">
        <f>IF(OR(D3832="",E3832=""),"",D3832*E3832)</f>
        <v/>
      </c>
      <c r="I3832" s="8">
        <f>IF(OR(D3832="",E3832=""),"",E3832*(1+D3832/30))</f>
        <v/>
      </c>
      <c r="J3832">
        <f>IF(I3832="","",IF(I3832&gt;=MAXIFS($I$2:$I$5001,$B$2:$B$5001,B3832,$A$2:$A$5001,"&lt;="&amp;A3832),"PR",""))</f>
        <v/>
      </c>
    </row>
    <row r="3833">
      <c r="A3833" s="7" t="n"/>
      <c r="H3833" s="11">
        <f>IF(OR(D3833="",E3833=""),"",D3833*E3833)</f>
        <v/>
      </c>
      <c r="I3833" s="8">
        <f>IF(OR(D3833="",E3833=""),"",E3833*(1+D3833/30))</f>
        <v/>
      </c>
      <c r="J3833">
        <f>IF(I3833="","",IF(I3833&gt;=MAXIFS($I$2:$I$5001,$B$2:$B$5001,B3833,$A$2:$A$5001,"&lt;="&amp;A3833),"PR",""))</f>
        <v/>
      </c>
    </row>
    <row r="3834">
      <c r="A3834" s="7" t="n"/>
      <c r="H3834" s="11">
        <f>IF(OR(D3834="",E3834=""),"",D3834*E3834)</f>
        <v/>
      </c>
      <c r="I3834" s="8">
        <f>IF(OR(D3834="",E3834=""),"",E3834*(1+D3834/30))</f>
        <v/>
      </c>
      <c r="J3834">
        <f>IF(I3834="","",IF(I3834&gt;=MAXIFS($I$2:$I$5001,$B$2:$B$5001,B3834,$A$2:$A$5001,"&lt;="&amp;A3834),"PR",""))</f>
        <v/>
      </c>
    </row>
    <row r="3835">
      <c r="A3835" s="7" t="n"/>
      <c r="H3835" s="11">
        <f>IF(OR(D3835="",E3835=""),"",D3835*E3835)</f>
        <v/>
      </c>
      <c r="I3835" s="8">
        <f>IF(OR(D3835="",E3835=""),"",E3835*(1+D3835/30))</f>
        <v/>
      </c>
      <c r="J3835">
        <f>IF(I3835="","",IF(I3835&gt;=MAXIFS($I$2:$I$5001,$B$2:$B$5001,B3835,$A$2:$A$5001,"&lt;="&amp;A3835),"PR",""))</f>
        <v/>
      </c>
    </row>
    <row r="3836">
      <c r="A3836" s="7" t="n"/>
      <c r="H3836" s="11">
        <f>IF(OR(D3836="",E3836=""),"",D3836*E3836)</f>
        <v/>
      </c>
      <c r="I3836" s="8">
        <f>IF(OR(D3836="",E3836=""),"",E3836*(1+D3836/30))</f>
        <v/>
      </c>
      <c r="J3836">
        <f>IF(I3836="","",IF(I3836&gt;=MAXIFS($I$2:$I$5001,$B$2:$B$5001,B3836,$A$2:$A$5001,"&lt;="&amp;A3836),"PR",""))</f>
        <v/>
      </c>
    </row>
    <row r="3837">
      <c r="A3837" s="7" t="n"/>
      <c r="H3837" s="11">
        <f>IF(OR(D3837="",E3837=""),"",D3837*E3837)</f>
        <v/>
      </c>
      <c r="I3837" s="8">
        <f>IF(OR(D3837="",E3837=""),"",E3837*(1+D3837/30))</f>
        <v/>
      </c>
      <c r="J3837">
        <f>IF(I3837="","",IF(I3837&gt;=MAXIFS($I$2:$I$5001,$B$2:$B$5001,B3837,$A$2:$A$5001,"&lt;="&amp;A3837),"PR",""))</f>
        <v/>
      </c>
    </row>
    <row r="3838">
      <c r="A3838" s="7" t="n"/>
      <c r="H3838" s="11">
        <f>IF(OR(D3838="",E3838=""),"",D3838*E3838)</f>
        <v/>
      </c>
      <c r="I3838" s="8">
        <f>IF(OR(D3838="",E3838=""),"",E3838*(1+D3838/30))</f>
        <v/>
      </c>
      <c r="J3838">
        <f>IF(I3838="","",IF(I3838&gt;=MAXIFS($I$2:$I$5001,$B$2:$B$5001,B3838,$A$2:$A$5001,"&lt;="&amp;A3838),"PR",""))</f>
        <v/>
      </c>
    </row>
    <row r="3839">
      <c r="A3839" s="7" t="n"/>
      <c r="H3839" s="11">
        <f>IF(OR(D3839="",E3839=""),"",D3839*E3839)</f>
        <v/>
      </c>
      <c r="I3839" s="8">
        <f>IF(OR(D3839="",E3839=""),"",E3839*(1+D3839/30))</f>
        <v/>
      </c>
      <c r="J3839">
        <f>IF(I3839="","",IF(I3839&gt;=MAXIFS($I$2:$I$5001,$B$2:$B$5001,B3839,$A$2:$A$5001,"&lt;="&amp;A3839),"PR",""))</f>
        <v/>
      </c>
    </row>
    <row r="3840">
      <c r="A3840" s="7" t="n"/>
      <c r="H3840" s="11">
        <f>IF(OR(D3840="",E3840=""),"",D3840*E3840)</f>
        <v/>
      </c>
      <c r="I3840" s="8">
        <f>IF(OR(D3840="",E3840=""),"",E3840*(1+D3840/30))</f>
        <v/>
      </c>
      <c r="J3840">
        <f>IF(I3840="","",IF(I3840&gt;=MAXIFS($I$2:$I$5001,$B$2:$B$5001,B3840,$A$2:$A$5001,"&lt;="&amp;A3840),"PR",""))</f>
        <v/>
      </c>
    </row>
    <row r="3841">
      <c r="A3841" s="7" t="n"/>
      <c r="H3841" s="11">
        <f>IF(OR(D3841="",E3841=""),"",D3841*E3841)</f>
        <v/>
      </c>
      <c r="I3841" s="8">
        <f>IF(OR(D3841="",E3841=""),"",E3841*(1+D3841/30))</f>
        <v/>
      </c>
      <c r="J3841">
        <f>IF(I3841="","",IF(I3841&gt;=MAXIFS($I$2:$I$5001,$B$2:$B$5001,B3841,$A$2:$A$5001,"&lt;="&amp;A3841),"PR",""))</f>
        <v/>
      </c>
    </row>
    <row r="3842">
      <c r="A3842" s="7" t="n"/>
      <c r="H3842" s="11">
        <f>IF(OR(D3842="",E3842=""),"",D3842*E3842)</f>
        <v/>
      </c>
      <c r="I3842" s="8">
        <f>IF(OR(D3842="",E3842=""),"",E3842*(1+D3842/30))</f>
        <v/>
      </c>
      <c r="J3842">
        <f>IF(I3842="","",IF(I3842&gt;=MAXIFS($I$2:$I$5001,$B$2:$B$5001,B3842,$A$2:$A$5001,"&lt;="&amp;A3842),"PR",""))</f>
        <v/>
      </c>
    </row>
    <row r="3843">
      <c r="A3843" s="7" t="n"/>
      <c r="H3843" s="11">
        <f>IF(OR(D3843="",E3843=""),"",D3843*E3843)</f>
        <v/>
      </c>
      <c r="I3843" s="8">
        <f>IF(OR(D3843="",E3843=""),"",E3843*(1+D3843/30))</f>
        <v/>
      </c>
      <c r="J3843">
        <f>IF(I3843="","",IF(I3843&gt;=MAXIFS($I$2:$I$5001,$B$2:$B$5001,B3843,$A$2:$A$5001,"&lt;="&amp;A3843),"PR",""))</f>
        <v/>
      </c>
    </row>
    <row r="3844">
      <c r="A3844" s="7" t="n"/>
      <c r="H3844" s="11">
        <f>IF(OR(D3844="",E3844=""),"",D3844*E3844)</f>
        <v/>
      </c>
      <c r="I3844" s="8">
        <f>IF(OR(D3844="",E3844=""),"",E3844*(1+D3844/30))</f>
        <v/>
      </c>
      <c r="J3844">
        <f>IF(I3844="","",IF(I3844&gt;=MAXIFS($I$2:$I$5001,$B$2:$B$5001,B3844,$A$2:$A$5001,"&lt;="&amp;A3844),"PR",""))</f>
        <v/>
      </c>
    </row>
    <row r="3845">
      <c r="A3845" s="7" t="n"/>
      <c r="H3845" s="11">
        <f>IF(OR(D3845="",E3845=""),"",D3845*E3845)</f>
        <v/>
      </c>
      <c r="I3845" s="8">
        <f>IF(OR(D3845="",E3845=""),"",E3845*(1+D3845/30))</f>
        <v/>
      </c>
      <c r="J3845">
        <f>IF(I3845="","",IF(I3845&gt;=MAXIFS($I$2:$I$5001,$B$2:$B$5001,B3845,$A$2:$A$5001,"&lt;="&amp;A3845),"PR",""))</f>
        <v/>
      </c>
    </row>
    <row r="3846">
      <c r="A3846" s="7" t="n"/>
      <c r="H3846" s="11">
        <f>IF(OR(D3846="",E3846=""),"",D3846*E3846)</f>
        <v/>
      </c>
      <c r="I3846" s="8">
        <f>IF(OR(D3846="",E3846=""),"",E3846*(1+D3846/30))</f>
        <v/>
      </c>
      <c r="J3846">
        <f>IF(I3846="","",IF(I3846&gt;=MAXIFS($I$2:$I$5001,$B$2:$B$5001,B3846,$A$2:$A$5001,"&lt;="&amp;A3846),"PR",""))</f>
        <v/>
      </c>
    </row>
    <row r="3847">
      <c r="A3847" s="7" t="n"/>
      <c r="H3847" s="11">
        <f>IF(OR(D3847="",E3847=""),"",D3847*E3847)</f>
        <v/>
      </c>
      <c r="I3847" s="8">
        <f>IF(OR(D3847="",E3847=""),"",E3847*(1+D3847/30))</f>
        <v/>
      </c>
      <c r="J3847">
        <f>IF(I3847="","",IF(I3847&gt;=MAXIFS($I$2:$I$5001,$B$2:$B$5001,B3847,$A$2:$A$5001,"&lt;="&amp;A3847),"PR",""))</f>
        <v/>
      </c>
    </row>
    <row r="3848">
      <c r="A3848" s="7" t="n"/>
      <c r="H3848" s="11">
        <f>IF(OR(D3848="",E3848=""),"",D3848*E3848)</f>
        <v/>
      </c>
      <c r="I3848" s="8">
        <f>IF(OR(D3848="",E3848=""),"",E3848*(1+D3848/30))</f>
        <v/>
      </c>
      <c r="J3848">
        <f>IF(I3848="","",IF(I3848&gt;=MAXIFS($I$2:$I$5001,$B$2:$B$5001,B3848,$A$2:$A$5001,"&lt;="&amp;A3848),"PR",""))</f>
        <v/>
      </c>
    </row>
    <row r="3849">
      <c r="A3849" s="7" t="n"/>
      <c r="H3849" s="11">
        <f>IF(OR(D3849="",E3849=""),"",D3849*E3849)</f>
        <v/>
      </c>
      <c r="I3849" s="8">
        <f>IF(OR(D3849="",E3849=""),"",E3849*(1+D3849/30))</f>
        <v/>
      </c>
      <c r="J3849">
        <f>IF(I3849="","",IF(I3849&gt;=MAXIFS($I$2:$I$5001,$B$2:$B$5001,B3849,$A$2:$A$5001,"&lt;="&amp;A3849),"PR",""))</f>
        <v/>
      </c>
    </row>
    <row r="3850">
      <c r="A3850" s="7" t="n"/>
      <c r="H3850" s="11">
        <f>IF(OR(D3850="",E3850=""),"",D3850*E3850)</f>
        <v/>
      </c>
      <c r="I3850" s="8">
        <f>IF(OR(D3850="",E3850=""),"",E3850*(1+D3850/30))</f>
        <v/>
      </c>
      <c r="J3850">
        <f>IF(I3850="","",IF(I3850&gt;=MAXIFS($I$2:$I$5001,$B$2:$B$5001,B3850,$A$2:$A$5001,"&lt;="&amp;A3850),"PR",""))</f>
        <v/>
      </c>
    </row>
    <row r="3851">
      <c r="A3851" s="7" t="n"/>
      <c r="H3851" s="11">
        <f>IF(OR(D3851="",E3851=""),"",D3851*E3851)</f>
        <v/>
      </c>
      <c r="I3851" s="8">
        <f>IF(OR(D3851="",E3851=""),"",E3851*(1+D3851/30))</f>
        <v/>
      </c>
      <c r="J3851">
        <f>IF(I3851="","",IF(I3851&gt;=MAXIFS($I$2:$I$5001,$B$2:$B$5001,B3851,$A$2:$A$5001,"&lt;="&amp;A3851),"PR",""))</f>
        <v/>
      </c>
    </row>
    <row r="3852">
      <c r="A3852" s="7" t="n"/>
      <c r="H3852" s="11">
        <f>IF(OR(D3852="",E3852=""),"",D3852*E3852)</f>
        <v/>
      </c>
      <c r="I3852" s="8">
        <f>IF(OR(D3852="",E3852=""),"",E3852*(1+D3852/30))</f>
        <v/>
      </c>
      <c r="J3852">
        <f>IF(I3852="","",IF(I3852&gt;=MAXIFS($I$2:$I$5001,$B$2:$B$5001,B3852,$A$2:$A$5001,"&lt;="&amp;A3852),"PR",""))</f>
        <v/>
      </c>
    </row>
    <row r="3853">
      <c r="A3853" s="7" t="n"/>
      <c r="H3853" s="11">
        <f>IF(OR(D3853="",E3853=""),"",D3853*E3853)</f>
        <v/>
      </c>
      <c r="I3853" s="8">
        <f>IF(OR(D3853="",E3853=""),"",E3853*(1+D3853/30))</f>
        <v/>
      </c>
      <c r="J3853">
        <f>IF(I3853="","",IF(I3853&gt;=MAXIFS($I$2:$I$5001,$B$2:$B$5001,B3853,$A$2:$A$5001,"&lt;="&amp;A3853),"PR",""))</f>
        <v/>
      </c>
    </row>
    <row r="3854">
      <c r="A3854" s="7" t="n"/>
      <c r="H3854" s="11">
        <f>IF(OR(D3854="",E3854=""),"",D3854*E3854)</f>
        <v/>
      </c>
      <c r="I3854" s="8">
        <f>IF(OR(D3854="",E3854=""),"",E3854*(1+D3854/30))</f>
        <v/>
      </c>
      <c r="J3854">
        <f>IF(I3854="","",IF(I3854&gt;=MAXIFS($I$2:$I$5001,$B$2:$B$5001,B3854,$A$2:$A$5001,"&lt;="&amp;A3854),"PR",""))</f>
        <v/>
      </c>
    </row>
    <row r="3855">
      <c r="A3855" s="7" t="n"/>
      <c r="H3855" s="11">
        <f>IF(OR(D3855="",E3855=""),"",D3855*E3855)</f>
        <v/>
      </c>
      <c r="I3855" s="8">
        <f>IF(OR(D3855="",E3855=""),"",E3855*(1+D3855/30))</f>
        <v/>
      </c>
      <c r="J3855">
        <f>IF(I3855="","",IF(I3855&gt;=MAXIFS($I$2:$I$5001,$B$2:$B$5001,B3855,$A$2:$A$5001,"&lt;="&amp;A3855),"PR",""))</f>
        <v/>
      </c>
    </row>
    <row r="3856">
      <c r="A3856" s="7" t="n"/>
      <c r="H3856" s="11">
        <f>IF(OR(D3856="",E3856=""),"",D3856*E3856)</f>
        <v/>
      </c>
      <c r="I3856" s="8">
        <f>IF(OR(D3856="",E3856=""),"",E3856*(1+D3856/30))</f>
        <v/>
      </c>
      <c r="J3856">
        <f>IF(I3856="","",IF(I3856&gt;=MAXIFS($I$2:$I$5001,$B$2:$B$5001,B3856,$A$2:$A$5001,"&lt;="&amp;A3856),"PR",""))</f>
        <v/>
      </c>
    </row>
    <row r="3857">
      <c r="A3857" s="7" t="n"/>
      <c r="H3857" s="11">
        <f>IF(OR(D3857="",E3857=""),"",D3857*E3857)</f>
        <v/>
      </c>
      <c r="I3857" s="8">
        <f>IF(OR(D3857="",E3857=""),"",E3857*(1+D3857/30))</f>
        <v/>
      </c>
      <c r="J3857">
        <f>IF(I3857="","",IF(I3857&gt;=MAXIFS($I$2:$I$5001,$B$2:$B$5001,B3857,$A$2:$A$5001,"&lt;="&amp;A3857),"PR",""))</f>
        <v/>
      </c>
    </row>
    <row r="3858">
      <c r="A3858" s="7" t="n"/>
      <c r="H3858" s="11">
        <f>IF(OR(D3858="",E3858=""),"",D3858*E3858)</f>
        <v/>
      </c>
      <c r="I3858" s="8">
        <f>IF(OR(D3858="",E3858=""),"",E3858*(1+D3858/30))</f>
        <v/>
      </c>
      <c r="J3858">
        <f>IF(I3858="","",IF(I3858&gt;=MAXIFS($I$2:$I$5001,$B$2:$B$5001,B3858,$A$2:$A$5001,"&lt;="&amp;A3858),"PR",""))</f>
        <v/>
      </c>
    </row>
    <row r="3859">
      <c r="A3859" s="7" t="n"/>
      <c r="H3859" s="11">
        <f>IF(OR(D3859="",E3859=""),"",D3859*E3859)</f>
        <v/>
      </c>
      <c r="I3859" s="8">
        <f>IF(OR(D3859="",E3859=""),"",E3859*(1+D3859/30))</f>
        <v/>
      </c>
      <c r="J3859">
        <f>IF(I3859="","",IF(I3859&gt;=MAXIFS($I$2:$I$5001,$B$2:$B$5001,B3859,$A$2:$A$5001,"&lt;="&amp;A3859),"PR",""))</f>
        <v/>
      </c>
    </row>
    <row r="3860">
      <c r="A3860" s="7" t="n"/>
      <c r="H3860" s="11">
        <f>IF(OR(D3860="",E3860=""),"",D3860*E3860)</f>
        <v/>
      </c>
      <c r="I3860" s="8">
        <f>IF(OR(D3860="",E3860=""),"",E3860*(1+D3860/30))</f>
        <v/>
      </c>
      <c r="J3860">
        <f>IF(I3860="","",IF(I3860&gt;=MAXIFS($I$2:$I$5001,$B$2:$B$5001,B3860,$A$2:$A$5001,"&lt;="&amp;A3860),"PR",""))</f>
        <v/>
      </c>
    </row>
    <row r="3861">
      <c r="A3861" s="7" t="n"/>
      <c r="H3861" s="11">
        <f>IF(OR(D3861="",E3861=""),"",D3861*E3861)</f>
        <v/>
      </c>
      <c r="I3861" s="8">
        <f>IF(OR(D3861="",E3861=""),"",E3861*(1+D3861/30))</f>
        <v/>
      </c>
      <c r="J3861">
        <f>IF(I3861="","",IF(I3861&gt;=MAXIFS($I$2:$I$5001,$B$2:$B$5001,B3861,$A$2:$A$5001,"&lt;="&amp;A3861),"PR",""))</f>
        <v/>
      </c>
    </row>
    <row r="3862">
      <c r="A3862" s="7" t="n"/>
      <c r="H3862" s="11">
        <f>IF(OR(D3862="",E3862=""),"",D3862*E3862)</f>
        <v/>
      </c>
      <c r="I3862" s="8">
        <f>IF(OR(D3862="",E3862=""),"",E3862*(1+D3862/30))</f>
        <v/>
      </c>
      <c r="J3862">
        <f>IF(I3862="","",IF(I3862&gt;=MAXIFS($I$2:$I$5001,$B$2:$B$5001,B3862,$A$2:$A$5001,"&lt;="&amp;A3862),"PR",""))</f>
        <v/>
      </c>
    </row>
    <row r="3863">
      <c r="A3863" s="7" t="n"/>
      <c r="H3863" s="11">
        <f>IF(OR(D3863="",E3863=""),"",D3863*E3863)</f>
        <v/>
      </c>
      <c r="I3863" s="8">
        <f>IF(OR(D3863="",E3863=""),"",E3863*(1+D3863/30))</f>
        <v/>
      </c>
      <c r="J3863">
        <f>IF(I3863="","",IF(I3863&gt;=MAXIFS($I$2:$I$5001,$B$2:$B$5001,B3863,$A$2:$A$5001,"&lt;="&amp;A3863),"PR",""))</f>
        <v/>
      </c>
    </row>
    <row r="3864">
      <c r="A3864" s="7" t="n"/>
      <c r="H3864" s="11">
        <f>IF(OR(D3864="",E3864=""),"",D3864*E3864)</f>
        <v/>
      </c>
      <c r="I3864" s="8">
        <f>IF(OR(D3864="",E3864=""),"",E3864*(1+D3864/30))</f>
        <v/>
      </c>
      <c r="J3864">
        <f>IF(I3864="","",IF(I3864&gt;=MAXIFS($I$2:$I$5001,$B$2:$B$5001,B3864,$A$2:$A$5001,"&lt;="&amp;A3864),"PR",""))</f>
        <v/>
      </c>
    </row>
    <row r="3865">
      <c r="A3865" s="7" t="n"/>
      <c r="H3865" s="11">
        <f>IF(OR(D3865="",E3865=""),"",D3865*E3865)</f>
        <v/>
      </c>
      <c r="I3865" s="8">
        <f>IF(OR(D3865="",E3865=""),"",E3865*(1+D3865/30))</f>
        <v/>
      </c>
      <c r="J3865">
        <f>IF(I3865="","",IF(I3865&gt;=MAXIFS($I$2:$I$5001,$B$2:$B$5001,B3865,$A$2:$A$5001,"&lt;="&amp;A3865),"PR",""))</f>
        <v/>
      </c>
    </row>
    <row r="3866">
      <c r="A3866" s="7" t="n"/>
      <c r="H3866" s="11">
        <f>IF(OR(D3866="",E3866=""),"",D3866*E3866)</f>
        <v/>
      </c>
      <c r="I3866" s="8">
        <f>IF(OR(D3866="",E3866=""),"",E3866*(1+D3866/30))</f>
        <v/>
      </c>
      <c r="J3866">
        <f>IF(I3866="","",IF(I3866&gt;=MAXIFS($I$2:$I$5001,$B$2:$B$5001,B3866,$A$2:$A$5001,"&lt;="&amp;A3866),"PR",""))</f>
        <v/>
      </c>
    </row>
    <row r="3867">
      <c r="A3867" s="7" t="n"/>
      <c r="H3867" s="11">
        <f>IF(OR(D3867="",E3867=""),"",D3867*E3867)</f>
        <v/>
      </c>
      <c r="I3867" s="8">
        <f>IF(OR(D3867="",E3867=""),"",E3867*(1+D3867/30))</f>
        <v/>
      </c>
      <c r="J3867">
        <f>IF(I3867="","",IF(I3867&gt;=MAXIFS($I$2:$I$5001,$B$2:$B$5001,B3867,$A$2:$A$5001,"&lt;="&amp;A3867),"PR",""))</f>
        <v/>
      </c>
    </row>
    <row r="3868">
      <c r="A3868" s="7" t="n"/>
      <c r="H3868" s="11">
        <f>IF(OR(D3868="",E3868=""),"",D3868*E3868)</f>
        <v/>
      </c>
      <c r="I3868" s="8">
        <f>IF(OR(D3868="",E3868=""),"",E3868*(1+D3868/30))</f>
        <v/>
      </c>
      <c r="J3868">
        <f>IF(I3868="","",IF(I3868&gt;=MAXIFS($I$2:$I$5001,$B$2:$B$5001,B3868,$A$2:$A$5001,"&lt;="&amp;A3868),"PR",""))</f>
        <v/>
      </c>
    </row>
    <row r="3869">
      <c r="A3869" s="7" t="n"/>
      <c r="H3869" s="11">
        <f>IF(OR(D3869="",E3869=""),"",D3869*E3869)</f>
        <v/>
      </c>
      <c r="I3869" s="8">
        <f>IF(OR(D3869="",E3869=""),"",E3869*(1+D3869/30))</f>
        <v/>
      </c>
      <c r="J3869">
        <f>IF(I3869="","",IF(I3869&gt;=MAXIFS($I$2:$I$5001,$B$2:$B$5001,B3869,$A$2:$A$5001,"&lt;="&amp;A3869),"PR",""))</f>
        <v/>
      </c>
    </row>
    <row r="3870">
      <c r="A3870" s="7" t="n"/>
      <c r="H3870" s="11">
        <f>IF(OR(D3870="",E3870=""),"",D3870*E3870)</f>
        <v/>
      </c>
      <c r="I3870" s="8">
        <f>IF(OR(D3870="",E3870=""),"",E3870*(1+D3870/30))</f>
        <v/>
      </c>
      <c r="J3870">
        <f>IF(I3870="","",IF(I3870&gt;=MAXIFS($I$2:$I$5001,$B$2:$B$5001,B3870,$A$2:$A$5001,"&lt;="&amp;A3870),"PR",""))</f>
        <v/>
      </c>
    </row>
    <row r="3871">
      <c r="A3871" s="7" t="n"/>
      <c r="H3871" s="11">
        <f>IF(OR(D3871="",E3871=""),"",D3871*E3871)</f>
        <v/>
      </c>
      <c r="I3871" s="8">
        <f>IF(OR(D3871="",E3871=""),"",E3871*(1+D3871/30))</f>
        <v/>
      </c>
      <c r="J3871">
        <f>IF(I3871="","",IF(I3871&gt;=MAXIFS($I$2:$I$5001,$B$2:$B$5001,B3871,$A$2:$A$5001,"&lt;="&amp;A3871),"PR",""))</f>
        <v/>
      </c>
    </row>
    <row r="3872">
      <c r="A3872" s="7" t="n"/>
      <c r="H3872" s="11">
        <f>IF(OR(D3872="",E3872=""),"",D3872*E3872)</f>
        <v/>
      </c>
      <c r="I3872" s="8">
        <f>IF(OR(D3872="",E3872=""),"",E3872*(1+D3872/30))</f>
        <v/>
      </c>
      <c r="J3872">
        <f>IF(I3872="","",IF(I3872&gt;=MAXIFS($I$2:$I$5001,$B$2:$B$5001,B3872,$A$2:$A$5001,"&lt;="&amp;A3872),"PR",""))</f>
        <v/>
      </c>
    </row>
    <row r="3873">
      <c r="A3873" s="7" t="n"/>
      <c r="H3873" s="11">
        <f>IF(OR(D3873="",E3873=""),"",D3873*E3873)</f>
        <v/>
      </c>
      <c r="I3873" s="8">
        <f>IF(OR(D3873="",E3873=""),"",E3873*(1+D3873/30))</f>
        <v/>
      </c>
      <c r="J3873">
        <f>IF(I3873="","",IF(I3873&gt;=MAXIFS($I$2:$I$5001,$B$2:$B$5001,B3873,$A$2:$A$5001,"&lt;="&amp;A3873),"PR",""))</f>
        <v/>
      </c>
    </row>
    <row r="3874">
      <c r="A3874" s="7" t="n"/>
      <c r="H3874" s="11">
        <f>IF(OR(D3874="",E3874=""),"",D3874*E3874)</f>
        <v/>
      </c>
      <c r="I3874" s="8">
        <f>IF(OR(D3874="",E3874=""),"",E3874*(1+D3874/30))</f>
        <v/>
      </c>
      <c r="J3874">
        <f>IF(I3874="","",IF(I3874&gt;=MAXIFS($I$2:$I$5001,$B$2:$B$5001,B3874,$A$2:$A$5001,"&lt;="&amp;A3874),"PR",""))</f>
        <v/>
      </c>
    </row>
    <row r="3875">
      <c r="A3875" s="7" t="n"/>
      <c r="H3875" s="11">
        <f>IF(OR(D3875="",E3875=""),"",D3875*E3875)</f>
        <v/>
      </c>
      <c r="I3875" s="8">
        <f>IF(OR(D3875="",E3875=""),"",E3875*(1+D3875/30))</f>
        <v/>
      </c>
      <c r="J3875">
        <f>IF(I3875="","",IF(I3875&gt;=MAXIFS($I$2:$I$5001,$B$2:$B$5001,B3875,$A$2:$A$5001,"&lt;="&amp;A3875),"PR",""))</f>
        <v/>
      </c>
    </row>
    <row r="3876">
      <c r="A3876" s="7" t="n"/>
      <c r="H3876" s="11">
        <f>IF(OR(D3876="",E3876=""),"",D3876*E3876)</f>
        <v/>
      </c>
      <c r="I3876" s="8">
        <f>IF(OR(D3876="",E3876=""),"",E3876*(1+D3876/30))</f>
        <v/>
      </c>
      <c r="J3876">
        <f>IF(I3876="","",IF(I3876&gt;=MAXIFS($I$2:$I$5001,$B$2:$B$5001,B3876,$A$2:$A$5001,"&lt;="&amp;A3876),"PR",""))</f>
        <v/>
      </c>
    </row>
    <row r="3877">
      <c r="A3877" s="7" t="n"/>
      <c r="H3877" s="11">
        <f>IF(OR(D3877="",E3877=""),"",D3877*E3877)</f>
        <v/>
      </c>
      <c r="I3877" s="8">
        <f>IF(OR(D3877="",E3877=""),"",E3877*(1+D3877/30))</f>
        <v/>
      </c>
      <c r="J3877">
        <f>IF(I3877="","",IF(I3877&gt;=MAXIFS($I$2:$I$5001,$B$2:$B$5001,B3877,$A$2:$A$5001,"&lt;="&amp;A3877),"PR",""))</f>
        <v/>
      </c>
    </row>
    <row r="3878">
      <c r="A3878" s="7" t="n"/>
      <c r="H3878" s="11">
        <f>IF(OR(D3878="",E3878=""),"",D3878*E3878)</f>
        <v/>
      </c>
      <c r="I3878" s="8">
        <f>IF(OR(D3878="",E3878=""),"",E3878*(1+D3878/30))</f>
        <v/>
      </c>
      <c r="J3878">
        <f>IF(I3878="","",IF(I3878&gt;=MAXIFS($I$2:$I$5001,$B$2:$B$5001,B3878,$A$2:$A$5001,"&lt;="&amp;A3878),"PR",""))</f>
        <v/>
      </c>
    </row>
    <row r="3879">
      <c r="A3879" s="7" t="n"/>
      <c r="H3879" s="11">
        <f>IF(OR(D3879="",E3879=""),"",D3879*E3879)</f>
        <v/>
      </c>
      <c r="I3879" s="8">
        <f>IF(OR(D3879="",E3879=""),"",E3879*(1+D3879/30))</f>
        <v/>
      </c>
      <c r="J3879">
        <f>IF(I3879="","",IF(I3879&gt;=MAXIFS($I$2:$I$5001,$B$2:$B$5001,B3879,$A$2:$A$5001,"&lt;="&amp;A3879),"PR",""))</f>
        <v/>
      </c>
    </row>
    <row r="3880">
      <c r="A3880" s="7" t="n"/>
      <c r="H3880" s="11">
        <f>IF(OR(D3880="",E3880=""),"",D3880*E3880)</f>
        <v/>
      </c>
      <c r="I3880" s="8">
        <f>IF(OR(D3880="",E3880=""),"",E3880*(1+D3880/30))</f>
        <v/>
      </c>
      <c r="J3880">
        <f>IF(I3880="","",IF(I3880&gt;=MAXIFS($I$2:$I$5001,$B$2:$B$5001,B3880,$A$2:$A$5001,"&lt;="&amp;A3880),"PR",""))</f>
        <v/>
      </c>
    </row>
    <row r="3881">
      <c r="A3881" s="7" t="n"/>
      <c r="H3881" s="11">
        <f>IF(OR(D3881="",E3881=""),"",D3881*E3881)</f>
        <v/>
      </c>
      <c r="I3881" s="8">
        <f>IF(OR(D3881="",E3881=""),"",E3881*(1+D3881/30))</f>
        <v/>
      </c>
      <c r="J3881">
        <f>IF(I3881="","",IF(I3881&gt;=MAXIFS($I$2:$I$5001,$B$2:$B$5001,B3881,$A$2:$A$5001,"&lt;="&amp;A3881),"PR",""))</f>
        <v/>
      </c>
    </row>
    <row r="3882">
      <c r="A3882" s="7" t="n"/>
      <c r="H3882" s="11">
        <f>IF(OR(D3882="",E3882=""),"",D3882*E3882)</f>
        <v/>
      </c>
      <c r="I3882" s="8">
        <f>IF(OR(D3882="",E3882=""),"",E3882*(1+D3882/30))</f>
        <v/>
      </c>
      <c r="J3882">
        <f>IF(I3882="","",IF(I3882&gt;=MAXIFS($I$2:$I$5001,$B$2:$B$5001,B3882,$A$2:$A$5001,"&lt;="&amp;A3882),"PR",""))</f>
        <v/>
      </c>
    </row>
    <row r="3883">
      <c r="A3883" s="7" t="n"/>
      <c r="H3883" s="11">
        <f>IF(OR(D3883="",E3883=""),"",D3883*E3883)</f>
        <v/>
      </c>
      <c r="I3883" s="8">
        <f>IF(OR(D3883="",E3883=""),"",E3883*(1+D3883/30))</f>
        <v/>
      </c>
      <c r="J3883">
        <f>IF(I3883="","",IF(I3883&gt;=MAXIFS($I$2:$I$5001,$B$2:$B$5001,B3883,$A$2:$A$5001,"&lt;="&amp;A3883),"PR",""))</f>
        <v/>
      </c>
    </row>
    <row r="3884">
      <c r="A3884" s="7" t="n"/>
      <c r="H3884" s="11">
        <f>IF(OR(D3884="",E3884=""),"",D3884*E3884)</f>
        <v/>
      </c>
      <c r="I3884" s="8">
        <f>IF(OR(D3884="",E3884=""),"",E3884*(1+D3884/30))</f>
        <v/>
      </c>
      <c r="J3884">
        <f>IF(I3884="","",IF(I3884&gt;=MAXIFS($I$2:$I$5001,$B$2:$B$5001,B3884,$A$2:$A$5001,"&lt;="&amp;A3884),"PR",""))</f>
        <v/>
      </c>
    </row>
    <row r="3885">
      <c r="A3885" s="7" t="n"/>
      <c r="H3885" s="11">
        <f>IF(OR(D3885="",E3885=""),"",D3885*E3885)</f>
        <v/>
      </c>
      <c r="I3885" s="8">
        <f>IF(OR(D3885="",E3885=""),"",E3885*(1+D3885/30))</f>
        <v/>
      </c>
      <c r="J3885">
        <f>IF(I3885="","",IF(I3885&gt;=MAXIFS($I$2:$I$5001,$B$2:$B$5001,B3885,$A$2:$A$5001,"&lt;="&amp;A3885),"PR",""))</f>
        <v/>
      </c>
    </row>
    <row r="3886">
      <c r="A3886" s="7" t="n"/>
      <c r="H3886" s="11">
        <f>IF(OR(D3886="",E3886=""),"",D3886*E3886)</f>
        <v/>
      </c>
      <c r="I3886" s="8">
        <f>IF(OR(D3886="",E3886=""),"",E3886*(1+D3886/30))</f>
        <v/>
      </c>
      <c r="J3886">
        <f>IF(I3886="","",IF(I3886&gt;=MAXIFS($I$2:$I$5001,$B$2:$B$5001,B3886,$A$2:$A$5001,"&lt;="&amp;A3886),"PR",""))</f>
        <v/>
      </c>
    </row>
    <row r="3887">
      <c r="A3887" s="7" t="n"/>
      <c r="H3887" s="11">
        <f>IF(OR(D3887="",E3887=""),"",D3887*E3887)</f>
        <v/>
      </c>
      <c r="I3887" s="8">
        <f>IF(OR(D3887="",E3887=""),"",E3887*(1+D3887/30))</f>
        <v/>
      </c>
      <c r="J3887">
        <f>IF(I3887="","",IF(I3887&gt;=MAXIFS($I$2:$I$5001,$B$2:$B$5001,B3887,$A$2:$A$5001,"&lt;="&amp;A3887),"PR",""))</f>
        <v/>
      </c>
    </row>
    <row r="3888">
      <c r="A3888" s="7" t="n"/>
      <c r="H3888" s="11">
        <f>IF(OR(D3888="",E3888=""),"",D3888*E3888)</f>
        <v/>
      </c>
      <c r="I3888" s="8">
        <f>IF(OR(D3888="",E3888=""),"",E3888*(1+D3888/30))</f>
        <v/>
      </c>
      <c r="J3888">
        <f>IF(I3888="","",IF(I3888&gt;=MAXIFS($I$2:$I$5001,$B$2:$B$5001,B3888,$A$2:$A$5001,"&lt;="&amp;A3888),"PR",""))</f>
        <v/>
      </c>
    </row>
    <row r="3889">
      <c r="A3889" s="7" t="n"/>
      <c r="H3889" s="11">
        <f>IF(OR(D3889="",E3889=""),"",D3889*E3889)</f>
        <v/>
      </c>
      <c r="I3889" s="8">
        <f>IF(OR(D3889="",E3889=""),"",E3889*(1+D3889/30))</f>
        <v/>
      </c>
      <c r="J3889">
        <f>IF(I3889="","",IF(I3889&gt;=MAXIFS($I$2:$I$5001,$B$2:$B$5001,B3889,$A$2:$A$5001,"&lt;="&amp;A3889),"PR",""))</f>
        <v/>
      </c>
    </row>
    <row r="3890">
      <c r="A3890" s="7" t="n"/>
      <c r="H3890" s="11">
        <f>IF(OR(D3890="",E3890=""),"",D3890*E3890)</f>
        <v/>
      </c>
      <c r="I3890" s="8">
        <f>IF(OR(D3890="",E3890=""),"",E3890*(1+D3890/30))</f>
        <v/>
      </c>
      <c r="J3890">
        <f>IF(I3890="","",IF(I3890&gt;=MAXIFS($I$2:$I$5001,$B$2:$B$5001,B3890,$A$2:$A$5001,"&lt;="&amp;A3890),"PR",""))</f>
        <v/>
      </c>
    </row>
    <row r="3891">
      <c r="A3891" s="7" t="n"/>
      <c r="H3891" s="11">
        <f>IF(OR(D3891="",E3891=""),"",D3891*E3891)</f>
        <v/>
      </c>
      <c r="I3891" s="8">
        <f>IF(OR(D3891="",E3891=""),"",E3891*(1+D3891/30))</f>
        <v/>
      </c>
      <c r="J3891">
        <f>IF(I3891="","",IF(I3891&gt;=MAXIFS($I$2:$I$5001,$B$2:$B$5001,B3891,$A$2:$A$5001,"&lt;="&amp;A3891),"PR",""))</f>
        <v/>
      </c>
    </row>
    <row r="3892">
      <c r="A3892" s="7" t="n"/>
      <c r="H3892" s="11">
        <f>IF(OR(D3892="",E3892=""),"",D3892*E3892)</f>
        <v/>
      </c>
      <c r="I3892" s="8">
        <f>IF(OR(D3892="",E3892=""),"",E3892*(1+D3892/30))</f>
        <v/>
      </c>
      <c r="J3892">
        <f>IF(I3892="","",IF(I3892&gt;=MAXIFS($I$2:$I$5001,$B$2:$B$5001,B3892,$A$2:$A$5001,"&lt;="&amp;A3892),"PR",""))</f>
        <v/>
      </c>
    </row>
    <row r="3893">
      <c r="A3893" s="7" t="n"/>
      <c r="H3893" s="11">
        <f>IF(OR(D3893="",E3893=""),"",D3893*E3893)</f>
        <v/>
      </c>
      <c r="I3893" s="8">
        <f>IF(OR(D3893="",E3893=""),"",E3893*(1+D3893/30))</f>
        <v/>
      </c>
      <c r="J3893">
        <f>IF(I3893="","",IF(I3893&gt;=MAXIFS($I$2:$I$5001,$B$2:$B$5001,B3893,$A$2:$A$5001,"&lt;="&amp;A3893),"PR",""))</f>
        <v/>
      </c>
    </row>
    <row r="3894">
      <c r="A3894" s="7" t="n"/>
      <c r="H3894" s="11">
        <f>IF(OR(D3894="",E3894=""),"",D3894*E3894)</f>
        <v/>
      </c>
      <c r="I3894" s="8">
        <f>IF(OR(D3894="",E3894=""),"",E3894*(1+D3894/30))</f>
        <v/>
      </c>
      <c r="J3894">
        <f>IF(I3894="","",IF(I3894&gt;=MAXIFS($I$2:$I$5001,$B$2:$B$5001,B3894,$A$2:$A$5001,"&lt;="&amp;A3894),"PR",""))</f>
        <v/>
      </c>
    </row>
    <row r="3895">
      <c r="A3895" s="7" t="n"/>
      <c r="H3895" s="11">
        <f>IF(OR(D3895="",E3895=""),"",D3895*E3895)</f>
        <v/>
      </c>
      <c r="I3895" s="8">
        <f>IF(OR(D3895="",E3895=""),"",E3895*(1+D3895/30))</f>
        <v/>
      </c>
      <c r="J3895">
        <f>IF(I3895="","",IF(I3895&gt;=MAXIFS($I$2:$I$5001,$B$2:$B$5001,B3895,$A$2:$A$5001,"&lt;="&amp;A3895),"PR",""))</f>
        <v/>
      </c>
    </row>
    <row r="3896">
      <c r="A3896" s="7" t="n"/>
      <c r="H3896" s="11">
        <f>IF(OR(D3896="",E3896=""),"",D3896*E3896)</f>
        <v/>
      </c>
      <c r="I3896" s="8">
        <f>IF(OR(D3896="",E3896=""),"",E3896*(1+D3896/30))</f>
        <v/>
      </c>
      <c r="J3896">
        <f>IF(I3896="","",IF(I3896&gt;=MAXIFS($I$2:$I$5001,$B$2:$B$5001,B3896,$A$2:$A$5001,"&lt;="&amp;A3896),"PR",""))</f>
        <v/>
      </c>
    </row>
    <row r="3897">
      <c r="A3897" s="7" t="n"/>
      <c r="H3897" s="11">
        <f>IF(OR(D3897="",E3897=""),"",D3897*E3897)</f>
        <v/>
      </c>
      <c r="I3897" s="8">
        <f>IF(OR(D3897="",E3897=""),"",E3897*(1+D3897/30))</f>
        <v/>
      </c>
      <c r="J3897">
        <f>IF(I3897="","",IF(I3897&gt;=MAXIFS($I$2:$I$5001,$B$2:$B$5001,B3897,$A$2:$A$5001,"&lt;="&amp;A3897),"PR",""))</f>
        <v/>
      </c>
    </row>
    <row r="3898">
      <c r="A3898" s="7" t="n"/>
      <c r="H3898" s="11">
        <f>IF(OR(D3898="",E3898=""),"",D3898*E3898)</f>
        <v/>
      </c>
      <c r="I3898" s="8">
        <f>IF(OR(D3898="",E3898=""),"",E3898*(1+D3898/30))</f>
        <v/>
      </c>
      <c r="J3898">
        <f>IF(I3898="","",IF(I3898&gt;=MAXIFS($I$2:$I$5001,$B$2:$B$5001,B3898,$A$2:$A$5001,"&lt;="&amp;A3898),"PR",""))</f>
        <v/>
      </c>
    </row>
    <row r="3899">
      <c r="A3899" s="7" t="n"/>
      <c r="H3899" s="11">
        <f>IF(OR(D3899="",E3899=""),"",D3899*E3899)</f>
        <v/>
      </c>
      <c r="I3899" s="8">
        <f>IF(OR(D3899="",E3899=""),"",E3899*(1+D3899/30))</f>
        <v/>
      </c>
      <c r="J3899">
        <f>IF(I3899="","",IF(I3899&gt;=MAXIFS($I$2:$I$5001,$B$2:$B$5001,B3899,$A$2:$A$5001,"&lt;="&amp;A3899),"PR",""))</f>
        <v/>
      </c>
    </row>
    <row r="3900">
      <c r="A3900" s="7" t="n"/>
      <c r="H3900" s="11">
        <f>IF(OR(D3900="",E3900=""),"",D3900*E3900)</f>
        <v/>
      </c>
      <c r="I3900" s="8">
        <f>IF(OR(D3900="",E3900=""),"",E3900*(1+D3900/30))</f>
        <v/>
      </c>
      <c r="J3900">
        <f>IF(I3900="","",IF(I3900&gt;=MAXIFS($I$2:$I$5001,$B$2:$B$5001,B3900,$A$2:$A$5001,"&lt;="&amp;A3900),"PR",""))</f>
        <v/>
      </c>
    </row>
    <row r="3901">
      <c r="A3901" s="7" t="n"/>
      <c r="H3901" s="11">
        <f>IF(OR(D3901="",E3901=""),"",D3901*E3901)</f>
        <v/>
      </c>
      <c r="I3901" s="8">
        <f>IF(OR(D3901="",E3901=""),"",E3901*(1+D3901/30))</f>
        <v/>
      </c>
      <c r="J3901">
        <f>IF(I3901="","",IF(I3901&gt;=MAXIFS($I$2:$I$5001,$B$2:$B$5001,B3901,$A$2:$A$5001,"&lt;="&amp;A3901),"PR",""))</f>
        <v/>
      </c>
    </row>
    <row r="3902">
      <c r="A3902" s="7" t="n"/>
      <c r="H3902" s="11">
        <f>IF(OR(D3902="",E3902=""),"",D3902*E3902)</f>
        <v/>
      </c>
      <c r="I3902" s="8">
        <f>IF(OR(D3902="",E3902=""),"",E3902*(1+D3902/30))</f>
        <v/>
      </c>
      <c r="J3902">
        <f>IF(I3902="","",IF(I3902&gt;=MAXIFS($I$2:$I$5001,$B$2:$B$5001,B3902,$A$2:$A$5001,"&lt;="&amp;A3902),"PR",""))</f>
        <v/>
      </c>
    </row>
    <row r="3903">
      <c r="A3903" s="7" t="n"/>
      <c r="H3903" s="11">
        <f>IF(OR(D3903="",E3903=""),"",D3903*E3903)</f>
        <v/>
      </c>
      <c r="I3903" s="8">
        <f>IF(OR(D3903="",E3903=""),"",E3903*(1+D3903/30))</f>
        <v/>
      </c>
      <c r="J3903">
        <f>IF(I3903="","",IF(I3903&gt;=MAXIFS($I$2:$I$5001,$B$2:$B$5001,B3903,$A$2:$A$5001,"&lt;="&amp;A3903),"PR",""))</f>
        <v/>
      </c>
    </row>
    <row r="3904">
      <c r="A3904" s="7" t="n"/>
      <c r="H3904" s="11">
        <f>IF(OR(D3904="",E3904=""),"",D3904*E3904)</f>
        <v/>
      </c>
      <c r="I3904" s="8">
        <f>IF(OR(D3904="",E3904=""),"",E3904*(1+D3904/30))</f>
        <v/>
      </c>
      <c r="J3904">
        <f>IF(I3904="","",IF(I3904&gt;=MAXIFS($I$2:$I$5001,$B$2:$B$5001,B3904,$A$2:$A$5001,"&lt;="&amp;A3904),"PR",""))</f>
        <v/>
      </c>
    </row>
    <row r="3905">
      <c r="A3905" s="7" t="n"/>
      <c r="H3905" s="11">
        <f>IF(OR(D3905="",E3905=""),"",D3905*E3905)</f>
        <v/>
      </c>
      <c r="I3905" s="8">
        <f>IF(OR(D3905="",E3905=""),"",E3905*(1+D3905/30))</f>
        <v/>
      </c>
      <c r="J3905">
        <f>IF(I3905="","",IF(I3905&gt;=MAXIFS($I$2:$I$5001,$B$2:$B$5001,B3905,$A$2:$A$5001,"&lt;="&amp;A3905),"PR",""))</f>
        <v/>
      </c>
    </row>
    <row r="3906">
      <c r="A3906" s="7" t="n"/>
      <c r="H3906" s="11">
        <f>IF(OR(D3906="",E3906=""),"",D3906*E3906)</f>
        <v/>
      </c>
      <c r="I3906" s="8">
        <f>IF(OR(D3906="",E3906=""),"",E3906*(1+D3906/30))</f>
        <v/>
      </c>
      <c r="J3906">
        <f>IF(I3906="","",IF(I3906&gt;=MAXIFS($I$2:$I$5001,$B$2:$B$5001,B3906,$A$2:$A$5001,"&lt;="&amp;A3906),"PR",""))</f>
        <v/>
      </c>
    </row>
    <row r="3907">
      <c r="A3907" s="7" t="n"/>
      <c r="H3907" s="11">
        <f>IF(OR(D3907="",E3907=""),"",D3907*E3907)</f>
        <v/>
      </c>
      <c r="I3907" s="8">
        <f>IF(OR(D3907="",E3907=""),"",E3907*(1+D3907/30))</f>
        <v/>
      </c>
      <c r="J3907">
        <f>IF(I3907="","",IF(I3907&gt;=MAXIFS($I$2:$I$5001,$B$2:$B$5001,B3907,$A$2:$A$5001,"&lt;="&amp;A3907),"PR",""))</f>
        <v/>
      </c>
    </row>
    <row r="3908">
      <c r="A3908" s="7" t="n"/>
      <c r="H3908" s="11">
        <f>IF(OR(D3908="",E3908=""),"",D3908*E3908)</f>
        <v/>
      </c>
      <c r="I3908" s="8">
        <f>IF(OR(D3908="",E3908=""),"",E3908*(1+D3908/30))</f>
        <v/>
      </c>
      <c r="J3908">
        <f>IF(I3908="","",IF(I3908&gt;=MAXIFS($I$2:$I$5001,$B$2:$B$5001,B3908,$A$2:$A$5001,"&lt;="&amp;A3908),"PR",""))</f>
        <v/>
      </c>
    </row>
    <row r="3909">
      <c r="A3909" s="7" t="n"/>
      <c r="H3909" s="11">
        <f>IF(OR(D3909="",E3909=""),"",D3909*E3909)</f>
        <v/>
      </c>
      <c r="I3909" s="8">
        <f>IF(OR(D3909="",E3909=""),"",E3909*(1+D3909/30))</f>
        <v/>
      </c>
      <c r="J3909">
        <f>IF(I3909="","",IF(I3909&gt;=MAXIFS($I$2:$I$5001,$B$2:$B$5001,B3909,$A$2:$A$5001,"&lt;="&amp;A3909),"PR",""))</f>
        <v/>
      </c>
    </row>
    <row r="3910">
      <c r="A3910" s="7" t="n"/>
      <c r="H3910" s="11">
        <f>IF(OR(D3910="",E3910=""),"",D3910*E3910)</f>
        <v/>
      </c>
      <c r="I3910" s="8">
        <f>IF(OR(D3910="",E3910=""),"",E3910*(1+D3910/30))</f>
        <v/>
      </c>
      <c r="J3910">
        <f>IF(I3910="","",IF(I3910&gt;=MAXIFS($I$2:$I$5001,$B$2:$B$5001,B3910,$A$2:$A$5001,"&lt;="&amp;A3910),"PR",""))</f>
        <v/>
      </c>
    </row>
    <row r="3911">
      <c r="A3911" s="7" t="n"/>
      <c r="H3911" s="11">
        <f>IF(OR(D3911="",E3911=""),"",D3911*E3911)</f>
        <v/>
      </c>
      <c r="I3911" s="8">
        <f>IF(OR(D3911="",E3911=""),"",E3911*(1+D3911/30))</f>
        <v/>
      </c>
      <c r="J3911">
        <f>IF(I3911="","",IF(I3911&gt;=MAXIFS($I$2:$I$5001,$B$2:$B$5001,B3911,$A$2:$A$5001,"&lt;="&amp;A3911),"PR",""))</f>
        <v/>
      </c>
    </row>
    <row r="3912">
      <c r="A3912" s="7" t="n"/>
      <c r="H3912" s="11">
        <f>IF(OR(D3912="",E3912=""),"",D3912*E3912)</f>
        <v/>
      </c>
      <c r="I3912" s="8">
        <f>IF(OR(D3912="",E3912=""),"",E3912*(1+D3912/30))</f>
        <v/>
      </c>
      <c r="J3912">
        <f>IF(I3912="","",IF(I3912&gt;=MAXIFS($I$2:$I$5001,$B$2:$B$5001,B3912,$A$2:$A$5001,"&lt;="&amp;A3912),"PR",""))</f>
        <v/>
      </c>
    </row>
    <row r="3913">
      <c r="A3913" s="7" t="n"/>
      <c r="H3913" s="11">
        <f>IF(OR(D3913="",E3913=""),"",D3913*E3913)</f>
        <v/>
      </c>
      <c r="I3913" s="8">
        <f>IF(OR(D3913="",E3913=""),"",E3913*(1+D3913/30))</f>
        <v/>
      </c>
      <c r="J3913">
        <f>IF(I3913="","",IF(I3913&gt;=MAXIFS($I$2:$I$5001,$B$2:$B$5001,B3913,$A$2:$A$5001,"&lt;="&amp;A3913),"PR",""))</f>
        <v/>
      </c>
    </row>
    <row r="3914">
      <c r="A3914" s="7" t="n"/>
      <c r="H3914" s="11">
        <f>IF(OR(D3914="",E3914=""),"",D3914*E3914)</f>
        <v/>
      </c>
      <c r="I3914" s="8">
        <f>IF(OR(D3914="",E3914=""),"",E3914*(1+D3914/30))</f>
        <v/>
      </c>
      <c r="J3914">
        <f>IF(I3914="","",IF(I3914&gt;=MAXIFS($I$2:$I$5001,$B$2:$B$5001,B3914,$A$2:$A$5001,"&lt;="&amp;A3914),"PR",""))</f>
        <v/>
      </c>
    </row>
    <row r="3915">
      <c r="A3915" s="7" t="n"/>
      <c r="H3915" s="11">
        <f>IF(OR(D3915="",E3915=""),"",D3915*E3915)</f>
        <v/>
      </c>
      <c r="I3915" s="8">
        <f>IF(OR(D3915="",E3915=""),"",E3915*(1+D3915/30))</f>
        <v/>
      </c>
      <c r="J3915">
        <f>IF(I3915="","",IF(I3915&gt;=MAXIFS($I$2:$I$5001,$B$2:$B$5001,B3915,$A$2:$A$5001,"&lt;="&amp;A3915),"PR",""))</f>
        <v/>
      </c>
    </row>
    <row r="3916">
      <c r="A3916" s="7" t="n"/>
      <c r="H3916" s="11">
        <f>IF(OR(D3916="",E3916=""),"",D3916*E3916)</f>
        <v/>
      </c>
      <c r="I3916" s="8">
        <f>IF(OR(D3916="",E3916=""),"",E3916*(1+D3916/30))</f>
        <v/>
      </c>
      <c r="J3916">
        <f>IF(I3916="","",IF(I3916&gt;=MAXIFS($I$2:$I$5001,$B$2:$B$5001,B3916,$A$2:$A$5001,"&lt;="&amp;A3916),"PR",""))</f>
        <v/>
      </c>
    </row>
    <row r="3917">
      <c r="A3917" s="7" t="n"/>
      <c r="H3917" s="11">
        <f>IF(OR(D3917="",E3917=""),"",D3917*E3917)</f>
        <v/>
      </c>
      <c r="I3917" s="8">
        <f>IF(OR(D3917="",E3917=""),"",E3917*(1+D3917/30))</f>
        <v/>
      </c>
      <c r="J3917">
        <f>IF(I3917="","",IF(I3917&gt;=MAXIFS($I$2:$I$5001,$B$2:$B$5001,B3917,$A$2:$A$5001,"&lt;="&amp;A3917),"PR",""))</f>
        <v/>
      </c>
    </row>
    <row r="3918">
      <c r="A3918" s="7" t="n"/>
      <c r="H3918" s="11">
        <f>IF(OR(D3918="",E3918=""),"",D3918*E3918)</f>
        <v/>
      </c>
      <c r="I3918" s="8">
        <f>IF(OR(D3918="",E3918=""),"",E3918*(1+D3918/30))</f>
        <v/>
      </c>
      <c r="J3918">
        <f>IF(I3918="","",IF(I3918&gt;=MAXIFS($I$2:$I$5001,$B$2:$B$5001,B3918,$A$2:$A$5001,"&lt;="&amp;A3918),"PR",""))</f>
        <v/>
      </c>
    </row>
    <row r="3919">
      <c r="A3919" s="7" t="n"/>
      <c r="H3919" s="11">
        <f>IF(OR(D3919="",E3919=""),"",D3919*E3919)</f>
        <v/>
      </c>
      <c r="I3919" s="8">
        <f>IF(OR(D3919="",E3919=""),"",E3919*(1+D3919/30))</f>
        <v/>
      </c>
      <c r="J3919">
        <f>IF(I3919="","",IF(I3919&gt;=MAXIFS($I$2:$I$5001,$B$2:$B$5001,B3919,$A$2:$A$5001,"&lt;="&amp;A3919),"PR",""))</f>
        <v/>
      </c>
    </row>
    <row r="3920">
      <c r="A3920" s="7" t="n"/>
      <c r="H3920" s="11">
        <f>IF(OR(D3920="",E3920=""),"",D3920*E3920)</f>
        <v/>
      </c>
      <c r="I3920" s="8">
        <f>IF(OR(D3920="",E3920=""),"",E3920*(1+D3920/30))</f>
        <v/>
      </c>
      <c r="J3920">
        <f>IF(I3920="","",IF(I3920&gt;=MAXIFS($I$2:$I$5001,$B$2:$B$5001,B3920,$A$2:$A$5001,"&lt;="&amp;A3920),"PR",""))</f>
        <v/>
      </c>
    </row>
    <row r="3921">
      <c r="A3921" s="7" t="n"/>
      <c r="H3921" s="11">
        <f>IF(OR(D3921="",E3921=""),"",D3921*E3921)</f>
        <v/>
      </c>
      <c r="I3921" s="8">
        <f>IF(OR(D3921="",E3921=""),"",E3921*(1+D3921/30))</f>
        <v/>
      </c>
      <c r="J3921">
        <f>IF(I3921="","",IF(I3921&gt;=MAXIFS($I$2:$I$5001,$B$2:$B$5001,B3921,$A$2:$A$5001,"&lt;="&amp;A3921),"PR",""))</f>
        <v/>
      </c>
    </row>
    <row r="3922">
      <c r="A3922" s="7" t="n"/>
      <c r="H3922" s="11">
        <f>IF(OR(D3922="",E3922=""),"",D3922*E3922)</f>
        <v/>
      </c>
      <c r="I3922" s="8">
        <f>IF(OR(D3922="",E3922=""),"",E3922*(1+D3922/30))</f>
        <v/>
      </c>
      <c r="J3922">
        <f>IF(I3922="","",IF(I3922&gt;=MAXIFS($I$2:$I$5001,$B$2:$B$5001,B3922,$A$2:$A$5001,"&lt;="&amp;A3922),"PR",""))</f>
        <v/>
      </c>
    </row>
    <row r="3923">
      <c r="A3923" s="7" t="n"/>
      <c r="H3923" s="11">
        <f>IF(OR(D3923="",E3923=""),"",D3923*E3923)</f>
        <v/>
      </c>
      <c r="I3923" s="8">
        <f>IF(OR(D3923="",E3923=""),"",E3923*(1+D3923/30))</f>
        <v/>
      </c>
      <c r="J3923">
        <f>IF(I3923="","",IF(I3923&gt;=MAXIFS($I$2:$I$5001,$B$2:$B$5001,B3923,$A$2:$A$5001,"&lt;="&amp;A3923),"PR",""))</f>
        <v/>
      </c>
    </row>
    <row r="3924">
      <c r="A3924" s="7" t="n"/>
      <c r="H3924" s="11">
        <f>IF(OR(D3924="",E3924=""),"",D3924*E3924)</f>
        <v/>
      </c>
      <c r="I3924" s="8">
        <f>IF(OR(D3924="",E3924=""),"",E3924*(1+D3924/30))</f>
        <v/>
      </c>
      <c r="J3924">
        <f>IF(I3924="","",IF(I3924&gt;=MAXIFS($I$2:$I$5001,$B$2:$B$5001,B3924,$A$2:$A$5001,"&lt;="&amp;A3924),"PR",""))</f>
        <v/>
      </c>
    </row>
    <row r="3925">
      <c r="A3925" s="7" t="n"/>
      <c r="H3925" s="11">
        <f>IF(OR(D3925="",E3925=""),"",D3925*E3925)</f>
        <v/>
      </c>
      <c r="I3925" s="8">
        <f>IF(OR(D3925="",E3925=""),"",E3925*(1+D3925/30))</f>
        <v/>
      </c>
      <c r="J3925">
        <f>IF(I3925="","",IF(I3925&gt;=MAXIFS($I$2:$I$5001,$B$2:$B$5001,B3925,$A$2:$A$5001,"&lt;="&amp;A3925),"PR",""))</f>
        <v/>
      </c>
    </row>
    <row r="3926">
      <c r="A3926" s="7" t="n"/>
      <c r="H3926" s="11">
        <f>IF(OR(D3926="",E3926=""),"",D3926*E3926)</f>
        <v/>
      </c>
      <c r="I3926" s="8">
        <f>IF(OR(D3926="",E3926=""),"",E3926*(1+D3926/30))</f>
        <v/>
      </c>
      <c r="J3926">
        <f>IF(I3926="","",IF(I3926&gt;=MAXIFS($I$2:$I$5001,$B$2:$B$5001,B3926,$A$2:$A$5001,"&lt;="&amp;A3926),"PR",""))</f>
        <v/>
      </c>
    </row>
    <row r="3927">
      <c r="A3927" s="7" t="n"/>
      <c r="H3927" s="11">
        <f>IF(OR(D3927="",E3927=""),"",D3927*E3927)</f>
        <v/>
      </c>
      <c r="I3927" s="8">
        <f>IF(OR(D3927="",E3927=""),"",E3927*(1+D3927/30))</f>
        <v/>
      </c>
      <c r="J3927">
        <f>IF(I3927="","",IF(I3927&gt;=MAXIFS($I$2:$I$5001,$B$2:$B$5001,B3927,$A$2:$A$5001,"&lt;="&amp;A3927),"PR",""))</f>
        <v/>
      </c>
    </row>
    <row r="3928">
      <c r="A3928" s="7" t="n"/>
      <c r="H3928" s="11">
        <f>IF(OR(D3928="",E3928=""),"",D3928*E3928)</f>
        <v/>
      </c>
      <c r="I3928" s="8">
        <f>IF(OR(D3928="",E3928=""),"",E3928*(1+D3928/30))</f>
        <v/>
      </c>
      <c r="J3928">
        <f>IF(I3928="","",IF(I3928&gt;=MAXIFS($I$2:$I$5001,$B$2:$B$5001,B3928,$A$2:$A$5001,"&lt;="&amp;A3928),"PR",""))</f>
        <v/>
      </c>
    </row>
    <row r="3929">
      <c r="A3929" s="7" t="n"/>
      <c r="H3929" s="11">
        <f>IF(OR(D3929="",E3929=""),"",D3929*E3929)</f>
        <v/>
      </c>
      <c r="I3929" s="8">
        <f>IF(OR(D3929="",E3929=""),"",E3929*(1+D3929/30))</f>
        <v/>
      </c>
      <c r="J3929">
        <f>IF(I3929="","",IF(I3929&gt;=MAXIFS($I$2:$I$5001,$B$2:$B$5001,B3929,$A$2:$A$5001,"&lt;="&amp;A3929),"PR",""))</f>
        <v/>
      </c>
    </row>
    <row r="3930">
      <c r="A3930" s="7" t="n"/>
      <c r="H3930" s="11">
        <f>IF(OR(D3930="",E3930=""),"",D3930*E3930)</f>
        <v/>
      </c>
      <c r="I3930" s="8">
        <f>IF(OR(D3930="",E3930=""),"",E3930*(1+D3930/30))</f>
        <v/>
      </c>
      <c r="J3930">
        <f>IF(I3930="","",IF(I3930&gt;=MAXIFS($I$2:$I$5001,$B$2:$B$5001,B3930,$A$2:$A$5001,"&lt;="&amp;A3930),"PR",""))</f>
        <v/>
      </c>
    </row>
    <row r="3931">
      <c r="A3931" s="7" t="n"/>
      <c r="H3931" s="11">
        <f>IF(OR(D3931="",E3931=""),"",D3931*E3931)</f>
        <v/>
      </c>
      <c r="I3931" s="8">
        <f>IF(OR(D3931="",E3931=""),"",E3931*(1+D3931/30))</f>
        <v/>
      </c>
      <c r="J3931">
        <f>IF(I3931="","",IF(I3931&gt;=MAXIFS($I$2:$I$5001,$B$2:$B$5001,B3931,$A$2:$A$5001,"&lt;="&amp;A3931),"PR",""))</f>
        <v/>
      </c>
    </row>
    <row r="3932">
      <c r="A3932" s="7" t="n"/>
      <c r="H3932" s="11">
        <f>IF(OR(D3932="",E3932=""),"",D3932*E3932)</f>
        <v/>
      </c>
      <c r="I3932" s="8">
        <f>IF(OR(D3932="",E3932=""),"",E3932*(1+D3932/30))</f>
        <v/>
      </c>
      <c r="J3932">
        <f>IF(I3932="","",IF(I3932&gt;=MAXIFS($I$2:$I$5001,$B$2:$B$5001,B3932,$A$2:$A$5001,"&lt;="&amp;A3932),"PR",""))</f>
        <v/>
      </c>
    </row>
    <row r="3933">
      <c r="A3933" s="7" t="n"/>
      <c r="H3933" s="11">
        <f>IF(OR(D3933="",E3933=""),"",D3933*E3933)</f>
        <v/>
      </c>
      <c r="I3933" s="8">
        <f>IF(OR(D3933="",E3933=""),"",E3933*(1+D3933/30))</f>
        <v/>
      </c>
      <c r="J3933">
        <f>IF(I3933="","",IF(I3933&gt;=MAXIFS($I$2:$I$5001,$B$2:$B$5001,B3933,$A$2:$A$5001,"&lt;="&amp;A3933),"PR",""))</f>
        <v/>
      </c>
    </row>
    <row r="3934">
      <c r="A3934" s="7" t="n"/>
      <c r="H3934" s="11">
        <f>IF(OR(D3934="",E3934=""),"",D3934*E3934)</f>
        <v/>
      </c>
      <c r="I3934" s="8">
        <f>IF(OR(D3934="",E3934=""),"",E3934*(1+D3934/30))</f>
        <v/>
      </c>
      <c r="J3934">
        <f>IF(I3934="","",IF(I3934&gt;=MAXIFS($I$2:$I$5001,$B$2:$B$5001,B3934,$A$2:$A$5001,"&lt;="&amp;A3934),"PR",""))</f>
        <v/>
      </c>
    </row>
    <row r="3935">
      <c r="A3935" s="7" t="n"/>
      <c r="H3935" s="11">
        <f>IF(OR(D3935="",E3935=""),"",D3935*E3935)</f>
        <v/>
      </c>
      <c r="I3935" s="8">
        <f>IF(OR(D3935="",E3935=""),"",E3935*(1+D3935/30))</f>
        <v/>
      </c>
      <c r="J3935">
        <f>IF(I3935="","",IF(I3935&gt;=MAXIFS($I$2:$I$5001,$B$2:$B$5001,B3935,$A$2:$A$5001,"&lt;="&amp;A3935),"PR",""))</f>
        <v/>
      </c>
    </row>
    <row r="3936">
      <c r="A3936" s="7" t="n"/>
      <c r="H3936" s="11">
        <f>IF(OR(D3936="",E3936=""),"",D3936*E3936)</f>
        <v/>
      </c>
      <c r="I3936" s="8">
        <f>IF(OR(D3936="",E3936=""),"",E3936*(1+D3936/30))</f>
        <v/>
      </c>
      <c r="J3936">
        <f>IF(I3936="","",IF(I3936&gt;=MAXIFS($I$2:$I$5001,$B$2:$B$5001,B3936,$A$2:$A$5001,"&lt;="&amp;A3936),"PR",""))</f>
        <v/>
      </c>
    </row>
    <row r="3937">
      <c r="A3937" s="7" t="n"/>
      <c r="H3937" s="11">
        <f>IF(OR(D3937="",E3937=""),"",D3937*E3937)</f>
        <v/>
      </c>
      <c r="I3937" s="8">
        <f>IF(OR(D3937="",E3937=""),"",E3937*(1+D3937/30))</f>
        <v/>
      </c>
      <c r="J3937">
        <f>IF(I3937="","",IF(I3937&gt;=MAXIFS($I$2:$I$5001,$B$2:$B$5001,B3937,$A$2:$A$5001,"&lt;="&amp;A3937),"PR",""))</f>
        <v/>
      </c>
    </row>
    <row r="3938">
      <c r="A3938" s="7" t="n"/>
      <c r="H3938" s="11">
        <f>IF(OR(D3938="",E3938=""),"",D3938*E3938)</f>
        <v/>
      </c>
      <c r="I3938" s="8">
        <f>IF(OR(D3938="",E3938=""),"",E3938*(1+D3938/30))</f>
        <v/>
      </c>
      <c r="J3938">
        <f>IF(I3938="","",IF(I3938&gt;=MAXIFS($I$2:$I$5001,$B$2:$B$5001,B3938,$A$2:$A$5001,"&lt;="&amp;A3938),"PR",""))</f>
        <v/>
      </c>
    </row>
    <row r="3939">
      <c r="A3939" s="7" t="n"/>
      <c r="H3939" s="11">
        <f>IF(OR(D3939="",E3939=""),"",D3939*E3939)</f>
        <v/>
      </c>
      <c r="I3939" s="8">
        <f>IF(OR(D3939="",E3939=""),"",E3939*(1+D3939/30))</f>
        <v/>
      </c>
      <c r="J3939">
        <f>IF(I3939="","",IF(I3939&gt;=MAXIFS($I$2:$I$5001,$B$2:$B$5001,B3939,$A$2:$A$5001,"&lt;="&amp;A3939),"PR",""))</f>
        <v/>
      </c>
    </row>
    <row r="3940">
      <c r="A3940" s="7" t="n"/>
      <c r="H3940" s="11">
        <f>IF(OR(D3940="",E3940=""),"",D3940*E3940)</f>
        <v/>
      </c>
      <c r="I3940" s="8">
        <f>IF(OR(D3940="",E3940=""),"",E3940*(1+D3940/30))</f>
        <v/>
      </c>
      <c r="J3940">
        <f>IF(I3940="","",IF(I3940&gt;=MAXIFS($I$2:$I$5001,$B$2:$B$5001,B3940,$A$2:$A$5001,"&lt;="&amp;A3940),"PR",""))</f>
        <v/>
      </c>
    </row>
    <row r="3941">
      <c r="A3941" s="7" t="n"/>
      <c r="H3941" s="11">
        <f>IF(OR(D3941="",E3941=""),"",D3941*E3941)</f>
        <v/>
      </c>
      <c r="I3941" s="8">
        <f>IF(OR(D3941="",E3941=""),"",E3941*(1+D3941/30))</f>
        <v/>
      </c>
      <c r="J3941">
        <f>IF(I3941="","",IF(I3941&gt;=MAXIFS($I$2:$I$5001,$B$2:$B$5001,B3941,$A$2:$A$5001,"&lt;="&amp;A3941),"PR",""))</f>
        <v/>
      </c>
    </row>
    <row r="3942">
      <c r="A3942" s="7" t="n"/>
      <c r="H3942" s="11">
        <f>IF(OR(D3942="",E3942=""),"",D3942*E3942)</f>
        <v/>
      </c>
      <c r="I3942" s="8">
        <f>IF(OR(D3942="",E3942=""),"",E3942*(1+D3942/30))</f>
        <v/>
      </c>
      <c r="J3942">
        <f>IF(I3942="","",IF(I3942&gt;=MAXIFS($I$2:$I$5001,$B$2:$B$5001,B3942,$A$2:$A$5001,"&lt;="&amp;A3942),"PR",""))</f>
        <v/>
      </c>
    </row>
    <row r="3943">
      <c r="A3943" s="7" t="n"/>
      <c r="H3943" s="11">
        <f>IF(OR(D3943="",E3943=""),"",D3943*E3943)</f>
        <v/>
      </c>
      <c r="I3943" s="8">
        <f>IF(OR(D3943="",E3943=""),"",E3943*(1+D3943/30))</f>
        <v/>
      </c>
      <c r="J3943">
        <f>IF(I3943="","",IF(I3943&gt;=MAXIFS($I$2:$I$5001,$B$2:$B$5001,B3943,$A$2:$A$5001,"&lt;="&amp;A3943),"PR",""))</f>
        <v/>
      </c>
    </row>
    <row r="3944">
      <c r="A3944" s="7" t="n"/>
      <c r="H3944" s="11">
        <f>IF(OR(D3944="",E3944=""),"",D3944*E3944)</f>
        <v/>
      </c>
      <c r="I3944" s="8">
        <f>IF(OR(D3944="",E3944=""),"",E3944*(1+D3944/30))</f>
        <v/>
      </c>
      <c r="J3944">
        <f>IF(I3944="","",IF(I3944&gt;=MAXIFS($I$2:$I$5001,$B$2:$B$5001,B3944,$A$2:$A$5001,"&lt;="&amp;A3944),"PR",""))</f>
        <v/>
      </c>
    </row>
    <row r="3945">
      <c r="A3945" s="7" t="n"/>
      <c r="H3945" s="11">
        <f>IF(OR(D3945="",E3945=""),"",D3945*E3945)</f>
        <v/>
      </c>
      <c r="I3945" s="8">
        <f>IF(OR(D3945="",E3945=""),"",E3945*(1+D3945/30))</f>
        <v/>
      </c>
      <c r="J3945">
        <f>IF(I3945="","",IF(I3945&gt;=MAXIFS($I$2:$I$5001,$B$2:$B$5001,B3945,$A$2:$A$5001,"&lt;="&amp;A3945),"PR",""))</f>
        <v/>
      </c>
    </row>
    <row r="3946">
      <c r="A3946" s="7" t="n"/>
      <c r="H3946" s="11">
        <f>IF(OR(D3946="",E3946=""),"",D3946*E3946)</f>
        <v/>
      </c>
      <c r="I3946" s="8">
        <f>IF(OR(D3946="",E3946=""),"",E3946*(1+D3946/30))</f>
        <v/>
      </c>
      <c r="J3946">
        <f>IF(I3946="","",IF(I3946&gt;=MAXIFS($I$2:$I$5001,$B$2:$B$5001,B3946,$A$2:$A$5001,"&lt;="&amp;A3946),"PR",""))</f>
        <v/>
      </c>
    </row>
    <row r="3947">
      <c r="A3947" s="7" t="n"/>
      <c r="H3947" s="11">
        <f>IF(OR(D3947="",E3947=""),"",D3947*E3947)</f>
        <v/>
      </c>
      <c r="I3947" s="8">
        <f>IF(OR(D3947="",E3947=""),"",E3947*(1+D3947/30))</f>
        <v/>
      </c>
      <c r="J3947">
        <f>IF(I3947="","",IF(I3947&gt;=MAXIFS($I$2:$I$5001,$B$2:$B$5001,B3947,$A$2:$A$5001,"&lt;="&amp;A3947),"PR",""))</f>
        <v/>
      </c>
    </row>
    <row r="3948">
      <c r="A3948" s="7" t="n"/>
      <c r="H3948" s="11">
        <f>IF(OR(D3948="",E3948=""),"",D3948*E3948)</f>
        <v/>
      </c>
      <c r="I3948" s="8">
        <f>IF(OR(D3948="",E3948=""),"",E3948*(1+D3948/30))</f>
        <v/>
      </c>
      <c r="J3948">
        <f>IF(I3948="","",IF(I3948&gt;=MAXIFS($I$2:$I$5001,$B$2:$B$5001,B3948,$A$2:$A$5001,"&lt;="&amp;A3948),"PR",""))</f>
        <v/>
      </c>
    </row>
    <row r="3949">
      <c r="A3949" s="7" t="n"/>
      <c r="H3949" s="11">
        <f>IF(OR(D3949="",E3949=""),"",D3949*E3949)</f>
        <v/>
      </c>
      <c r="I3949" s="8">
        <f>IF(OR(D3949="",E3949=""),"",E3949*(1+D3949/30))</f>
        <v/>
      </c>
      <c r="J3949">
        <f>IF(I3949="","",IF(I3949&gt;=MAXIFS($I$2:$I$5001,$B$2:$B$5001,B3949,$A$2:$A$5001,"&lt;="&amp;A3949),"PR",""))</f>
        <v/>
      </c>
    </row>
    <row r="3950">
      <c r="A3950" s="7" t="n"/>
      <c r="H3950" s="11">
        <f>IF(OR(D3950="",E3950=""),"",D3950*E3950)</f>
        <v/>
      </c>
      <c r="I3950" s="8">
        <f>IF(OR(D3950="",E3950=""),"",E3950*(1+D3950/30))</f>
        <v/>
      </c>
      <c r="J3950">
        <f>IF(I3950="","",IF(I3950&gt;=MAXIFS($I$2:$I$5001,$B$2:$B$5001,B3950,$A$2:$A$5001,"&lt;="&amp;A3950),"PR",""))</f>
        <v/>
      </c>
    </row>
    <row r="3951">
      <c r="A3951" s="7" t="n"/>
      <c r="H3951" s="11">
        <f>IF(OR(D3951="",E3951=""),"",D3951*E3951)</f>
        <v/>
      </c>
      <c r="I3951" s="8">
        <f>IF(OR(D3951="",E3951=""),"",E3951*(1+D3951/30))</f>
        <v/>
      </c>
      <c r="J3951">
        <f>IF(I3951="","",IF(I3951&gt;=MAXIFS($I$2:$I$5001,$B$2:$B$5001,B3951,$A$2:$A$5001,"&lt;="&amp;A3951),"PR",""))</f>
        <v/>
      </c>
    </row>
    <row r="3952">
      <c r="A3952" s="7" t="n"/>
      <c r="H3952" s="11">
        <f>IF(OR(D3952="",E3952=""),"",D3952*E3952)</f>
        <v/>
      </c>
      <c r="I3952" s="8">
        <f>IF(OR(D3952="",E3952=""),"",E3952*(1+D3952/30))</f>
        <v/>
      </c>
      <c r="J3952">
        <f>IF(I3952="","",IF(I3952&gt;=MAXIFS($I$2:$I$5001,$B$2:$B$5001,B3952,$A$2:$A$5001,"&lt;="&amp;A3952),"PR",""))</f>
        <v/>
      </c>
    </row>
    <row r="3953">
      <c r="A3953" s="7" t="n"/>
      <c r="H3953" s="11">
        <f>IF(OR(D3953="",E3953=""),"",D3953*E3953)</f>
        <v/>
      </c>
      <c r="I3953" s="8">
        <f>IF(OR(D3953="",E3953=""),"",E3953*(1+D3953/30))</f>
        <v/>
      </c>
      <c r="J3953">
        <f>IF(I3953="","",IF(I3953&gt;=MAXIFS($I$2:$I$5001,$B$2:$B$5001,B3953,$A$2:$A$5001,"&lt;="&amp;A3953),"PR",""))</f>
        <v/>
      </c>
    </row>
    <row r="3954">
      <c r="A3954" s="7" t="n"/>
      <c r="H3954" s="11">
        <f>IF(OR(D3954="",E3954=""),"",D3954*E3954)</f>
        <v/>
      </c>
      <c r="I3954" s="8">
        <f>IF(OR(D3954="",E3954=""),"",E3954*(1+D3954/30))</f>
        <v/>
      </c>
      <c r="J3954">
        <f>IF(I3954="","",IF(I3954&gt;=MAXIFS($I$2:$I$5001,$B$2:$B$5001,B3954,$A$2:$A$5001,"&lt;="&amp;A3954),"PR",""))</f>
        <v/>
      </c>
    </row>
    <row r="3955">
      <c r="A3955" s="7" t="n"/>
      <c r="H3955" s="11">
        <f>IF(OR(D3955="",E3955=""),"",D3955*E3955)</f>
        <v/>
      </c>
      <c r="I3955" s="8">
        <f>IF(OR(D3955="",E3955=""),"",E3955*(1+D3955/30))</f>
        <v/>
      </c>
      <c r="J3955">
        <f>IF(I3955="","",IF(I3955&gt;=MAXIFS($I$2:$I$5001,$B$2:$B$5001,B3955,$A$2:$A$5001,"&lt;="&amp;A3955),"PR",""))</f>
        <v/>
      </c>
    </row>
    <row r="3956">
      <c r="A3956" s="7" t="n"/>
      <c r="H3956" s="11">
        <f>IF(OR(D3956="",E3956=""),"",D3956*E3956)</f>
        <v/>
      </c>
      <c r="I3956" s="8">
        <f>IF(OR(D3956="",E3956=""),"",E3956*(1+D3956/30))</f>
        <v/>
      </c>
      <c r="J3956">
        <f>IF(I3956="","",IF(I3956&gt;=MAXIFS($I$2:$I$5001,$B$2:$B$5001,B3956,$A$2:$A$5001,"&lt;="&amp;A3956),"PR",""))</f>
        <v/>
      </c>
    </row>
    <row r="3957">
      <c r="A3957" s="7" t="n"/>
      <c r="H3957" s="11">
        <f>IF(OR(D3957="",E3957=""),"",D3957*E3957)</f>
        <v/>
      </c>
      <c r="I3957" s="8">
        <f>IF(OR(D3957="",E3957=""),"",E3957*(1+D3957/30))</f>
        <v/>
      </c>
      <c r="J3957">
        <f>IF(I3957="","",IF(I3957&gt;=MAXIFS($I$2:$I$5001,$B$2:$B$5001,B3957,$A$2:$A$5001,"&lt;="&amp;A3957),"PR",""))</f>
        <v/>
      </c>
    </row>
    <row r="3958">
      <c r="A3958" s="7" t="n"/>
      <c r="H3958" s="11">
        <f>IF(OR(D3958="",E3958=""),"",D3958*E3958)</f>
        <v/>
      </c>
      <c r="I3958" s="8">
        <f>IF(OR(D3958="",E3958=""),"",E3958*(1+D3958/30))</f>
        <v/>
      </c>
      <c r="J3958">
        <f>IF(I3958="","",IF(I3958&gt;=MAXIFS($I$2:$I$5001,$B$2:$B$5001,B3958,$A$2:$A$5001,"&lt;="&amp;A3958),"PR",""))</f>
        <v/>
      </c>
    </row>
    <row r="3959">
      <c r="A3959" s="7" t="n"/>
      <c r="H3959" s="11">
        <f>IF(OR(D3959="",E3959=""),"",D3959*E3959)</f>
        <v/>
      </c>
      <c r="I3959" s="8">
        <f>IF(OR(D3959="",E3959=""),"",E3959*(1+D3959/30))</f>
        <v/>
      </c>
      <c r="J3959">
        <f>IF(I3959="","",IF(I3959&gt;=MAXIFS($I$2:$I$5001,$B$2:$B$5001,B3959,$A$2:$A$5001,"&lt;="&amp;A3959),"PR",""))</f>
        <v/>
      </c>
    </row>
    <row r="3960">
      <c r="A3960" s="7" t="n"/>
      <c r="H3960" s="11">
        <f>IF(OR(D3960="",E3960=""),"",D3960*E3960)</f>
        <v/>
      </c>
      <c r="I3960" s="8">
        <f>IF(OR(D3960="",E3960=""),"",E3960*(1+D3960/30))</f>
        <v/>
      </c>
      <c r="J3960">
        <f>IF(I3960="","",IF(I3960&gt;=MAXIFS($I$2:$I$5001,$B$2:$B$5001,B3960,$A$2:$A$5001,"&lt;="&amp;A3960),"PR",""))</f>
        <v/>
      </c>
    </row>
    <row r="3961">
      <c r="A3961" s="7" t="n"/>
      <c r="H3961" s="11">
        <f>IF(OR(D3961="",E3961=""),"",D3961*E3961)</f>
        <v/>
      </c>
      <c r="I3961" s="8">
        <f>IF(OR(D3961="",E3961=""),"",E3961*(1+D3961/30))</f>
        <v/>
      </c>
      <c r="J3961">
        <f>IF(I3961="","",IF(I3961&gt;=MAXIFS($I$2:$I$5001,$B$2:$B$5001,B3961,$A$2:$A$5001,"&lt;="&amp;A3961),"PR",""))</f>
        <v/>
      </c>
    </row>
    <row r="3962">
      <c r="A3962" s="7" t="n"/>
      <c r="H3962" s="11">
        <f>IF(OR(D3962="",E3962=""),"",D3962*E3962)</f>
        <v/>
      </c>
      <c r="I3962" s="8">
        <f>IF(OR(D3962="",E3962=""),"",E3962*(1+D3962/30))</f>
        <v/>
      </c>
      <c r="J3962">
        <f>IF(I3962="","",IF(I3962&gt;=MAXIFS($I$2:$I$5001,$B$2:$B$5001,B3962,$A$2:$A$5001,"&lt;="&amp;A3962),"PR",""))</f>
        <v/>
      </c>
    </row>
    <row r="3963">
      <c r="A3963" s="7" t="n"/>
      <c r="H3963" s="11">
        <f>IF(OR(D3963="",E3963=""),"",D3963*E3963)</f>
        <v/>
      </c>
      <c r="I3963" s="8">
        <f>IF(OR(D3963="",E3963=""),"",E3963*(1+D3963/30))</f>
        <v/>
      </c>
      <c r="J3963">
        <f>IF(I3963="","",IF(I3963&gt;=MAXIFS($I$2:$I$5001,$B$2:$B$5001,B3963,$A$2:$A$5001,"&lt;="&amp;A3963),"PR",""))</f>
        <v/>
      </c>
    </row>
    <row r="3964">
      <c r="A3964" s="7" t="n"/>
      <c r="H3964" s="11">
        <f>IF(OR(D3964="",E3964=""),"",D3964*E3964)</f>
        <v/>
      </c>
      <c r="I3964" s="8">
        <f>IF(OR(D3964="",E3964=""),"",E3964*(1+D3964/30))</f>
        <v/>
      </c>
      <c r="J3964">
        <f>IF(I3964="","",IF(I3964&gt;=MAXIFS($I$2:$I$5001,$B$2:$B$5001,B3964,$A$2:$A$5001,"&lt;="&amp;A3964),"PR",""))</f>
        <v/>
      </c>
    </row>
    <row r="3965">
      <c r="A3965" s="7" t="n"/>
      <c r="H3965" s="11">
        <f>IF(OR(D3965="",E3965=""),"",D3965*E3965)</f>
        <v/>
      </c>
      <c r="I3965" s="8">
        <f>IF(OR(D3965="",E3965=""),"",E3965*(1+D3965/30))</f>
        <v/>
      </c>
      <c r="J3965">
        <f>IF(I3965="","",IF(I3965&gt;=MAXIFS($I$2:$I$5001,$B$2:$B$5001,B3965,$A$2:$A$5001,"&lt;="&amp;A3965),"PR",""))</f>
        <v/>
      </c>
    </row>
    <row r="3966">
      <c r="A3966" s="7" t="n"/>
      <c r="H3966" s="11">
        <f>IF(OR(D3966="",E3966=""),"",D3966*E3966)</f>
        <v/>
      </c>
      <c r="I3966" s="8">
        <f>IF(OR(D3966="",E3966=""),"",E3966*(1+D3966/30))</f>
        <v/>
      </c>
      <c r="J3966">
        <f>IF(I3966="","",IF(I3966&gt;=MAXIFS($I$2:$I$5001,$B$2:$B$5001,B3966,$A$2:$A$5001,"&lt;="&amp;A3966),"PR",""))</f>
        <v/>
      </c>
    </row>
    <row r="3967">
      <c r="A3967" s="7" t="n"/>
      <c r="H3967" s="11">
        <f>IF(OR(D3967="",E3967=""),"",D3967*E3967)</f>
        <v/>
      </c>
      <c r="I3967" s="8">
        <f>IF(OR(D3967="",E3967=""),"",E3967*(1+D3967/30))</f>
        <v/>
      </c>
      <c r="J3967">
        <f>IF(I3967="","",IF(I3967&gt;=MAXIFS($I$2:$I$5001,$B$2:$B$5001,B3967,$A$2:$A$5001,"&lt;="&amp;A3967),"PR",""))</f>
        <v/>
      </c>
    </row>
    <row r="3968">
      <c r="A3968" s="7" t="n"/>
      <c r="H3968" s="11">
        <f>IF(OR(D3968="",E3968=""),"",D3968*E3968)</f>
        <v/>
      </c>
      <c r="I3968" s="8">
        <f>IF(OR(D3968="",E3968=""),"",E3968*(1+D3968/30))</f>
        <v/>
      </c>
      <c r="J3968">
        <f>IF(I3968="","",IF(I3968&gt;=MAXIFS($I$2:$I$5001,$B$2:$B$5001,B3968,$A$2:$A$5001,"&lt;="&amp;A3968),"PR",""))</f>
        <v/>
      </c>
    </row>
    <row r="3969">
      <c r="A3969" s="7" t="n"/>
      <c r="H3969" s="11">
        <f>IF(OR(D3969="",E3969=""),"",D3969*E3969)</f>
        <v/>
      </c>
      <c r="I3969" s="8">
        <f>IF(OR(D3969="",E3969=""),"",E3969*(1+D3969/30))</f>
        <v/>
      </c>
      <c r="J3969">
        <f>IF(I3969="","",IF(I3969&gt;=MAXIFS($I$2:$I$5001,$B$2:$B$5001,B3969,$A$2:$A$5001,"&lt;="&amp;A3969),"PR",""))</f>
        <v/>
      </c>
    </row>
    <row r="3970">
      <c r="A3970" s="7" t="n"/>
      <c r="H3970" s="11">
        <f>IF(OR(D3970="",E3970=""),"",D3970*E3970)</f>
        <v/>
      </c>
      <c r="I3970" s="8">
        <f>IF(OR(D3970="",E3970=""),"",E3970*(1+D3970/30))</f>
        <v/>
      </c>
      <c r="J3970">
        <f>IF(I3970="","",IF(I3970&gt;=MAXIFS($I$2:$I$5001,$B$2:$B$5001,B3970,$A$2:$A$5001,"&lt;="&amp;A3970),"PR",""))</f>
        <v/>
      </c>
    </row>
    <row r="3971">
      <c r="A3971" s="7" t="n"/>
      <c r="H3971" s="11">
        <f>IF(OR(D3971="",E3971=""),"",D3971*E3971)</f>
        <v/>
      </c>
      <c r="I3971" s="8">
        <f>IF(OR(D3971="",E3971=""),"",E3971*(1+D3971/30))</f>
        <v/>
      </c>
      <c r="J3971">
        <f>IF(I3971="","",IF(I3971&gt;=MAXIFS($I$2:$I$5001,$B$2:$B$5001,B3971,$A$2:$A$5001,"&lt;="&amp;A3971),"PR",""))</f>
        <v/>
      </c>
    </row>
    <row r="3972">
      <c r="A3972" s="7" t="n"/>
      <c r="H3972" s="11">
        <f>IF(OR(D3972="",E3972=""),"",D3972*E3972)</f>
        <v/>
      </c>
      <c r="I3972" s="8">
        <f>IF(OR(D3972="",E3972=""),"",E3972*(1+D3972/30))</f>
        <v/>
      </c>
      <c r="J3972">
        <f>IF(I3972="","",IF(I3972&gt;=MAXIFS($I$2:$I$5001,$B$2:$B$5001,B3972,$A$2:$A$5001,"&lt;="&amp;A3972),"PR",""))</f>
        <v/>
      </c>
    </row>
    <row r="3973">
      <c r="A3973" s="7" t="n"/>
      <c r="H3973" s="11">
        <f>IF(OR(D3973="",E3973=""),"",D3973*E3973)</f>
        <v/>
      </c>
      <c r="I3973" s="8">
        <f>IF(OR(D3973="",E3973=""),"",E3973*(1+D3973/30))</f>
        <v/>
      </c>
      <c r="J3973">
        <f>IF(I3973="","",IF(I3973&gt;=MAXIFS($I$2:$I$5001,$B$2:$B$5001,B3973,$A$2:$A$5001,"&lt;="&amp;A3973),"PR",""))</f>
        <v/>
      </c>
    </row>
    <row r="3974">
      <c r="A3974" s="7" t="n"/>
      <c r="H3974" s="11">
        <f>IF(OR(D3974="",E3974=""),"",D3974*E3974)</f>
        <v/>
      </c>
      <c r="I3974" s="8">
        <f>IF(OR(D3974="",E3974=""),"",E3974*(1+D3974/30))</f>
        <v/>
      </c>
      <c r="J3974">
        <f>IF(I3974="","",IF(I3974&gt;=MAXIFS($I$2:$I$5001,$B$2:$B$5001,B3974,$A$2:$A$5001,"&lt;="&amp;A3974),"PR",""))</f>
        <v/>
      </c>
    </row>
    <row r="3975">
      <c r="A3975" s="7" t="n"/>
      <c r="H3975" s="11">
        <f>IF(OR(D3975="",E3975=""),"",D3975*E3975)</f>
        <v/>
      </c>
      <c r="I3975" s="8">
        <f>IF(OR(D3975="",E3975=""),"",E3975*(1+D3975/30))</f>
        <v/>
      </c>
      <c r="J3975">
        <f>IF(I3975="","",IF(I3975&gt;=MAXIFS($I$2:$I$5001,$B$2:$B$5001,B3975,$A$2:$A$5001,"&lt;="&amp;A3975),"PR",""))</f>
        <v/>
      </c>
    </row>
    <row r="3976">
      <c r="A3976" s="7" t="n"/>
      <c r="H3976" s="11">
        <f>IF(OR(D3976="",E3976=""),"",D3976*E3976)</f>
        <v/>
      </c>
      <c r="I3976" s="8">
        <f>IF(OR(D3976="",E3976=""),"",E3976*(1+D3976/30))</f>
        <v/>
      </c>
      <c r="J3976">
        <f>IF(I3976="","",IF(I3976&gt;=MAXIFS($I$2:$I$5001,$B$2:$B$5001,B3976,$A$2:$A$5001,"&lt;="&amp;A3976),"PR",""))</f>
        <v/>
      </c>
    </row>
    <row r="3977">
      <c r="A3977" s="7" t="n"/>
      <c r="H3977" s="11">
        <f>IF(OR(D3977="",E3977=""),"",D3977*E3977)</f>
        <v/>
      </c>
      <c r="I3977" s="8">
        <f>IF(OR(D3977="",E3977=""),"",E3977*(1+D3977/30))</f>
        <v/>
      </c>
      <c r="J3977">
        <f>IF(I3977="","",IF(I3977&gt;=MAXIFS($I$2:$I$5001,$B$2:$B$5001,B3977,$A$2:$A$5001,"&lt;="&amp;A3977),"PR",""))</f>
        <v/>
      </c>
    </row>
    <row r="3978">
      <c r="A3978" s="7" t="n"/>
      <c r="H3978" s="11">
        <f>IF(OR(D3978="",E3978=""),"",D3978*E3978)</f>
        <v/>
      </c>
      <c r="I3978" s="8">
        <f>IF(OR(D3978="",E3978=""),"",E3978*(1+D3978/30))</f>
        <v/>
      </c>
      <c r="J3978">
        <f>IF(I3978="","",IF(I3978&gt;=MAXIFS($I$2:$I$5001,$B$2:$B$5001,B3978,$A$2:$A$5001,"&lt;="&amp;A3978),"PR",""))</f>
        <v/>
      </c>
    </row>
    <row r="3979">
      <c r="A3979" s="7" t="n"/>
      <c r="H3979" s="11">
        <f>IF(OR(D3979="",E3979=""),"",D3979*E3979)</f>
        <v/>
      </c>
      <c r="I3979" s="8">
        <f>IF(OR(D3979="",E3979=""),"",E3979*(1+D3979/30))</f>
        <v/>
      </c>
      <c r="J3979">
        <f>IF(I3979="","",IF(I3979&gt;=MAXIFS($I$2:$I$5001,$B$2:$B$5001,B3979,$A$2:$A$5001,"&lt;="&amp;A3979),"PR",""))</f>
        <v/>
      </c>
    </row>
    <row r="3980">
      <c r="A3980" s="7" t="n"/>
      <c r="H3980" s="11">
        <f>IF(OR(D3980="",E3980=""),"",D3980*E3980)</f>
        <v/>
      </c>
      <c r="I3980" s="8">
        <f>IF(OR(D3980="",E3980=""),"",E3980*(1+D3980/30))</f>
        <v/>
      </c>
      <c r="J3980">
        <f>IF(I3980="","",IF(I3980&gt;=MAXIFS($I$2:$I$5001,$B$2:$B$5001,B3980,$A$2:$A$5001,"&lt;="&amp;A3980),"PR",""))</f>
        <v/>
      </c>
    </row>
    <row r="3981">
      <c r="A3981" s="7" t="n"/>
      <c r="H3981" s="11">
        <f>IF(OR(D3981="",E3981=""),"",D3981*E3981)</f>
        <v/>
      </c>
      <c r="I3981" s="8">
        <f>IF(OR(D3981="",E3981=""),"",E3981*(1+D3981/30))</f>
        <v/>
      </c>
      <c r="J3981">
        <f>IF(I3981="","",IF(I3981&gt;=MAXIFS($I$2:$I$5001,$B$2:$B$5001,B3981,$A$2:$A$5001,"&lt;="&amp;A3981),"PR",""))</f>
        <v/>
      </c>
    </row>
    <row r="3982">
      <c r="A3982" s="7" t="n"/>
      <c r="H3982" s="11">
        <f>IF(OR(D3982="",E3982=""),"",D3982*E3982)</f>
        <v/>
      </c>
      <c r="I3982" s="8">
        <f>IF(OR(D3982="",E3982=""),"",E3982*(1+D3982/30))</f>
        <v/>
      </c>
      <c r="J3982">
        <f>IF(I3982="","",IF(I3982&gt;=MAXIFS($I$2:$I$5001,$B$2:$B$5001,B3982,$A$2:$A$5001,"&lt;="&amp;A3982),"PR",""))</f>
        <v/>
      </c>
    </row>
    <row r="3983">
      <c r="A3983" s="7" t="n"/>
      <c r="H3983" s="11">
        <f>IF(OR(D3983="",E3983=""),"",D3983*E3983)</f>
        <v/>
      </c>
      <c r="I3983" s="8">
        <f>IF(OR(D3983="",E3983=""),"",E3983*(1+D3983/30))</f>
        <v/>
      </c>
      <c r="J3983">
        <f>IF(I3983="","",IF(I3983&gt;=MAXIFS($I$2:$I$5001,$B$2:$B$5001,B3983,$A$2:$A$5001,"&lt;="&amp;A3983),"PR",""))</f>
        <v/>
      </c>
    </row>
    <row r="3984">
      <c r="A3984" s="7" t="n"/>
      <c r="H3984" s="11">
        <f>IF(OR(D3984="",E3984=""),"",D3984*E3984)</f>
        <v/>
      </c>
      <c r="I3984" s="8">
        <f>IF(OR(D3984="",E3984=""),"",E3984*(1+D3984/30))</f>
        <v/>
      </c>
      <c r="J3984">
        <f>IF(I3984="","",IF(I3984&gt;=MAXIFS($I$2:$I$5001,$B$2:$B$5001,B3984,$A$2:$A$5001,"&lt;="&amp;A3984),"PR",""))</f>
        <v/>
      </c>
    </row>
    <row r="3985">
      <c r="A3985" s="7" t="n"/>
      <c r="H3985" s="11">
        <f>IF(OR(D3985="",E3985=""),"",D3985*E3985)</f>
        <v/>
      </c>
      <c r="I3985" s="8">
        <f>IF(OR(D3985="",E3985=""),"",E3985*(1+D3985/30))</f>
        <v/>
      </c>
      <c r="J3985">
        <f>IF(I3985="","",IF(I3985&gt;=MAXIFS($I$2:$I$5001,$B$2:$B$5001,B3985,$A$2:$A$5001,"&lt;="&amp;A3985),"PR",""))</f>
        <v/>
      </c>
    </row>
    <row r="3986">
      <c r="A3986" s="7" t="n"/>
      <c r="H3986" s="11">
        <f>IF(OR(D3986="",E3986=""),"",D3986*E3986)</f>
        <v/>
      </c>
      <c r="I3986" s="8">
        <f>IF(OR(D3986="",E3986=""),"",E3986*(1+D3986/30))</f>
        <v/>
      </c>
      <c r="J3986">
        <f>IF(I3986="","",IF(I3986&gt;=MAXIFS($I$2:$I$5001,$B$2:$B$5001,B3986,$A$2:$A$5001,"&lt;="&amp;A3986),"PR",""))</f>
        <v/>
      </c>
    </row>
    <row r="3987">
      <c r="A3987" s="7" t="n"/>
      <c r="H3987" s="11">
        <f>IF(OR(D3987="",E3987=""),"",D3987*E3987)</f>
        <v/>
      </c>
      <c r="I3987" s="8">
        <f>IF(OR(D3987="",E3987=""),"",E3987*(1+D3987/30))</f>
        <v/>
      </c>
      <c r="J3987">
        <f>IF(I3987="","",IF(I3987&gt;=MAXIFS($I$2:$I$5001,$B$2:$B$5001,B3987,$A$2:$A$5001,"&lt;="&amp;A3987),"PR",""))</f>
        <v/>
      </c>
    </row>
    <row r="3988">
      <c r="A3988" s="7" t="n"/>
      <c r="H3988" s="11">
        <f>IF(OR(D3988="",E3988=""),"",D3988*E3988)</f>
        <v/>
      </c>
      <c r="I3988" s="8">
        <f>IF(OR(D3988="",E3988=""),"",E3988*(1+D3988/30))</f>
        <v/>
      </c>
      <c r="J3988">
        <f>IF(I3988="","",IF(I3988&gt;=MAXIFS($I$2:$I$5001,$B$2:$B$5001,B3988,$A$2:$A$5001,"&lt;="&amp;A3988),"PR",""))</f>
        <v/>
      </c>
    </row>
    <row r="3989">
      <c r="A3989" s="7" t="n"/>
      <c r="H3989" s="11">
        <f>IF(OR(D3989="",E3989=""),"",D3989*E3989)</f>
        <v/>
      </c>
      <c r="I3989" s="8">
        <f>IF(OR(D3989="",E3989=""),"",E3989*(1+D3989/30))</f>
        <v/>
      </c>
      <c r="J3989">
        <f>IF(I3989="","",IF(I3989&gt;=MAXIFS($I$2:$I$5001,$B$2:$B$5001,B3989,$A$2:$A$5001,"&lt;="&amp;A3989),"PR",""))</f>
        <v/>
      </c>
    </row>
    <row r="3990">
      <c r="A3990" s="7" t="n"/>
      <c r="H3990" s="11">
        <f>IF(OR(D3990="",E3990=""),"",D3990*E3990)</f>
        <v/>
      </c>
      <c r="I3990" s="8">
        <f>IF(OR(D3990="",E3990=""),"",E3990*(1+D3990/30))</f>
        <v/>
      </c>
      <c r="J3990">
        <f>IF(I3990="","",IF(I3990&gt;=MAXIFS($I$2:$I$5001,$B$2:$B$5001,B3990,$A$2:$A$5001,"&lt;="&amp;A3990),"PR",""))</f>
        <v/>
      </c>
    </row>
    <row r="3991">
      <c r="A3991" s="7" t="n"/>
      <c r="H3991" s="11">
        <f>IF(OR(D3991="",E3991=""),"",D3991*E3991)</f>
        <v/>
      </c>
      <c r="I3991" s="8">
        <f>IF(OR(D3991="",E3991=""),"",E3991*(1+D3991/30))</f>
        <v/>
      </c>
      <c r="J3991">
        <f>IF(I3991="","",IF(I3991&gt;=MAXIFS($I$2:$I$5001,$B$2:$B$5001,B3991,$A$2:$A$5001,"&lt;="&amp;A3991),"PR",""))</f>
        <v/>
      </c>
    </row>
    <row r="3992">
      <c r="A3992" s="7" t="n"/>
      <c r="H3992" s="11">
        <f>IF(OR(D3992="",E3992=""),"",D3992*E3992)</f>
        <v/>
      </c>
      <c r="I3992" s="8">
        <f>IF(OR(D3992="",E3992=""),"",E3992*(1+D3992/30))</f>
        <v/>
      </c>
      <c r="J3992">
        <f>IF(I3992="","",IF(I3992&gt;=MAXIFS($I$2:$I$5001,$B$2:$B$5001,B3992,$A$2:$A$5001,"&lt;="&amp;A3992),"PR",""))</f>
        <v/>
      </c>
    </row>
    <row r="3993">
      <c r="A3993" s="7" t="n"/>
      <c r="H3993" s="11">
        <f>IF(OR(D3993="",E3993=""),"",D3993*E3993)</f>
        <v/>
      </c>
      <c r="I3993" s="8">
        <f>IF(OR(D3993="",E3993=""),"",E3993*(1+D3993/30))</f>
        <v/>
      </c>
      <c r="J3993">
        <f>IF(I3993="","",IF(I3993&gt;=MAXIFS($I$2:$I$5001,$B$2:$B$5001,B3993,$A$2:$A$5001,"&lt;="&amp;A3993),"PR",""))</f>
        <v/>
      </c>
    </row>
    <row r="3994">
      <c r="A3994" s="7" t="n"/>
      <c r="H3994" s="11">
        <f>IF(OR(D3994="",E3994=""),"",D3994*E3994)</f>
        <v/>
      </c>
      <c r="I3994" s="8">
        <f>IF(OR(D3994="",E3994=""),"",E3994*(1+D3994/30))</f>
        <v/>
      </c>
      <c r="J3994">
        <f>IF(I3994="","",IF(I3994&gt;=MAXIFS($I$2:$I$5001,$B$2:$B$5001,B3994,$A$2:$A$5001,"&lt;="&amp;A3994),"PR",""))</f>
        <v/>
      </c>
    </row>
    <row r="3995">
      <c r="A3995" s="7" t="n"/>
      <c r="H3995" s="11">
        <f>IF(OR(D3995="",E3995=""),"",D3995*E3995)</f>
        <v/>
      </c>
      <c r="I3995" s="8">
        <f>IF(OR(D3995="",E3995=""),"",E3995*(1+D3995/30))</f>
        <v/>
      </c>
      <c r="J3995">
        <f>IF(I3995="","",IF(I3995&gt;=MAXIFS($I$2:$I$5001,$B$2:$B$5001,B3995,$A$2:$A$5001,"&lt;="&amp;A3995),"PR",""))</f>
        <v/>
      </c>
    </row>
    <row r="3996">
      <c r="A3996" s="7" t="n"/>
      <c r="H3996" s="11">
        <f>IF(OR(D3996="",E3996=""),"",D3996*E3996)</f>
        <v/>
      </c>
      <c r="I3996" s="8">
        <f>IF(OR(D3996="",E3996=""),"",E3996*(1+D3996/30))</f>
        <v/>
      </c>
      <c r="J3996">
        <f>IF(I3996="","",IF(I3996&gt;=MAXIFS($I$2:$I$5001,$B$2:$B$5001,B3996,$A$2:$A$5001,"&lt;="&amp;A3996),"PR",""))</f>
        <v/>
      </c>
    </row>
    <row r="3997">
      <c r="A3997" s="7" t="n"/>
      <c r="H3997" s="11">
        <f>IF(OR(D3997="",E3997=""),"",D3997*E3997)</f>
        <v/>
      </c>
      <c r="I3997" s="8">
        <f>IF(OR(D3997="",E3997=""),"",E3997*(1+D3997/30))</f>
        <v/>
      </c>
      <c r="J3997">
        <f>IF(I3997="","",IF(I3997&gt;=MAXIFS($I$2:$I$5001,$B$2:$B$5001,B3997,$A$2:$A$5001,"&lt;="&amp;A3997),"PR",""))</f>
        <v/>
      </c>
    </row>
    <row r="3998">
      <c r="A3998" s="7" t="n"/>
      <c r="H3998" s="11">
        <f>IF(OR(D3998="",E3998=""),"",D3998*E3998)</f>
        <v/>
      </c>
      <c r="I3998" s="8">
        <f>IF(OR(D3998="",E3998=""),"",E3998*(1+D3998/30))</f>
        <v/>
      </c>
      <c r="J3998">
        <f>IF(I3998="","",IF(I3998&gt;=MAXIFS($I$2:$I$5001,$B$2:$B$5001,B3998,$A$2:$A$5001,"&lt;="&amp;A3998),"PR",""))</f>
        <v/>
      </c>
    </row>
    <row r="3999">
      <c r="A3999" s="7" t="n"/>
      <c r="H3999" s="11">
        <f>IF(OR(D3999="",E3999=""),"",D3999*E3999)</f>
        <v/>
      </c>
      <c r="I3999" s="8">
        <f>IF(OR(D3999="",E3999=""),"",E3999*(1+D3999/30))</f>
        <v/>
      </c>
      <c r="J3999">
        <f>IF(I3999="","",IF(I3999&gt;=MAXIFS($I$2:$I$5001,$B$2:$B$5001,B3999,$A$2:$A$5001,"&lt;="&amp;A3999),"PR",""))</f>
        <v/>
      </c>
    </row>
    <row r="4000">
      <c r="A4000" s="7" t="n"/>
      <c r="H4000" s="11">
        <f>IF(OR(D4000="",E4000=""),"",D4000*E4000)</f>
        <v/>
      </c>
      <c r="I4000" s="8">
        <f>IF(OR(D4000="",E4000=""),"",E4000*(1+D4000/30))</f>
        <v/>
      </c>
      <c r="J4000">
        <f>IF(I4000="","",IF(I4000&gt;=MAXIFS($I$2:$I$5001,$B$2:$B$5001,B4000,$A$2:$A$5001,"&lt;="&amp;A4000),"PR",""))</f>
        <v/>
      </c>
    </row>
    <row r="4001">
      <c r="A4001" s="7" t="n"/>
      <c r="H4001" s="11">
        <f>IF(OR(D4001="",E4001=""),"",D4001*E4001)</f>
        <v/>
      </c>
      <c r="I4001" s="8">
        <f>IF(OR(D4001="",E4001=""),"",E4001*(1+D4001/30))</f>
        <v/>
      </c>
      <c r="J4001">
        <f>IF(I4001="","",IF(I4001&gt;=MAXIFS($I$2:$I$5001,$B$2:$B$5001,B4001,$A$2:$A$5001,"&lt;="&amp;A4001),"PR",""))</f>
        <v/>
      </c>
    </row>
    <row r="4002">
      <c r="A4002" s="7" t="n"/>
      <c r="H4002" s="11">
        <f>IF(OR(D4002="",E4002=""),"",D4002*E4002)</f>
        <v/>
      </c>
      <c r="I4002" s="8">
        <f>IF(OR(D4002="",E4002=""),"",E4002*(1+D4002/30))</f>
        <v/>
      </c>
      <c r="J4002">
        <f>IF(I4002="","",IF(I4002&gt;=MAXIFS($I$2:$I$5001,$B$2:$B$5001,B4002,$A$2:$A$5001,"&lt;="&amp;A4002),"PR",""))</f>
        <v/>
      </c>
    </row>
    <row r="4003">
      <c r="A4003" s="7" t="n"/>
      <c r="H4003" s="11">
        <f>IF(OR(D4003="",E4003=""),"",D4003*E4003)</f>
        <v/>
      </c>
      <c r="I4003" s="8">
        <f>IF(OR(D4003="",E4003=""),"",E4003*(1+D4003/30))</f>
        <v/>
      </c>
      <c r="J4003">
        <f>IF(I4003="","",IF(I4003&gt;=MAXIFS($I$2:$I$5001,$B$2:$B$5001,B4003,$A$2:$A$5001,"&lt;="&amp;A4003),"PR",""))</f>
        <v/>
      </c>
    </row>
    <row r="4004">
      <c r="A4004" s="7" t="n"/>
      <c r="H4004" s="11">
        <f>IF(OR(D4004="",E4004=""),"",D4004*E4004)</f>
        <v/>
      </c>
      <c r="I4004" s="8">
        <f>IF(OR(D4004="",E4004=""),"",E4004*(1+D4004/30))</f>
        <v/>
      </c>
      <c r="J4004">
        <f>IF(I4004="","",IF(I4004&gt;=MAXIFS($I$2:$I$5001,$B$2:$B$5001,B4004,$A$2:$A$5001,"&lt;="&amp;A4004),"PR",""))</f>
        <v/>
      </c>
    </row>
    <row r="4005">
      <c r="A4005" s="7" t="n"/>
      <c r="H4005" s="11">
        <f>IF(OR(D4005="",E4005=""),"",D4005*E4005)</f>
        <v/>
      </c>
      <c r="I4005" s="8">
        <f>IF(OR(D4005="",E4005=""),"",E4005*(1+D4005/30))</f>
        <v/>
      </c>
      <c r="J4005">
        <f>IF(I4005="","",IF(I4005&gt;=MAXIFS($I$2:$I$5001,$B$2:$B$5001,B4005,$A$2:$A$5001,"&lt;="&amp;A4005),"PR",""))</f>
        <v/>
      </c>
    </row>
    <row r="4006">
      <c r="A4006" s="7" t="n"/>
      <c r="H4006" s="11">
        <f>IF(OR(D4006="",E4006=""),"",D4006*E4006)</f>
        <v/>
      </c>
      <c r="I4006" s="8">
        <f>IF(OR(D4006="",E4006=""),"",E4006*(1+D4006/30))</f>
        <v/>
      </c>
      <c r="J4006">
        <f>IF(I4006="","",IF(I4006&gt;=MAXIFS($I$2:$I$5001,$B$2:$B$5001,B4006,$A$2:$A$5001,"&lt;="&amp;A4006),"PR",""))</f>
        <v/>
      </c>
    </row>
    <row r="4007">
      <c r="A4007" s="7" t="n"/>
      <c r="H4007" s="11">
        <f>IF(OR(D4007="",E4007=""),"",D4007*E4007)</f>
        <v/>
      </c>
      <c r="I4007" s="8">
        <f>IF(OR(D4007="",E4007=""),"",E4007*(1+D4007/30))</f>
        <v/>
      </c>
      <c r="J4007">
        <f>IF(I4007="","",IF(I4007&gt;=MAXIFS($I$2:$I$5001,$B$2:$B$5001,B4007,$A$2:$A$5001,"&lt;="&amp;A4007),"PR",""))</f>
        <v/>
      </c>
    </row>
    <row r="4008">
      <c r="A4008" s="7" t="n"/>
      <c r="H4008" s="11">
        <f>IF(OR(D4008="",E4008=""),"",D4008*E4008)</f>
        <v/>
      </c>
      <c r="I4008" s="8">
        <f>IF(OR(D4008="",E4008=""),"",E4008*(1+D4008/30))</f>
        <v/>
      </c>
      <c r="J4008">
        <f>IF(I4008="","",IF(I4008&gt;=MAXIFS($I$2:$I$5001,$B$2:$B$5001,B4008,$A$2:$A$5001,"&lt;="&amp;A4008),"PR",""))</f>
        <v/>
      </c>
    </row>
    <row r="4009">
      <c r="A4009" s="7" t="n"/>
      <c r="H4009" s="11">
        <f>IF(OR(D4009="",E4009=""),"",D4009*E4009)</f>
        <v/>
      </c>
      <c r="I4009" s="8">
        <f>IF(OR(D4009="",E4009=""),"",E4009*(1+D4009/30))</f>
        <v/>
      </c>
      <c r="J4009">
        <f>IF(I4009="","",IF(I4009&gt;=MAXIFS($I$2:$I$5001,$B$2:$B$5001,B4009,$A$2:$A$5001,"&lt;="&amp;A4009),"PR",""))</f>
        <v/>
      </c>
    </row>
    <row r="4010">
      <c r="A4010" s="7" t="n"/>
      <c r="H4010" s="11">
        <f>IF(OR(D4010="",E4010=""),"",D4010*E4010)</f>
        <v/>
      </c>
      <c r="I4010" s="8">
        <f>IF(OR(D4010="",E4010=""),"",E4010*(1+D4010/30))</f>
        <v/>
      </c>
      <c r="J4010">
        <f>IF(I4010="","",IF(I4010&gt;=MAXIFS($I$2:$I$5001,$B$2:$B$5001,B4010,$A$2:$A$5001,"&lt;="&amp;A4010),"PR",""))</f>
        <v/>
      </c>
    </row>
    <row r="4011">
      <c r="A4011" s="7" t="n"/>
      <c r="H4011" s="11">
        <f>IF(OR(D4011="",E4011=""),"",D4011*E4011)</f>
        <v/>
      </c>
      <c r="I4011" s="8">
        <f>IF(OR(D4011="",E4011=""),"",E4011*(1+D4011/30))</f>
        <v/>
      </c>
      <c r="J4011">
        <f>IF(I4011="","",IF(I4011&gt;=MAXIFS($I$2:$I$5001,$B$2:$B$5001,B4011,$A$2:$A$5001,"&lt;="&amp;A4011),"PR",""))</f>
        <v/>
      </c>
    </row>
    <row r="4012">
      <c r="A4012" s="7" t="n"/>
      <c r="H4012" s="11">
        <f>IF(OR(D4012="",E4012=""),"",D4012*E4012)</f>
        <v/>
      </c>
      <c r="I4012" s="8">
        <f>IF(OR(D4012="",E4012=""),"",E4012*(1+D4012/30))</f>
        <v/>
      </c>
      <c r="J4012">
        <f>IF(I4012="","",IF(I4012&gt;=MAXIFS($I$2:$I$5001,$B$2:$B$5001,B4012,$A$2:$A$5001,"&lt;="&amp;A4012),"PR",""))</f>
        <v/>
      </c>
    </row>
    <row r="4013">
      <c r="A4013" s="7" t="n"/>
      <c r="H4013" s="11">
        <f>IF(OR(D4013="",E4013=""),"",D4013*E4013)</f>
        <v/>
      </c>
      <c r="I4013" s="8">
        <f>IF(OR(D4013="",E4013=""),"",E4013*(1+D4013/30))</f>
        <v/>
      </c>
      <c r="J4013">
        <f>IF(I4013="","",IF(I4013&gt;=MAXIFS($I$2:$I$5001,$B$2:$B$5001,B4013,$A$2:$A$5001,"&lt;="&amp;A4013),"PR",""))</f>
        <v/>
      </c>
    </row>
    <row r="4014">
      <c r="A4014" s="7" t="n"/>
      <c r="H4014" s="11">
        <f>IF(OR(D4014="",E4014=""),"",D4014*E4014)</f>
        <v/>
      </c>
      <c r="I4014" s="8">
        <f>IF(OR(D4014="",E4014=""),"",E4014*(1+D4014/30))</f>
        <v/>
      </c>
      <c r="J4014">
        <f>IF(I4014="","",IF(I4014&gt;=MAXIFS($I$2:$I$5001,$B$2:$B$5001,B4014,$A$2:$A$5001,"&lt;="&amp;A4014),"PR",""))</f>
        <v/>
      </c>
    </row>
    <row r="4015">
      <c r="A4015" s="7" t="n"/>
      <c r="H4015" s="11">
        <f>IF(OR(D4015="",E4015=""),"",D4015*E4015)</f>
        <v/>
      </c>
      <c r="I4015" s="8">
        <f>IF(OR(D4015="",E4015=""),"",E4015*(1+D4015/30))</f>
        <v/>
      </c>
      <c r="J4015">
        <f>IF(I4015="","",IF(I4015&gt;=MAXIFS($I$2:$I$5001,$B$2:$B$5001,B4015,$A$2:$A$5001,"&lt;="&amp;A4015),"PR",""))</f>
        <v/>
      </c>
    </row>
    <row r="4016">
      <c r="A4016" s="7" t="n"/>
      <c r="H4016" s="11">
        <f>IF(OR(D4016="",E4016=""),"",D4016*E4016)</f>
        <v/>
      </c>
      <c r="I4016" s="8">
        <f>IF(OR(D4016="",E4016=""),"",E4016*(1+D4016/30))</f>
        <v/>
      </c>
      <c r="J4016">
        <f>IF(I4016="","",IF(I4016&gt;=MAXIFS($I$2:$I$5001,$B$2:$B$5001,B4016,$A$2:$A$5001,"&lt;="&amp;A4016),"PR",""))</f>
        <v/>
      </c>
    </row>
    <row r="4017">
      <c r="A4017" s="7" t="n"/>
      <c r="H4017" s="11">
        <f>IF(OR(D4017="",E4017=""),"",D4017*E4017)</f>
        <v/>
      </c>
      <c r="I4017" s="8">
        <f>IF(OR(D4017="",E4017=""),"",E4017*(1+D4017/30))</f>
        <v/>
      </c>
      <c r="J4017">
        <f>IF(I4017="","",IF(I4017&gt;=MAXIFS($I$2:$I$5001,$B$2:$B$5001,B4017,$A$2:$A$5001,"&lt;="&amp;A4017),"PR",""))</f>
        <v/>
      </c>
    </row>
    <row r="4018">
      <c r="A4018" s="7" t="n"/>
      <c r="H4018" s="11">
        <f>IF(OR(D4018="",E4018=""),"",D4018*E4018)</f>
        <v/>
      </c>
      <c r="I4018" s="8">
        <f>IF(OR(D4018="",E4018=""),"",E4018*(1+D4018/30))</f>
        <v/>
      </c>
      <c r="J4018">
        <f>IF(I4018="","",IF(I4018&gt;=MAXIFS($I$2:$I$5001,$B$2:$B$5001,B4018,$A$2:$A$5001,"&lt;="&amp;A4018),"PR",""))</f>
        <v/>
      </c>
    </row>
    <row r="4019">
      <c r="A4019" s="7" t="n"/>
      <c r="H4019" s="11">
        <f>IF(OR(D4019="",E4019=""),"",D4019*E4019)</f>
        <v/>
      </c>
      <c r="I4019" s="8">
        <f>IF(OR(D4019="",E4019=""),"",E4019*(1+D4019/30))</f>
        <v/>
      </c>
      <c r="J4019">
        <f>IF(I4019="","",IF(I4019&gt;=MAXIFS($I$2:$I$5001,$B$2:$B$5001,B4019,$A$2:$A$5001,"&lt;="&amp;A4019),"PR",""))</f>
        <v/>
      </c>
    </row>
    <row r="4020">
      <c r="A4020" s="7" t="n"/>
      <c r="H4020" s="11">
        <f>IF(OR(D4020="",E4020=""),"",D4020*E4020)</f>
        <v/>
      </c>
      <c r="I4020" s="8">
        <f>IF(OR(D4020="",E4020=""),"",E4020*(1+D4020/30))</f>
        <v/>
      </c>
      <c r="J4020">
        <f>IF(I4020="","",IF(I4020&gt;=MAXIFS($I$2:$I$5001,$B$2:$B$5001,B4020,$A$2:$A$5001,"&lt;="&amp;A4020),"PR",""))</f>
        <v/>
      </c>
    </row>
    <row r="4021">
      <c r="A4021" s="7" t="n"/>
      <c r="H4021" s="11">
        <f>IF(OR(D4021="",E4021=""),"",D4021*E4021)</f>
        <v/>
      </c>
      <c r="I4021" s="8">
        <f>IF(OR(D4021="",E4021=""),"",E4021*(1+D4021/30))</f>
        <v/>
      </c>
      <c r="J4021">
        <f>IF(I4021="","",IF(I4021&gt;=MAXIFS($I$2:$I$5001,$B$2:$B$5001,B4021,$A$2:$A$5001,"&lt;="&amp;A4021),"PR",""))</f>
        <v/>
      </c>
    </row>
    <row r="4022">
      <c r="A4022" s="7" t="n"/>
      <c r="H4022" s="11">
        <f>IF(OR(D4022="",E4022=""),"",D4022*E4022)</f>
        <v/>
      </c>
      <c r="I4022" s="8">
        <f>IF(OR(D4022="",E4022=""),"",E4022*(1+D4022/30))</f>
        <v/>
      </c>
      <c r="J4022">
        <f>IF(I4022="","",IF(I4022&gt;=MAXIFS($I$2:$I$5001,$B$2:$B$5001,B4022,$A$2:$A$5001,"&lt;="&amp;A4022),"PR",""))</f>
        <v/>
      </c>
    </row>
    <row r="4023">
      <c r="A4023" s="7" t="n"/>
      <c r="H4023" s="11">
        <f>IF(OR(D4023="",E4023=""),"",D4023*E4023)</f>
        <v/>
      </c>
      <c r="I4023" s="8">
        <f>IF(OR(D4023="",E4023=""),"",E4023*(1+D4023/30))</f>
        <v/>
      </c>
      <c r="J4023">
        <f>IF(I4023="","",IF(I4023&gt;=MAXIFS($I$2:$I$5001,$B$2:$B$5001,B4023,$A$2:$A$5001,"&lt;="&amp;A4023),"PR",""))</f>
        <v/>
      </c>
    </row>
    <row r="4024">
      <c r="A4024" s="7" t="n"/>
      <c r="H4024" s="11">
        <f>IF(OR(D4024="",E4024=""),"",D4024*E4024)</f>
        <v/>
      </c>
      <c r="I4024" s="8">
        <f>IF(OR(D4024="",E4024=""),"",E4024*(1+D4024/30))</f>
        <v/>
      </c>
      <c r="J4024">
        <f>IF(I4024="","",IF(I4024&gt;=MAXIFS($I$2:$I$5001,$B$2:$B$5001,B4024,$A$2:$A$5001,"&lt;="&amp;A4024),"PR",""))</f>
        <v/>
      </c>
    </row>
    <row r="4025">
      <c r="A4025" s="7" t="n"/>
      <c r="H4025" s="11">
        <f>IF(OR(D4025="",E4025=""),"",D4025*E4025)</f>
        <v/>
      </c>
      <c r="I4025" s="8">
        <f>IF(OR(D4025="",E4025=""),"",E4025*(1+D4025/30))</f>
        <v/>
      </c>
      <c r="J4025">
        <f>IF(I4025="","",IF(I4025&gt;=MAXIFS($I$2:$I$5001,$B$2:$B$5001,B4025,$A$2:$A$5001,"&lt;="&amp;A4025),"PR",""))</f>
        <v/>
      </c>
    </row>
    <row r="4026">
      <c r="A4026" s="7" t="n"/>
      <c r="H4026" s="11">
        <f>IF(OR(D4026="",E4026=""),"",D4026*E4026)</f>
        <v/>
      </c>
      <c r="I4026" s="8">
        <f>IF(OR(D4026="",E4026=""),"",E4026*(1+D4026/30))</f>
        <v/>
      </c>
      <c r="J4026">
        <f>IF(I4026="","",IF(I4026&gt;=MAXIFS($I$2:$I$5001,$B$2:$B$5001,B4026,$A$2:$A$5001,"&lt;="&amp;A4026),"PR",""))</f>
        <v/>
      </c>
    </row>
    <row r="4027">
      <c r="A4027" s="7" t="n"/>
      <c r="H4027" s="11">
        <f>IF(OR(D4027="",E4027=""),"",D4027*E4027)</f>
        <v/>
      </c>
      <c r="I4027" s="8">
        <f>IF(OR(D4027="",E4027=""),"",E4027*(1+D4027/30))</f>
        <v/>
      </c>
      <c r="J4027">
        <f>IF(I4027="","",IF(I4027&gt;=MAXIFS($I$2:$I$5001,$B$2:$B$5001,B4027,$A$2:$A$5001,"&lt;="&amp;A4027),"PR",""))</f>
        <v/>
      </c>
    </row>
    <row r="4028">
      <c r="A4028" s="7" t="n"/>
      <c r="H4028" s="11">
        <f>IF(OR(D4028="",E4028=""),"",D4028*E4028)</f>
        <v/>
      </c>
      <c r="I4028" s="8">
        <f>IF(OR(D4028="",E4028=""),"",E4028*(1+D4028/30))</f>
        <v/>
      </c>
      <c r="J4028">
        <f>IF(I4028="","",IF(I4028&gt;=MAXIFS($I$2:$I$5001,$B$2:$B$5001,B4028,$A$2:$A$5001,"&lt;="&amp;A4028),"PR",""))</f>
        <v/>
      </c>
    </row>
    <row r="4029">
      <c r="A4029" s="7" t="n"/>
      <c r="H4029" s="11">
        <f>IF(OR(D4029="",E4029=""),"",D4029*E4029)</f>
        <v/>
      </c>
      <c r="I4029" s="8">
        <f>IF(OR(D4029="",E4029=""),"",E4029*(1+D4029/30))</f>
        <v/>
      </c>
      <c r="J4029">
        <f>IF(I4029="","",IF(I4029&gt;=MAXIFS($I$2:$I$5001,$B$2:$B$5001,B4029,$A$2:$A$5001,"&lt;="&amp;A4029),"PR",""))</f>
        <v/>
      </c>
    </row>
    <row r="4030">
      <c r="A4030" s="7" t="n"/>
      <c r="H4030" s="11">
        <f>IF(OR(D4030="",E4030=""),"",D4030*E4030)</f>
        <v/>
      </c>
      <c r="I4030" s="8">
        <f>IF(OR(D4030="",E4030=""),"",E4030*(1+D4030/30))</f>
        <v/>
      </c>
      <c r="J4030">
        <f>IF(I4030="","",IF(I4030&gt;=MAXIFS($I$2:$I$5001,$B$2:$B$5001,B4030,$A$2:$A$5001,"&lt;="&amp;A4030),"PR",""))</f>
        <v/>
      </c>
    </row>
    <row r="4031">
      <c r="A4031" s="7" t="n"/>
      <c r="H4031" s="11">
        <f>IF(OR(D4031="",E4031=""),"",D4031*E4031)</f>
        <v/>
      </c>
      <c r="I4031" s="8">
        <f>IF(OR(D4031="",E4031=""),"",E4031*(1+D4031/30))</f>
        <v/>
      </c>
      <c r="J4031">
        <f>IF(I4031="","",IF(I4031&gt;=MAXIFS($I$2:$I$5001,$B$2:$B$5001,B4031,$A$2:$A$5001,"&lt;="&amp;A4031),"PR",""))</f>
        <v/>
      </c>
    </row>
    <row r="4032">
      <c r="A4032" s="7" t="n"/>
      <c r="H4032" s="11">
        <f>IF(OR(D4032="",E4032=""),"",D4032*E4032)</f>
        <v/>
      </c>
      <c r="I4032" s="8">
        <f>IF(OR(D4032="",E4032=""),"",E4032*(1+D4032/30))</f>
        <v/>
      </c>
      <c r="J4032">
        <f>IF(I4032="","",IF(I4032&gt;=MAXIFS($I$2:$I$5001,$B$2:$B$5001,B4032,$A$2:$A$5001,"&lt;="&amp;A4032),"PR",""))</f>
        <v/>
      </c>
    </row>
    <row r="4033">
      <c r="A4033" s="7" t="n"/>
      <c r="H4033" s="11">
        <f>IF(OR(D4033="",E4033=""),"",D4033*E4033)</f>
        <v/>
      </c>
      <c r="I4033" s="8">
        <f>IF(OR(D4033="",E4033=""),"",E4033*(1+D4033/30))</f>
        <v/>
      </c>
      <c r="J4033">
        <f>IF(I4033="","",IF(I4033&gt;=MAXIFS($I$2:$I$5001,$B$2:$B$5001,B4033,$A$2:$A$5001,"&lt;="&amp;A4033),"PR",""))</f>
        <v/>
      </c>
    </row>
    <row r="4034">
      <c r="A4034" s="7" t="n"/>
      <c r="H4034" s="11">
        <f>IF(OR(D4034="",E4034=""),"",D4034*E4034)</f>
        <v/>
      </c>
      <c r="I4034" s="8">
        <f>IF(OR(D4034="",E4034=""),"",E4034*(1+D4034/30))</f>
        <v/>
      </c>
      <c r="J4034">
        <f>IF(I4034="","",IF(I4034&gt;=MAXIFS($I$2:$I$5001,$B$2:$B$5001,B4034,$A$2:$A$5001,"&lt;="&amp;A4034),"PR",""))</f>
        <v/>
      </c>
    </row>
    <row r="4035">
      <c r="A4035" s="7" t="n"/>
      <c r="H4035" s="11">
        <f>IF(OR(D4035="",E4035=""),"",D4035*E4035)</f>
        <v/>
      </c>
      <c r="I4035" s="8">
        <f>IF(OR(D4035="",E4035=""),"",E4035*(1+D4035/30))</f>
        <v/>
      </c>
      <c r="J4035">
        <f>IF(I4035="","",IF(I4035&gt;=MAXIFS($I$2:$I$5001,$B$2:$B$5001,B4035,$A$2:$A$5001,"&lt;="&amp;A4035),"PR",""))</f>
        <v/>
      </c>
    </row>
    <row r="4036">
      <c r="A4036" s="7" t="n"/>
      <c r="H4036" s="11">
        <f>IF(OR(D4036="",E4036=""),"",D4036*E4036)</f>
        <v/>
      </c>
      <c r="I4036" s="8">
        <f>IF(OR(D4036="",E4036=""),"",E4036*(1+D4036/30))</f>
        <v/>
      </c>
      <c r="J4036">
        <f>IF(I4036="","",IF(I4036&gt;=MAXIFS($I$2:$I$5001,$B$2:$B$5001,B4036,$A$2:$A$5001,"&lt;="&amp;A4036),"PR",""))</f>
        <v/>
      </c>
    </row>
    <row r="4037">
      <c r="A4037" s="7" t="n"/>
      <c r="H4037" s="11">
        <f>IF(OR(D4037="",E4037=""),"",D4037*E4037)</f>
        <v/>
      </c>
      <c r="I4037" s="8">
        <f>IF(OR(D4037="",E4037=""),"",E4037*(1+D4037/30))</f>
        <v/>
      </c>
      <c r="J4037">
        <f>IF(I4037="","",IF(I4037&gt;=MAXIFS($I$2:$I$5001,$B$2:$B$5001,B4037,$A$2:$A$5001,"&lt;="&amp;A4037),"PR",""))</f>
        <v/>
      </c>
    </row>
    <row r="4038">
      <c r="A4038" s="7" t="n"/>
      <c r="H4038" s="11">
        <f>IF(OR(D4038="",E4038=""),"",D4038*E4038)</f>
        <v/>
      </c>
      <c r="I4038" s="8">
        <f>IF(OR(D4038="",E4038=""),"",E4038*(1+D4038/30))</f>
        <v/>
      </c>
      <c r="J4038">
        <f>IF(I4038="","",IF(I4038&gt;=MAXIFS($I$2:$I$5001,$B$2:$B$5001,B4038,$A$2:$A$5001,"&lt;="&amp;A4038),"PR",""))</f>
        <v/>
      </c>
    </row>
    <row r="4039">
      <c r="A4039" s="7" t="n"/>
      <c r="H4039" s="11">
        <f>IF(OR(D4039="",E4039=""),"",D4039*E4039)</f>
        <v/>
      </c>
      <c r="I4039" s="8">
        <f>IF(OR(D4039="",E4039=""),"",E4039*(1+D4039/30))</f>
        <v/>
      </c>
      <c r="J4039">
        <f>IF(I4039="","",IF(I4039&gt;=MAXIFS($I$2:$I$5001,$B$2:$B$5001,B4039,$A$2:$A$5001,"&lt;="&amp;A4039),"PR",""))</f>
        <v/>
      </c>
    </row>
    <row r="4040">
      <c r="A4040" s="7" t="n"/>
      <c r="H4040" s="11">
        <f>IF(OR(D4040="",E4040=""),"",D4040*E4040)</f>
        <v/>
      </c>
      <c r="I4040" s="8">
        <f>IF(OR(D4040="",E4040=""),"",E4040*(1+D4040/30))</f>
        <v/>
      </c>
      <c r="J4040">
        <f>IF(I4040="","",IF(I4040&gt;=MAXIFS($I$2:$I$5001,$B$2:$B$5001,B4040,$A$2:$A$5001,"&lt;="&amp;A4040),"PR",""))</f>
        <v/>
      </c>
    </row>
    <row r="4041">
      <c r="A4041" s="7" t="n"/>
      <c r="H4041" s="11">
        <f>IF(OR(D4041="",E4041=""),"",D4041*E4041)</f>
        <v/>
      </c>
      <c r="I4041" s="8">
        <f>IF(OR(D4041="",E4041=""),"",E4041*(1+D4041/30))</f>
        <v/>
      </c>
      <c r="J4041">
        <f>IF(I4041="","",IF(I4041&gt;=MAXIFS($I$2:$I$5001,$B$2:$B$5001,B4041,$A$2:$A$5001,"&lt;="&amp;A4041),"PR",""))</f>
        <v/>
      </c>
    </row>
    <row r="4042">
      <c r="A4042" s="7" t="n"/>
      <c r="H4042" s="11">
        <f>IF(OR(D4042="",E4042=""),"",D4042*E4042)</f>
        <v/>
      </c>
      <c r="I4042" s="8">
        <f>IF(OR(D4042="",E4042=""),"",E4042*(1+D4042/30))</f>
        <v/>
      </c>
      <c r="J4042">
        <f>IF(I4042="","",IF(I4042&gt;=MAXIFS($I$2:$I$5001,$B$2:$B$5001,B4042,$A$2:$A$5001,"&lt;="&amp;A4042),"PR",""))</f>
        <v/>
      </c>
    </row>
    <row r="4043">
      <c r="A4043" s="7" t="n"/>
      <c r="H4043" s="11">
        <f>IF(OR(D4043="",E4043=""),"",D4043*E4043)</f>
        <v/>
      </c>
      <c r="I4043" s="8">
        <f>IF(OR(D4043="",E4043=""),"",E4043*(1+D4043/30))</f>
        <v/>
      </c>
      <c r="J4043">
        <f>IF(I4043="","",IF(I4043&gt;=MAXIFS($I$2:$I$5001,$B$2:$B$5001,B4043,$A$2:$A$5001,"&lt;="&amp;A4043),"PR",""))</f>
        <v/>
      </c>
    </row>
    <row r="4044">
      <c r="A4044" s="7" t="n"/>
      <c r="H4044" s="11">
        <f>IF(OR(D4044="",E4044=""),"",D4044*E4044)</f>
        <v/>
      </c>
      <c r="I4044" s="8">
        <f>IF(OR(D4044="",E4044=""),"",E4044*(1+D4044/30))</f>
        <v/>
      </c>
      <c r="J4044">
        <f>IF(I4044="","",IF(I4044&gt;=MAXIFS($I$2:$I$5001,$B$2:$B$5001,B4044,$A$2:$A$5001,"&lt;="&amp;A4044),"PR",""))</f>
        <v/>
      </c>
    </row>
    <row r="4045">
      <c r="A4045" s="7" t="n"/>
      <c r="H4045" s="11">
        <f>IF(OR(D4045="",E4045=""),"",D4045*E4045)</f>
        <v/>
      </c>
      <c r="I4045" s="8">
        <f>IF(OR(D4045="",E4045=""),"",E4045*(1+D4045/30))</f>
        <v/>
      </c>
      <c r="J4045">
        <f>IF(I4045="","",IF(I4045&gt;=MAXIFS($I$2:$I$5001,$B$2:$B$5001,B4045,$A$2:$A$5001,"&lt;="&amp;A4045),"PR",""))</f>
        <v/>
      </c>
    </row>
    <row r="4046">
      <c r="A4046" s="7" t="n"/>
      <c r="H4046" s="11">
        <f>IF(OR(D4046="",E4046=""),"",D4046*E4046)</f>
        <v/>
      </c>
      <c r="I4046" s="8">
        <f>IF(OR(D4046="",E4046=""),"",E4046*(1+D4046/30))</f>
        <v/>
      </c>
      <c r="J4046">
        <f>IF(I4046="","",IF(I4046&gt;=MAXIFS($I$2:$I$5001,$B$2:$B$5001,B4046,$A$2:$A$5001,"&lt;="&amp;A4046),"PR",""))</f>
        <v/>
      </c>
    </row>
    <row r="4047">
      <c r="A4047" s="7" t="n"/>
      <c r="H4047" s="11">
        <f>IF(OR(D4047="",E4047=""),"",D4047*E4047)</f>
        <v/>
      </c>
      <c r="I4047" s="8">
        <f>IF(OR(D4047="",E4047=""),"",E4047*(1+D4047/30))</f>
        <v/>
      </c>
      <c r="J4047">
        <f>IF(I4047="","",IF(I4047&gt;=MAXIFS($I$2:$I$5001,$B$2:$B$5001,B4047,$A$2:$A$5001,"&lt;="&amp;A4047),"PR",""))</f>
        <v/>
      </c>
    </row>
    <row r="4048">
      <c r="A4048" s="7" t="n"/>
      <c r="H4048" s="11">
        <f>IF(OR(D4048="",E4048=""),"",D4048*E4048)</f>
        <v/>
      </c>
      <c r="I4048" s="8">
        <f>IF(OR(D4048="",E4048=""),"",E4048*(1+D4048/30))</f>
        <v/>
      </c>
      <c r="J4048">
        <f>IF(I4048="","",IF(I4048&gt;=MAXIFS($I$2:$I$5001,$B$2:$B$5001,B4048,$A$2:$A$5001,"&lt;="&amp;A4048),"PR",""))</f>
        <v/>
      </c>
    </row>
    <row r="4049">
      <c r="A4049" s="7" t="n"/>
      <c r="H4049" s="11">
        <f>IF(OR(D4049="",E4049=""),"",D4049*E4049)</f>
        <v/>
      </c>
      <c r="I4049" s="8">
        <f>IF(OR(D4049="",E4049=""),"",E4049*(1+D4049/30))</f>
        <v/>
      </c>
      <c r="J4049">
        <f>IF(I4049="","",IF(I4049&gt;=MAXIFS($I$2:$I$5001,$B$2:$B$5001,B4049,$A$2:$A$5001,"&lt;="&amp;A4049),"PR",""))</f>
        <v/>
      </c>
    </row>
    <row r="4050">
      <c r="A4050" s="7" t="n"/>
      <c r="H4050" s="11">
        <f>IF(OR(D4050="",E4050=""),"",D4050*E4050)</f>
        <v/>
      </c>
      <c r="I4050" s="8">
        <f>IF(OR(D4050="",E4050=""),"",E4050*(1+D4050/30))</f>
        <v/>
      </c>
      <c r="J4050">
        <f>IF(I4050="","",IF(I4050&gt;=MAXIFS($I$2:$I$5001,$B$2:$B$5001,B4050,$A$2:$A$5001,"&lt;="&amp;A4050),"PR",""))</f>
        <v/>
      </c>
    </row>
    <row r="4051">
      <c r="A4051" s="7" t="n"/>
      <c r="H4051" s="11">
        <f>IF(OR(D4051="",E4051=""),"",D4051*E4051)</f>
        <v/>
      </c>
      <c r="I4051" s="8">
        <f>IF(OR(D4051="",E4051=""),"",E4051*(1+D4051/30))</f>
        <v/>
      </c>
      <c r="J4051">
        <f>IF(I4051="","",IF(I4051&gt;=MAXIFS($I$2:$I$5001,$B$2:$B$5001,B4051,$A$2:$A$5001,"&lt;="&amp;A4051),"PR",""))</f>
        <v/>
      </c>
    </row>
    <row r="4052">
      <c r="A4052" s="7" t="n"/>
      <c r="H4052" s="11">
        <f>IF(OR(D4052="",E4052=""),"",D4052*E4052)</f>
        <v/>
      </c>
      <c r="I4052" s="8">
        <f>IF(OR(D4052="",E4052=""),"",E4052*(1+D4052/30))</f>
        <v/>
      </c>
      <c r="J4052">
        <f>IF(I4052="","",IF(I4052&gt;=MAXIFS($I$2:$I$5001,$B$2:$B$5001,B4052,$A$2:$A$5001,"&lt;="&amp;A4052),"PR",""))</f>
        <v/>
      </c>
    </row>
    <row r="4053">
      <c r="A4053" s="7" t="n"/>
      <c r="H4053" s="11">
        <f>IF(OR(D4053="",E4053=""),"",D4053*E4053)</f>
        <v/>
      </c>
      <c r="I4053" s="8">
        <f>IF(OR(D4053="",E4053=""),"",E4053*(1+D4053/30))</f>
        <v/>
      </c>
      <c r="J4053">
        <f>IF(I4053="","",IF(I4053&gt;=MAXIFS($I$2:$I$5001,$B$2:$B$5001,B4053,$A$2:$A$5001,"&lt;="&amp;A4053),"PR",""))</f>
        <v/>
      </c>
    </row>
    <row r="4054">
      <c r="A4054" s="7" t="n"/>
      <c r="H4054" s="11">
        <f>IF(OR(D4054="",E4054=""),"",D4054*E4054)</f>
        <v/>
      </c>
      <c r="I4054" s="8">
        <f>IF(OR(D4054="",E4054=""),"",E4054*(1+D4054/30))</f>
        <v/>
      </c>
      <c r="J4054">
        <f>IF(I4054="","",IF(I4054&gt;=MAXIFS($I$2:$I$5001,$B$2:$B$5001,B4054,$A$2:$A$5001,"&lt;="&amp;A4054),"PR",""))</f>
        <v/>
      </c>
    </row>
    <row r="4055">
      <c r="A4055" s="7" t="n"/>
      <c r="H4055" s="11">
        <f>IF(OR(D4055="",E4055=""),"",D4055*E4055)</f>
        <v/>
      </c>
      <c r="I4055" s="8">
        <f>IF(OR(D4055="",E4055=""),"",E4055*(1+D4055/30))</f>
        <v/>
      </c>
      <c r="J4055">
        <f>IF(I4055="","",IF(I4055&gt;=MAXIFS($I$2:$I$5001,$B$2:$B$5001,B4055,$A$2:$A$5001,"&lt;="&amp;A4055),"PR",""))</f>
        <v/>
      </c>
    </row>
    <row r="4056">
      <c r="A4056" s="7" t="n"/>
      <c r="H4056" s="11">
        <f>IF(OR(D4056="",E4056=""),"",D4056*E4056)</f>
        <v/>
      </c>
      <c r="I4056" s="8">
        <f>IF(OR(D4056="",E4056=""),"",E4056*(1+D4056/30))</f>
        <v/>
      </c>
      <c r="J4056">
        <f>IF(I4056="","",IF(I4056&gt;=MAXIFS($I$2:$I$5001,$B$2:$B$5001,B4056,$A$2:$A$5001,"&lt;="&amp;A4056),"PR",""))</f>
        <v/>
      </c>
    </row>
    <row r="4057">
      <c r="A4057" s="7" t="n"/>
      <c r="H4057" s="11">
        <f>IF(OR(D4057="",E4057=""),"",D4057*E4057)</f>
        <v/>
      </c>
      <c r="I4057" s="8">
        <f>IF(OR(D4057="",E4057=""),"",E4057*(1+D4057/30))</f>
        <v/>
      </c>
      <c r="J4057">
        <f>IF(I4057="","",IF(I4057&gt;=MAXIFS($I$2:$I$5001,$B$2:$B$5001,B4057,$A$2:$A$5001,"&lt;="&amp;A4057),"PR",""))</f>
        <v/>
      </c>
    </row>
    <row r="4058">
      <c r="A4058" s="7" t="n"/>
      <c r="H4058" s="11">
        <f>IF(OR(D4058="",E4058=""),"",D4058*E4058)</f>
        <v/>
      </c>
      <c r="I4058" s="8">
        <f>IF(OR(D4058="",E4058=""),"",E4058*(1+D4058/30))</f>
        <v/>
      </c>
      <c r="J4058">
        <f>IF(I4058="","",IF(I4058&gt;=MAXIFS($I$2:$I$5001,$B$2:$B$5001,B4058,$A$2:$A$5001,"&lt;="&amp;A4058),"PR",""))</f>
        <v/>
      </c>
    </row>
    <row r="4059">
      <c r="A4059" s="7" t="n"/>
      <c r="H4059" s="11">
        <f>IF(OR(D4059="",E4059=""),"",D4059*E4059)</f>
        <v/>
      </c>
      <c r="I4059" s="8">
        <f>IF(OR(D4059="",E4059=""),"",E4059*(1+D4059/30))</f>
        <v/>
      </c>
      <c r="J4059">
        <f>IF(I4059="","",IF(I4059&gt;=MAXIFS($I$2:$I$5001,$B$2:$B$5001,B4059,$A$2:$A$5001,"&lt;="&amp;A4059),"PR",""))</f>
        <v/>
      </c>
    </row>
    <row r="4060">
      <c r="A4060" s="7" t="n"/>
      <c r="H4060" s="11">
        <f>IF(OR(D4060="",E4060=""),"",D4060*E4060)</f>
        <v/>
      </c>
      <c r="I4060" s="8">
        <f>IF(OR(D4060="",E4060=""),"",E4060*(1+D4060/30))</f>
        <v/>
      </c>
      <c r="J4060">
        <f>IF(I4060="","",IF(I4060&gt;=MAXIFS($I$2:$I$5001,$B$2:$B$5001,B4060,$A$2:$A$5001,"&lt;="&amp;A4060),"PR",""))</f>
        <v/>
      </c>
    </row>
    <row r="4061">
      <c r="A4061" s="7" t="n"/>
      <c r="H4061" s="11">
        <f>IF(OR(D4061="",E4061=""),"",D4061*E4061)</f>
        <v/>
      </c>
      <c r="I4061" s="8">
        <f>IF(OR(D4061="",E4061=""),"",E4061*(1+D4061/30))</f>
        <v/>
      </c>
      <c r="J4061">
        <f>IF(I4061="","",IF(I4061&gt;=MAXIFS($I$2:$I$5001,$B$2:$B$5001,B4061,$A$2:$A$5001,"&lt;="&amp;A4061),"PR",""))</f>
        <v/>
      </c>
    </row>
    <row r="4062">
      <c r="A4062" s="7" t="n"/>
      <c r="H4062" s="11">
        <f>IF(OR(D4062="",E4062=""),"",D4062*E4062)</f>
        <v/>
      </c>
      <c r="I4062" s="8">
        <f>IF(OR(D4062="",E4062=""),"",E4062*(1+D4062/30))</f>
        <v/>
      </c>
      <c r="J4062">
        <f>IF(I4062="","",IF(I4062&gt;=MAXIFS($I$2:$I$5001,$B$2:$B$5001,B4062,$A$2:$A$5001,"&lt;="&amp;A4062),"PR",""))</f>
        <v/>
      </c>
    </row>
    <row r="4063">
      <c r="A4063" s="7" t="n"/>
      <c r="H4063" s="11">
        <f>IF(OR(D4063="",E4063=""),"",D4063*E4063)</f>
        <v/>
      </c>
      <c r="I4063" s="8">
        <f>IF(OR(D4063="",E4063=""),"",E4063*(1+D4063/30))</f>
        <v/>
      </c>
      <c r="J4063">
        <f>IF(I4063="","",IF(I4063&gt;=MAXIFS($I$2:$I$5001,$B$2:$B$5001,B4063,$A$2:$A$5001,"&lt;="&amp;A4063),"PR",""))</f>
        <v/>
      </c>
    </row>
    <row r="4064">
      <c r="A4064" s="7" t="n"/>
      <c r="H4064" s="11">
        <f>IF(OR(D4064="",E4064=""),"",D4064*E4064)</f>
        <v/>
      </c>
      <c r="I4064" s="8">
        <f>IF(OR(D4064="",E4064=""),"",E4064*(1+D4064/30))</f>
        <v/>
      </c>
      <c r="J4064">
        <f>IF(I4064="","",IF(I4064&gt;=MAXIFS($I$2:$I$5001,$B$2:$B$5001,B4064,$A$2:$A$5001,"&lt;="&amp;A4064),"PR",""))</f>
        <v/>
      </c>
    </row>
    <row r="4065">
      <c r="A4065" s="7" t="n"/>
      <c r="H4065" s="11">
        <f>IF(OR(D4065="",E4065=""),"",D4065*E4065)</f>
        <v/>
      </c>
      <c r="I4065" s="8">
        <f>IF(OR(D4065="",E4065=""),"",E4065*(1+D4065/30))</f>
        <v/>
      </c>
      <c r="J4065">
        <f>IF(I4065="","",IF(I4065&gt;=MAXIFS($I$2:$I$5001,$B$2:$B$5001,B4065,$A$2:$A$5001,"&lt;="&amp;A4065),"PR",""))</f>
        <v/>
      </c>
    </row>
    <row r="4066">
      <c r="A4066" s="7" t="n"/>
      <c r="H4066" s="11">
        <f>IF(OR(D4066="",E4066=""),"",D4066*E4066)</f>
        <v/>
      </c>
      <c r="I4066" s="8">
        <f>IF(OR(D4066="",E4066=""),"",E4066*(1+D4066/30))</f>
        <v/>
      </c>
      <c r="J4066">
        <f>IF(I4066="","",IF(I4066&gt;=MAXIFS($I$2:$I$5001,$B$2:$B$5001,B4066,$A$2:$A$5001,"&lt;="&amp;A4066),"PR",""))</f>
        <v/>
      </c>
    </row>
    <row r="4067">
      <c r="A4067" s="7" t="n"/>
      <c r="H4067" s="11">
        <f>IF(OR(D4067="",E4067=""),"",D4067*E4067)</f>
        <v/>
      </c>
      <c r="I4067" s="8">
        <f>IF(OR(D4067="",E4067=""),"",E4067*(1+D4067/30))</f>
        <v/>
      </c>
      <c r="J4067">
        <f>IF(I4067="","",IF(I4067&gt;=MAXIFS($I$2:$I$5001,$B$2:$B$5001,B4067,$A$2:$A$5001,"&lt;="&amp;A4067),"PR",""))</f>
        <v/>
      </c>
    </row>
    <row r="4068">
      <c r="A4068" s="7" t="n"/>
      <c r="H4068" s="11">
        <f>IF(OR(D4068="",E4068=""),"",D4068*E4068)</f>
        <v/>
      </c>
      <c r="I4068" s="8">
        <f>IF(OR(D4068="",E4068=""),"",E4068*(1+D4068/30))</f>
        <v/>
      </c>
      <c r="J4068">
        <f>IF(I4068="","",IF(I4068&gt;=MAXIFS($I$2:$I$5001,$B$2:$B$5001,B4068,$A$2:$A$5001,"&lt;="&amp;A4068),"PR",""))</f>
        <v/>
      </c>
    </row>
    <row r="4069">
      <c r="A4069" s="7" t="n"/>
      <c r="H4069" s="11">
        <f>IF(OR(D4069="",E4069=""),"",D4069*E4069)</f>
        <v/>
      </c>
      <c r="I4069" s="8">
        <f>IF(OR(D4069="",E4069=""),"",E4069*(1+D4069/30))</f>
        <v/>
      </c>
      <c r="J4069">
        <f>IF(I4069="","",IF(I4069&gt;=MAXIFS($I$2:$I$5001,$B$2:$B$5001,B4069,$A$2:$A$5001,"&lt;="&amp;A4069),"PR",""))</f>
        <v/>
      </c>
    </row>
    <row r="4070">
      <c r="A4070" s="7" t="n"/>
      <c r="H4070" s="11">
        <f>IF(OR(D4070="",E4070=""),"",D4070*E4070)</f>
        <v/>
      </c>
      <c r="I4070" s="8">
        <f>IF(OR(D4070="",E4070=""),"",E4070*(1+D4070/30))</f>
        <v/>
      </c>
      <c r="J4070">
        <f>IF(I4070="","",IF(I4070&gt;=MAXIFS($I$2:$I$5001,$B$2:$B$5001,B4070,$A$2:$A$5001,"&lt;="&amp;A4070),"PR",""))</f>
        <v/>
      </c>
    </row>
    <row r="4071">
      <c r="A4071" s="7" t="n"/>
      <c r="H4071" s="11">
        <f>IF(OR(D4071="",E4071=""),"",D4071*E4071)</f>
        <v/>
      </c>
      <c r="I4071" s="8">
        <f>IF(OR(D4071="",E4071=""),"",E4071*(1+D4071/30))</f>
        <v/>
      </c>
      <c r="J4071">
        <f>IF(I4071="","",IF(I4071&gt;=MAXIFS($I$2:$I$5001,$B$2:$B$5001,B4071,$A$2:$A$5001,"&lt;="&amp;A4071),"PR",""))</f>
        <v/>
      </c>
    </row>
    <row r="4072">
      <c r="A4072" s="7" t="n"/>
      <c r="H4072" s="11">
        <f>IF(OR(D4072="",E4072=""),"",D4072*E4072)</f>
        <v/>
      </c>
      <c r="I4072" s="8">
        <f>IF(OR(D4072="",E4072=""),"",E4072*(1+D4072/30))</f>
        <v/>
      </c>
      <c r="J4072">
        <f>IF(I4072="","",IF(I4072&gt;=MAXIFS($I$2:$I$5001,$B$2:$B$5001,B4072,$A$2:$A$5001,"&lt;="&amp;A4072),"PR",""))</f>
        <v/>
      </c>
    </row>
    <row r="4073">
      <c r="A4073" s="7" t="n"/>
      <c r="H4073" s="11">
        <f>IF(OR(D4073="",E4073=""),"",D4073*E4073)</f>
        <v/>
      </c>
      <c r="I4073" s="8">
        <f>IF(OR(D4073="",E4073=""),"",E4073*(1+D4073/30))</f>
        <v/>
      </c>
      <c r="J4073">
        <f>IF(I4073="","",IF(I4073&gt;=MAXIFS($I$2:$I$5001,$B$2:$B$5001,B4073,$A$2:$A$5001,"&lt;="&amp;A4073),"PR",""))</f>
        <v/>
      </c>
    </row>
    <row r="4074">
      <c r="A4074" s="7" t="n"/>
      <c r="H4074" s="11">
        <f>IF(OR(D4074="",E4074=""),"",D4074*E4074)</f>
        <v/>
      </c>
      <c r="I4074" s="8">
        <f>IF(OR(D4074="",E4074=""),"",E4074*(1+D4074/30))</f>
        <v/>
      </c>
      <c r="J4074">
        <f>IF(I4074="","",IF(I4074&gt;=MAXIFS($I$2:$I$5001,$B$2:$B$5001,B4074,$A$2:$A$5001,"&lt;="&amp;A4074),"PR",""))</f>
        <v/>
      </c>
    </row>
    <row r="4075">
      <c r="A4075" s="7" t="n"/>
      <c r="H4075" s="11">
        <f>IF(OR(D4075="",E4075=""),"",D4075*E4075)</f>
        <v/>
      </c>
      <c r="I4075" s="8">
        <f>IF(OR(D4075="",E4075=""),"",E4075*(1+D4075/30))</f>
        <v/>
      </c>
      <c r="J4075">
        <f>IF(I4075="","",IF(I4075&gt;=MAXIFS($I$2:$I$5001,$B$2:$B$5001,B4075,$A$2:$A$5001,"&lt;="&amp;A4075),"PR",""))</f>
        <v/>
      </c>
    </row>
    <row r="4076">
      <c r="A4076" s="7" t="n"/>
      <c r="H4076" s="11">
        <f>IF(OR(D4076="",E4076=""),"",D4076*E4076)</f>
        <v/>
      </c>
      <c r="I4076" s="8">
        <f>IF(OR(D4076="",E4076=""),"",E4076*(1+D4076/30))</f>
        <v/>
      </c>
      <c r="J4076">
        <f>IF(I4076="","",IF(I4076&gt;=MAXIFS($I$2:$I$5001,$B$2:$B$5001,B4076,$A$2:$A$5001,"&lt;="&amp;A4076),"PR",""))</f>
        <v/>
      </c>
    </row>
    <row r="4077">
      <c r="A4077" s="7" t="n"/>
      <c r="H4077" s="11">
        <f>IF(OR(D4077="",E4077=""),"",D4077*E4077)</f>
        <v/>
      </c>
      <c r="I4077" s="8">
        <f>IF(OR(D4077="",E4077=""),"",E4077*(1+D4077/30))</f>
        <v/>
      </c>
      <c r="J4077">
        <f>IF(I4077="","",IF(I4077&gt;=MAXIFS($I$2:$I$5001,$B$2:$B$5001,B4077,$A$2:$A$5001,"&lt;="&amp;A4077),"PR",""))</f>
        <v/>
      </c>
    </row>
    <row r="4078">
      <c r="A4078" s="7" t="n"/>
      <c r="H4078" s="11">
        <f>IF(OR(D4078="",E4078=""),"",D4078*E4078)</f>
        <v/>
      </c>
      <c r="I4078" s="8">
        <f>IF(OR(D4078="",E4078=""),"",E4078*(1+D4078/30))</f>
        <v/>
      </c>
      <c r="J4078">
        <f>IF(I4078="","",IF(I4078&gt;=MAXIFS($I$2:$I$5001,$B$2:$B$5001,B4078,$A$2:$A$5001,"&lt;="&amp;A4078),"PR",""))</f>
        <v/>
      </c>
    </row>
    <row r="4079">
      <c r="A4079" s="7" t="n"/>
      <c r="H4079" s="11">
        <f>IF(OR(D4079="",E4079=""),"",D4079*E4079)</f>
        <v/>
      </c>
      <c r="I4079" s="8">
        <f>IF(OR(D4079="",E4079=""),"",E4079*(1+D4079/30))</f>
        <v/>
      </c>
      <c r="J4079">
        <f>IF(I4079="","",IF(I4079&gt;=MAXIFS($I$2:$I$5001,$B$2:$B$5001,B4079,$A$2:$A$5001,"&lt;="&amp;A4079),"PR",""))</f>
        <v/>
      </c>
    </row>
    <row r="4080">
      <c r="A4080" s="7" t="n"/>
      <c r="H4080" s="11">
        <f>IF(OR(D4080="",E4080=""),"",D4080*E4080)</f>
        <v/>
      </c>
      <c r="I4080" s="8">
        <f>IF(OR(D4080="",E4080=""),"",E4080*(1+D4080/30))</f>
        <v/>
      </c>
      <c r="J4080">
        <f>IF(I4080="","",IF(I4080&gt;=MAXIFS($I$2:$I$5001,$B$2:$B$5001,B4080,$A$2:$A$5001,"&lt;="&amp;A4080),"PR",""))</f>
        <v/>
      </c>
    </row>
    <row r="4081">
      <c r="A4081" s="7" t="n"/>
      <c r="H4081" s="11">
        <f>IF(OR(D4081="",E4081=""),"",D4081*E4081)</f>
        <v/>
      </c>
      <c r="I4081" s="8">
        <f>IF(OR(D4081="",E4081=""),"",E4081*(1+D4081/30))</f>
        <v/>
      </c>
      <c r="J4081">
        <f>IF(I4081="","",IF(I4081&gt;=MAXIFS($I$2:$I$5001,$B$2:$B$5001,B4081,$A$2:$A$5001,"&lt;="&amp;A4081),"PR",""))</f>
        <v/>
      </c>
    </row>
    <row r="4082">
      <c r="A4082" s="7" t="n"/>
      <c r="H4082" s="11">
        <f>IF(OR(D4082="",E4082=""),"",D4082*E4082)</f>
        <v/>
      </c>
      <c r="I4082" s="8">
        <f>IF(OR(D4082="",E4082=""),"",E4082*(1+D4082/30))</f>
        <v/>
      </c>
      <c r="J4082">
        <f>IF(I4082="","",IF(I4082&gt;=MAXIFS($I$2:$I$5001,$B$2:$B$5001,B4082,$A$2:$A$5001,"&lt;="&amp;A4082),"PR",""))</f>
        <v/>
      </c>
    </row>
    <row r="4083">
      <c r="A4083" s="7" t="n"/>
      <c r="H4083" s="11">
        <f>IF(OR(D4083="",E4083=""),"",D4083*E4083)</f>
        <v/>
      </c>
      <c r="I4083" s="8">
        <f>IF(OR(D4083="",E4083=""),"",E4083*(1+D4083/30))</f>
        <v/>
      </c>
      <c r="J4083">
        <f>IF(I4083="","",IF(I4083&gt;=MAXIFS($I$2:$I$5001,$B$2:$B$5001,B4083,$A$2:$A$5001,"&lt;="&amp;A4083),"PR",""))</f>
        <v/>
      </c>
    </row>
    <row r="4084">
      <c r="A4084" s="7" t="n"/>
      <c r="H4084" s="11">
        <f>IF(OR(D4084="",E4084=""),"",D4084*E4084)</f>
        <v/>
      </c>
      <c r="I4084" s="8">
        <f>IF(OR(D4084="",E4084=""),"",E4084*(1+D4084/30))</f>
        <v/>
      </c>
      <c r="J4084">
        <f>IF(I4084="","",IF(I4084&gt;=MAXIFS($I$2:$I$5001,$B$2:$B$5001,B4084,$A$2:$A$5001,"&lt;="&amp;A4084),"PR",""))</f>
        <v/>
      </c>
    </row>
    <row r="4085">
      <c r="A4085" s="7" t="n"/>
      <c r="H4085" s="11">
        <f>IF(OR(D4085="",E4085=""),"",D4085*E4085)</f>
        <v/>
      </c>
      <c r="I4085" s="8">
        <f>IF(OR(D4085="",E4085=""),"",E4085*(1+D4085/30))</f>
        <v/>
      </c>
      <c r="J4085">
        <f>IF(I4085="","",IF(I4085&gt;=MAXIFS($I$2:$I$5001,$B$2:$B$5001,B4085,$A$2:$A$5001,"&lt;="&amp;A4085),"PR",""))</f>
        <v/>
      </c>
    </row>
    <row r="4086">
      <c r="A4086" s="7" t="n"/>
      <c r="H4086" s="11">
        <f>IF(OR(D4086="",E4086=""),"",D4086*E4086)</f>
        <v/>
      </c>
      <c r="I4086" s="8">
        <f>IF(OR(D4086="",E4086=""),"",E4086*(1+D4086/30))</f>
        <v/>
      </c>
      <c r="J4086">
        <f>IF(I4086="","",IF(I4086&gt;=MAXIFS($I$2:$I$5001,$B$2:$B$5001,B4086,$A$2:$A$5001,"&lt;="&amp;A4086),"PR",""))</f>
        <v/>
      </c>
    </row>
    <row r="4087">
      <c r="A4087" s="7" t="n"/>
      <c r="H4087" s="11">
        <f>IF(OR(D4087="",E4087=""),"",D4087*E4087)</f>
        <v/>
      </c>
      <c r="I4087" s="8">
        <f>IF(OR(D4087="",E4087=""),"",E4087*(1+D4087/30))</f>
        <v/>
      </c>
      <c r="J4087">
        <f>IF(I4087="","",IF(I4087&gt;=MAXIFS($I$2:$I$5001,$B$2:$B$5001,B4087,$A$2:$A$5001,"&lt;="&amp;A4087),"PR",""))</f>
        <v/>
      </c>
    </row>
    <row r="4088">
      <c r="A4088" s="7" t="n"/>
      <c r="H4088" s="11">
        <f>IF(OR(D4088="",E4088=""),"",D4088*E4088)</f>
        <v/>
      </c>
      <c r="I4088" s="8">
        <f>IF(OR(D4088="",E4088=""),"",E4088*(1+D4088/30))</f>
        <v/>
      </c>
      <c r="J4088">
        <f>IF(I4088="","",IF(I4088&gt;=MAXIFS($I$2:$I$5001,$B$2:$B$5001,B4088,$A$2:$A$5001,"&lt;="&amp;A4088),"PR",""))</f>
        <v/>
      </c>
    </row>
    <row r="4089">
      <c r="A4089" s="7" t="n"/>
      <c r="H4089" s="11">
        <f>IF(OR(D4089="",E4089=""),"",D4089*E4089)</f>
        <v/>
      </c>
      <c r="I4089" s="8">
        <f>IF(OR(D4089="",E4089=""),"",E4089*(1+D4089/30))</f>
        <v/>
      </c>
      <c r="J4089">
        <f>IF(I4089="","",IF(I4089&gt;=MAXIFS($I$2:$I$5001,$B$2:$B$5001,B4089,$A$2:$A$5001,"&lt;="&amp;A4089),"PR",""))</f>
        <v/>
      </c>
    </row>
    <row r="4090">
      <c r="A4090" s="7" t="n"/>
      <c r="H4090" s="11">
        <f>IF(OR(D4090="",E4090=""),"",D4090*E4090)</f>
        <v/>
      </c>
      <c r="I4090" s="8">
        <f>IF(OR(D4090="",E4090=""),"",E4090*(1+D4090/30))</f>
        <v/>
      </c>
      <c r="J4090">
        <f>IF(I4090="","",IF(I4090&gt;=MAXIFS($I$2:$I$5001,$B$2:$B$5001,B4090,$A$2:$A$5001,"&lt;="&amp;A4090),"PR",""))</f>
        <v/>
      </c>
    </row>
    <row r="4091">
      <c r="A4091" s="7" t="n"/>
      <c r="H4091" s="11">
        <f>IF(OR(D4091="",E4091=""),"",D4091*E4091)</f>
        <v/>
      </c>
      <c r="I4091" s="8">
        <f>IF(OR(D4091="",E4091=""),"",E4091*(1+D4091/30))</f>
        <v/>
      </c>
      <c r="J4091">
        <f>IF(I4091="","",IF(I4091&gt;=MAXIFS($I$2:$I$5001,$B$2:$B$5001,B4091,$A$2:$A$5001,"&lt;="&amp;A4091),"PR",""))</f>
        <v/>
      </c>
    </row>
    <row r="4092">
      <c r="A4092" s="7" t="n"/>
      <c r="H4092" s="11">
        <f>IF(OR(D4092="",E4092=""),"",D4092*E4092)</f>
        <v/>
      </c>
      <c r="I4092" s="8">
        <f>IF(OR(D4092="",E4092=""),"",E4092*(1+D4092/30))</f>
        <v/>
      </c>
      <c r="J4092">
        <f>IF(I4092="","",IF(I4092&gt;=MAXIFS($I$2:$I$5001,$B$2:$B$5001,B4092,$A$2:$A$5001,"&lt;="&amp;A4092),"PR",""))</f>
        <v/>
      </c>
    </row>
    <row r="4093">
      <c r="A4093" s="7" t="n"/>
      <c r="H4093" s="11">
        <f>IF(OR(D4093="",E4093=""),"",D4093*E4093)</f>
        <v/>
      </c>
      <c r="I4093" s="8">
        <f>IF(OR(D4093="",E4093=""),"",E4093*(1+D4093/30))</f>
        <v/>
      </c>
      <c r="J4093">
        <f>IF(I4093="","",IF(I4093&gt;=MAXIFS($I$2:$I$5001,$B$2:$B$5001,B4093,$A$2:$A$5001,"&lt;="&amp;A4093),"PR",""))</f>
        <v/>
      </c>
    </row>
    <row r="4094">
      <c r="A4094" s="7" t="n"/>
      <c r="H4094" s="11">
        <f>IF(OR(D4094="",E4094=""),"",D4094*E4094)</f>
        <v/>
      </c>
      <c r="I4094" s="8">
        <f>IF(OR(D4094="",E4094=""),"",E4094*(1+D4094/30))</f>
        <v/>
      </c>
      <c r="J4094">
        <f>IF(I4094="","",IF(I4094&gt;=MAXIFS($I$2:$I$5001,$B$2:$B$5001,B4094,$A$2:$A$5001,"&lt;="&amp;A4094),"PR",""))</f>
        <v/>
      </c>
    </row>
    <row r="4095">
      <c r="A4095" s="7" t="n"/>
      <c r="H4095" s="11">
        <f>IF(OR(D4095="",E4095=""),"",D4095*E4095)</f>
        <v/>
      </c>
      <c r="I4095" s="8">
        <f>IF(OR(D4095="",E4095=""),"",E4095*(1+D4095/30))</f>
        <v/>
      </c>
      <c r="J4095">
        <f>IF(I4095="","",IF(I4095&gt;=MAXIFS($I$2:$I$5001,$B$2:$B$5001,B4095,$A$2:$A$5001,"&lt;="&amp;A4095),"PR",""))</f>
        <v/>
      </c>
    </row>
    <row r="4096">
      <c r="A4096" s="7" t="n"/>
      <c r="H4096" s="11">
        <f>IF(OR(D4096="",E4096=""),"",D4096*E4096)</f>
        <v/>
      </c>
      <c r="I4096" s="8">
        <f>IF(OR(D4096="",E4096=""),"",E4096*(1+D4096/30))</f>
        <v/>
      </c>
      <c r="J4096">
        <f>IF(I4096="","",IF(I4096&gt;=MAXIFS($I$2:$I$5001,$B$2:$B$5001,B4096,$A$2:$A$5001,"&lt;="&amp;A4096),"PR",""))</f>
        <v/>
      </c>
    </row>
    <row r="4097">
      <c r="A4097" s="7" t="n"/>
      <c r="H4097" s="11">
        <f>IF(OR(D4097="",E4097=""),"",D4097*E4097)</f>
        <v/>
      </c>
      <c r="I4097" s="8">
        <f>IF(OR(D4097="",E4097=""),"",E4097*(1+D4097/30))</f>
        <v/>
      </c>
      <c r="J4097">
        <f>IF(I4097="","",IF(I4097&gt;=MAXIFS($I$2:$I$5001,$B$2:$B$5001,B4097,$A$2:$A$5001,"&lt;="&amp;A4097),"PR",""))</f>
        <v/>
      </c>
    </row>
    <row r="4098">
      <c r="A4098" s="7" t="n"/>
      <c r="H4098" s="11">
        <f>IF(OR(D4098="",E4098=""),"",D4098*E4098)</f>
        <v/>
      </c>
      <c r="I4098" s="8">
        <f>IF(OR(D4098="",E4098=""),"",E4098*(1+D4098/30))</f>
        <v/>
      </c>
      <c r="J4098">
        <f>IF(I4098="","",IF(I4098&gt;=MAXIFS($I$2:$I$5001,$B$2:$B$5001,B4098,$A$2:$A$5001,"&lt;="&amp;A4098),"PR",""))</f>
        <v/>
      </c>
    </row>
    <row r="4099">
      <c r="A4099" s="7" t="n"/>
      <c r="H4099" s="11">
        <f>IF(OR(D4099="",E4099=""),"",D4099*E4099)</f>
        <v/>
      </c>
      <c r="I4099" s="8">
        <f>IF(OR(D4099="",E4099=""),"",E4099*(1+D4099/30))</f>
        <v/>
      </c>
      <c r="J4099">
        <f>IF(I4099="","",IF(I4099&gt;=MAXIFS($I$2:$I$5001,$B$2:$B$5001,B4099,$A$2:$A$5001,"&lt;="&amp;A4099),"PR",""))</f>
        <v/>
      </c>
    </row>
    <row r="4100">
      <c r="A4100" s="7" t="n"/>
      <c r="H4100" s="11">
        <f>IF(OR(D4100="",E4100=""),"",D4100*E4100)</f>
        <v/>
      </c>
      <c r="I4100" s="8">
        <f>IF(OR(D4100="",E4100=""),"",E4100*(1+D4100/30))</f>
        <v/>
      </c>
      <c r="J4100">
        <f>IF(I4100="","",IF(I4100&gt;=MAXIFS($I$2:$I$5001,$B$2:$B$5001,B4100,$A$2:$A$5001,"&lt;="&amp;A4100),"PR",""))</f>
        <v/>
      </c>
    </row>
    <row r="4101">
      <c r="A4101" s="7" t="n"/>
      <c r="H4101" s="11">
        <f>IF(OR(D4101="",E4101=""),"",D4101*E4101)</f>
        <v/>
      </c>
      <c r="I4101" s="8">
        <f>IF(OR(D4101="",E4101=""),"",E4101*(1+D4101/30))</f>
        <v/>
      </c>
      <c r="J4101">
        <f>IF(I4101="","",IF(I4101&gt;=MAXIFS($I$2:$I$5001,$B$2:$B$5001,B4101,$A$2:$A$5001,"&lt;="&amp;A4101),"PR",""))</f>
        <v/>
      </c>
    </row>
    <row r="4102">
      <c r="A4102" s="7" t="n"/>
      <c r="H4102" s="11">
        <f>IF(OR(D4102="",E4102=""),"",D4102*E4102)</f>
        <v/>
      </c>
      <c r="I4102" s="8">
        <f>IF(OR(D4102="",E4102=""),"",E4102*(1+D4102/30))</f>
        <v/>
      </c>
      <c r="J4102">
        <f>IF(I4102="","",IF(I4102&gt;=MAXIFS($I$2:$I$5001,$B$2:$B$5001,B4102,$A$2:$A$5001,"&lt;="&amp;A4102),"PR",""))</f>
        <v/>
      </c>
    </row>
    <row r="4103">
      <c r="A4103" s="7" t="n"/>
      <c r="H4103" s="11">
        <f>IF(OR(D4103="",E4103=""),"",D4103*E4103)</f>
        <v/>
      </c>
      <c r="I4103" s="8">
        <f>IF(OR(D4103="",E4103=""),"",E4103*(1+D4103/30))</f>
        <v/>
      </c>
      <c r="J4103">
        <f>IF(I4103="","",IF(I4103&gt;=MAXIFS($I$2:$I$5001,$B$2:$B$5001,B4103,$A$2:$A$5001,"&lt;="&amp;A4103),"PR",""))</f>
        <v/>
      </c>
    </row>
    <row r="4104">
      <c r="A4104" s="7" t="n"/>
      <c r="H4104" s="11">
        <f>IF(OR(D4104="",E4104=""),"",D4104*E4104)</f>
        <v/>
      </c>
      <c r="I4104" s="8">
        <f>IF(OR(D4104="",E4104=""),"",E4104*(1+D4104/30))</f>
        <v/>
      </c>
      <c r="J4104">
        <f>IF(I4104="","",IF(I4104&gt;=MAXIFS($I$2:$I$5001,$B$2:$B$5001,B4104,$A$2:$A$5001,"&lt;="&amp;A4104),"PR",""))</f>
        <v/>
      </c>
    </row>
    <row r="4105">
      <c r="A4105" s="7" t="n"/>
      <c r="H4105" s="11">
        <f>IF(OR(D4105="",E4105=""),"",D4105*E4105)</f>
        <v/>
      </c>
      <c r="I4105" s="8">
        <f>IF(OR(D4105="",E4105=""),"",E4105*(1+D4105/30))</f>
        <v/>
      </c>
      <c r="J4105">
        <f>IF(I4105="","",IF(I4105&gt;=MAXIFS($I$2:$I$5001,$B$2:$B$5001,B4105,$A$2:$A$5001,"&lt;="&amp;A4105),"PR",""))</f>
        <v/>
      </c>
    </row>
    <row r="4106">
      <c r="A4106" s="7" t="n"/>
      <c r="H4106" s="11">
        <f>IF(OR(D4106="",E4106=""),"",D4106*E4106)</f>
        <v/>
      </c>
      <c r="I4106" s="8">
        <f>IF(OR(D4106="",E4106=""),"",E4106*(1+D4106/30))</f>
        <v/>
      </c>
      <c r="J4106">
        <f>IF(I4106="","",IF(I4106&gt;=MAXIFS($I$2:$I$5001,$B$2:$B$5001,B4106,$A$2:$A$5001,"&lt;="&amp;A4106),"PR",""))</f>
        <v/>
      </c>
    </row>
    <row r="4107">
      <c r="A4107" s="7" t="n"/>
      <c r="H4107" s="11">
        <f>IF(OR(D4107="",E4107=""),"",D4107*E4107)</f>
        <v/>
      </c>
      <c r="I4107" s="8">
        <f>IF(OR(D4107="",E4107=""),"",E4107*(1+D4107/30))</f>
        <v/>
      </c>
      <c r="J4107">
        <f>IF(I4107="","",IF(I4107&gt;=MAXIFS($I$2:$I$5001,$B$2:$B$5001,B4107,$A$2:$A$5001,"&lt;="&amp;A4107),"PR",""))</f>
        <v/>
      </c>
    </row>
    <row r="4108">
      <c r="A4108" s="7" t="n"/>
      <c r="H4108" s="11">
        <f>IF(OR(D4108="",E4108=""),"",D4108*E4108)</f>
        <v/>
      </c>
      <c r="I4108" s="8">
        <f>IF(OR(D4108="",E4108=""),"",E4108*(1+D4108/30))</f>
        <v/>
      </c>
      <c r="J4108">
        <f>IF(I4108="","",IF(I4108&gt;=MAXIFS($I$2:$I$5001,$B$2:$B$5001,B4108,$A$2:$A$5001,"&lt;="&amp;A4108),"PR",""))</f>
        <v/>
      </c>
    </row>
    <row r="4109">
      <c r="A4109" s="7" t="n"/>
      <c r="H4109" s="11">
        <f>IF(OR(D4109="",E4109=""),"",D4109*E4109)</f>
        <v/>
      </c>
      <c r="I4109" s="8">
        <f>IF(OR(D4109="",E4109=""),"",E4109*(1+D4109/30))</f>
        <v/>
      </c>
      <c r="J4109">
        <f>IF(I4109="","",IF(I4109&gt;=MAXIFS($I$2:$I$5001,$B$2:$B$5001,B4109,$A$2:$A$5001,"&lt;="&amp;A4109),"PR",""))</f>
        <v/>
      </c>
    </row>
    <row r="4110">
      <c r="A4110" s="7" t="n"/>
      <c r="H4110" s="11">
        <f>IF(OR(D4110="",E4110=""),"",D4110*E4110)</f>
        <v/>
      </c>
      <c r="I4110" s="8">
        <f>IF(OR(D4110="",E4110=""),"",E4110*(1+D4110/30))</f>
        <v/>
      </c>
      <c r="J4110">
        <f>IF(I4110="","",IF(I4110&gt;=MAXIFS($I$2:$I$5001,$B$2:$B$5001,B4110,$A$2:$A$5001,"&lt;="&amp;A4110),"PR",""))</f>
        <v/>
      </c>
    </row>
    <row r="4111">
      <c r="A4111" s="7" t="n"/>
      <c r="H4111" s="11">
        <f>IF(OR(D4111="",E4111=""),"",D4111*E4111)</f>
        <v/>
      </c>
      <c r="I4111" s="8">
        <f>IF(OR(D4111="",E4111=""),"",E4111*(1+D4111/30))</f>
        <v/>
      </c>
      <c r="J4111">
        <f>IF(I4111="","",IF(I4111&gt;=MAXIFS($I$2:$I$5001,$B$2:$B$5001,B4111,$A$2:$A$5001,"&lt;="&amp;A4111),"PR",""))</f>
        <v/>
      </c>
    </row>
    <row r="4112">
      <c r="A4112" s="7" t="n"/>
      <c r="H4112" s="11">
        <f>IF(OR(D4112="",E4112=""),"",D4112*E4112)</f>
        <v/>
      </c>
      <c r="I4112" s="8">
        <f>IF(OR(D4112="",E4112=""),"",E4112*(1+D4112/30))</f>
        <v/>
      </c>
      <c r="J4112">
        <f>IF(I4112="","",IF(I4112&gt;=MAXIFS($I$2:$I$5001,$B$2:$B$5001,B4112,$A$2:$A$5001,"&lt;="&amp;A4112),"PR",""))</f>
        <v/>
      </c>
    </row>
    <row r="4113">
      <c r="A4113" s="7" t="n"/>
      <c r="H4113" s="11">
        <f>IF(OR(D4113="",E4113=""),"",D4113*E4113)</f>
        <v/>
      </c>
      <c r="I4113" s="8">
        <f>IF(OR(D4113="",E4113=""),"",E4113*(1+D4113/30))</f>
        <v/>
      </c>
      <c r="J4113">
        <f>IF(I4113="","",IF(I4113&gt;=MAXIFS($I$2:$I$5001,$B$2:$B$5001,B4113,$A$2:$A$5001,"&lt;="&amp;A4113),"PR",""))</f>
        <v/>
      </c>
    </row>
    <row r="4114">
      <c r="A4114" s="7" t="n"/>
      <c r="H4114" s="11">
        <f>IF(OR(D4114="",E4114=""),"",D4114*E4114)</f>
        <v/>
      </c>
      <c r="I4114" s="8">
        <f>IF(OR(D4114="",E4114=""),"",E4114*(1+D4114/30))</f>
        <v/>
      </c>
      <c r="J4114">
        <f>IF(I4114="","",IF(I4114&gt;=MAXIFS($I$2:$I$5001,$B$2:$B$5001,B4114,$A$2:$A$5001,"&lt;="&amp;A4114),"PR",""))</f>
        <v/>
      </c>
    </row>
    <row r="4115">
      <c r="A4115" s="7" t="n"/>
      <c r="H4115" s="11">
        <f>IF(OR(D4115="",E4115=""),"",D4115*E4115)</f>
        <v/>
      </c>
      <c r="I4115" s="8">
        <f>IF(OR(D4115="",E4115=""),"",E4115*(1+D4115/30))</f>
        <v/>
      </c>
      <c r="J4115">
        <f>IF(I4115="","",IF(I4115&gt;=MAXIFS($I$2:$I$5001,$B$2:$B$5001,B4115,$A$2:$A$5001,"&lt;="&amp;A4115),"PR",""))</f>
        <v/>
      </c>
    </row>
    <row r="4116">
      <c r="A4116" s="7" t="n"/>
      <c r="H4116" s="11">
        <f>IF(OR(D4116="",E4116=""),"",D4116*E4116)</f>
        <v/>
      </c>
      <c r="I4116" s="8">
        <f>IF(OR(D4116="",E4116=""),"",E4116*(1+D4116/30))</f>
        <v/>
      </c>
      <c r="J4116">
        <f>IF(I4116="","",IF(I4116&gt;=MAXIFS($I$2:$I$5001,$B$2:$B$5001,B4116,$A$2:$A$5001,"&lt;="&amp;A4116),"PR",""))</f>
        <v/>
      </c>
    </row>
    <row r="4117">
      <c r="A4117" s="7" t="n"/>
      <c r="H4117" s="11">
        <f>IF(OR(D4117="",E4117=""),"",D4117*E4117)</f>
        <v/>
      </c>
      <c r="I4117" s="8">
        <f>IF(OR(D4117="",E4117=""),"",E4117*(1+D4117/30))</f>
        <v/>
      </c>
      <c r="J4117">
        <f>IF(I4117="","",IF(I4117&gt;=MAXIFS($I$2:$I$5001,$B$2:$B$5001,B4117,$A$2:$A$5001,"&lt;="&amp;A4117),"PR",""))</f>
        <v/>
      </c>
    </row>
    <row r="4118">
      <c r="A4118" s="7" t="n"/>
      <c r="H4118" s="11">
        <f>IF(OR(D4118="",E4118=""),"",D4118*E4118)</f>
        <v/>
      </c>
      <c r="I4118" s="8">
        <f>IF(OR(D4118="",E4118=""),"",E4118*(1+D4118/30))</f>
        <v/>
      </c>
      <c r="J4118">
        <f>IF(I4118="","",IF(I4118&gt;=MAXIFS($I$2:$I$5001,$B$2:$B$5001,B4118,$A$2:$A$5001,"&lt;="&amp;A4118),"PR",""))</f>
        <v/>
      </c>
    </row>
    <row r="4119">
      <c r="A4119" s="7" t="n"/>
      <c r="H4119" s="11">
        <f>IF(OR(D4119="",E4119=""),"",D4119*E4119)</f>
        <v/>
      </c>
      <c r="I4119" s="8">
        <f>IF(OR(D4119="",E4119=""),"",E4119*(1+D4119/30))</f>
        <v/>
      </c>
      <c r="J4119">
        <f>IF(I4119="","",IF(I4119&gt;=MAXIFS($I$2:$I$5001,$B$2:$B$5001,B4119,$A$2:$A$5001,"&lt;="&amp;A4119),"PR",""))</f>
        <v/>
      </c>
    </row>
    <row r="4120">
      <c r="A4120" s="7" t="n"/>
      <c r="H4120" s="11">
        <f>IF(OR(D4120="",E4120=""),"",D4120*E4120)</f>
        <v/>
      </c>
      <c r="I4120" s="8">
        <f>IF(OR(D4120="",E4120=""),"",E4120*(1+D4120/30))</f>
        <v/>
      </c>
      <c r="J4120">
        <f>IF(I4120="","",IF(I4120&gt;=MAXIFS($I$2:$I$5001,$B$2:$B$5001,B4120,$A$2:$A$5001,"&lt;="&amp;A4120),"PR",""))</f>
        <v/>
      </c>
    </row>
    <row r="4121">
      <c r="A4121" s="7" t="n"/>
      <c r="H4121" s="11">
        <f>IF(OR(D4121="",E4121=""),"",D4121*E4121)</f>
        <v/>
      </c>
      <c r="I4121" s="8">
        <f>IF(OR(D4121="",E4121=""),"",E4121*(1+D4121/30))</f>
        <v/>
      </c>
      <c r="J4121">
        <f>IF(I4121="","",IF(I4121&gt;=MAXIFS($I$2:$I$5001,$B$2:$B$5001,B4121,$A$2:$A$5001,"&lt;="&amp;A4121),"PR",""))</f>
        <v/>
      </c>
    </row>
    <row r="4122">
      <c r="A4122" s="7" t="n"/>
      <c r="H4122" s="11">
        <f>IF(OR(D4122="",E4122=""),"",D4122*E4122)</f>
        <v/>
      </c>
      <c r="I4122" s="8">
        <f>IF(OR(D4122="",E4122=""),"",E4122*(1+D4122/30))</f>
        <v/>
      </c>
      <c r="J4122">
        <f>IF(I4122="","",IF(I4122&gt;=MAXIFS($I$2:$I$5001,$B$2:$B$5001,B4122,$A$2:$A$5001,"&lt;="&amp;A4122),"PR",""))</f>
        <v/>
      </c>
    </row>
    <row r="4123">
      <c r="A4123" s="7" t="n"/>
      <c r="H4123" s="11">
        <f>IF(OR(D4123="",E4123=""),"",D4123*E4123)</f>
        <v/>
      </c>
      <c r="I4123" s="8">
        <f>IF(OR(D4123="",E4123=""),"",E4123*(1+D4123/30))</f>
        <v/>
      </c>
      <c r="J4123">
        <f>IF(I4123="","",IF(I4123&gt;=MAXIFS($I$2:$I$5001,$B$2:$B$5001,B4123,$A$2:$A$5001,"&lt;="&amp;A4123),"PR",""))</f>
        <v/>
      </c>
    </row>
    <row r="4124">
      <c r="A4124" s="7" t="n"/>
      <c r="H4124" s="11">
        <f>IF(OR(D4124="",E4124=""),"",D4124*E4124)</f>
        <v/>
      </c>
      <c r="I4124" s="8">
        <f>IF(OR(D4124="",E4124=""),"",E4124*(1+D4124/30))</f>
        <v/>
      </c>
      <c r="J4124">
        <f>IF(I4124="","",IF(I4124&gt;=MAXIFS($I$2:$I$5001,$B$2:$B$5001,B4124,$A$2:$A$5001,"&lt;="&amp;A4124),"PR",""))</f>
        <v/>
      </c>
    </row>
    <row r="4125">
      <c r="A4125" s="7" t="n"/>
      <c r="H4125" s="11">
        <f>IF(OR(D4125="",E4125=""),"",D4125*E4125)</f>
        <v/>
      </c>
      <c r="I4125" s="8">
        <f>IF(OR(D4125="",E4125=""),"",E4125*(1+D4125/30))</f>
        <v/>
      </c>
      <c r="J4125">
        <f>IF(I4125="","",IF(I4125&gt;=MAXIFS($I$2:$I$5001,$B$2:$B$5001,B4125,$A$2:$A$5001,"&lt;="&amp;A4125),"PR",""))</f>
        <v/>
      </c>
    </row>
    <row r="4126">
      <c r="A4126" s="7" t="n"/>
      <c r="H4126" s="11">
        <f>IF(OR(D4126="",E4126=""),"",D4126*E4126)</f>
        <v/>
      </c>
      <c r="I4126" s="8">
        <f>IF(OR(D4126="",E4126=""),"",E4126*(1+D4126/30))</f>
        <v/>
      </c>
      <c r="J4126">
        <f>IF(I4126="","",IF(I4126&gt;=MAXIFS($I$2:$I$5001,$B$2:$B$5001,B4126,$A$2:$A$5001,"&lt;="&amp;A4126),"PR",""))</f>
        <v/>
      </c>
    </row>
    <row r="4127">
      <c r="A4127" s="7" t="n"/>
      <c r="H4127" s="11">
        <f>IF(OR(D4127="",E4127=""),"",D4127*E4127)</f>
        <v/>
      </c>
      <c r="I4127" s="8">
        <f>IF(OR(D4127="",E4127=""),"",E4127*(1+D4127/30))</f>
        <v/>
      </c>
      <c r="J4127">
        <f>IF(I4127="","",IF(I4127&gt;=MAXIFS($I$2:$I$5001,$B$2:$B$5001,B4127,$A$2:$A$5001,"&lt;="&amp;A4127),"PR",""))</f>
        <v/>
      </c>
    </row>
    <row r="4128">
      <c r="A4128" s="7" t="n"/>
      <c r="H4128" s="11">
        <f>IF(OR(D4128="",E4128=""),"",D4128*E4128)</f>
        <v/>
      </c>
      <c r="I4128" s="8">
        <f>IF(OR(D4128="",E4128=""),"",E4128*(1+D4128/30))</f>
        <v/>
      </c>
      <c r="J4128">
        <f>IF(I4128="","",IF(I4128&gt;=MAXIFS($I$2:$I$5001,$B$2:$B$5001,B4128,$A$2:$A$5001,"&lt;="&amp;A4128),"PR",""))</f>
        <v/>
      </c>
    </row>
    <row r="4129">
      <c r="A4129" s="7" t="n"/>
      <c r="H4129" s="11">
        <f>IF(OR(D4129="",E4129=""),"",D4129*E4129)</f>
        <v/>
      </c>
      <c r="I4129" s="8">
        <f>IF(OR(D4129="",E4129=""),"",E4129*(1+D4129/30))</f>
        <v/>
      </c>
      <c r="J4129">
        <f>IF(I4129="","",IF(I4129&gt;=MAXIFS($I$2:$I$5001,$B$2:$B$5001,B4129,$A$2:$A$5001,"&lt;="&amp;A4129),"PR",""))</f>
        <v/>
      </c>
    </row>
    <row r="4130">
      <c r="A4130" s="7" t="n"/>
      <c r="H4130" s="11">
        <f>IF(OR(D4130="",E4130=""),"",D4130*E4130)</f>
        <v/>
      </c>
      <c r="I4130" s="8">
        <f>IF(OR(D4130="",E4130=""),"",E4130*(1+D4130/30))</f>
        <v/>
      </c>
      <c r="J4130">
        <f>IF(I4130="","",IF(I4130&gt;=MAXIFS($I$2:$I$5001,$B$2:$B$5001,B4130,$A$2:$A$5001,"&lt;="&amp;A4130),"PR",""))</f>
        <v/>
      </c>
    </row>
    <row r="4131">
      <c r="A4131" s="7" t="n"/>
      <c r="H4131" s="11">
        <f>IF(OR(D4131="",E4131=""),"",D4131*E4131)</f>
        <v/>
      </c>
      <c r="I4131" s="8">
        <f>IF(OR(D4131="",E4131=""),"",E4131*(1+D4131/30))</f>
        <v/>
      </c>
      <c r="J4131">
        <f>IF(I4131="","",IF(I4131&gt;=MAXIFS($I$2:$I$5001,$B$2:$B$5001,B4131,$A$2:$A$5001,"&lt;="&amp;A4131),"PR",""))</f>
        <v/>
      </c>
    </row>
    <row r="4132">
      <c r="A4132" s="7" t="n"/>
      <c r="H4132" s="11">
        <f>IF(OR(D4132="",E4132=""),"",D4132*E4132)</f>
        <v/>
      </c>
      <c r="I4132" s="8">
        <f>IF(OR(D4132="",E4132=""),"",E4132*(1+D4132/30))</f>
        <v/>
      </c>
      <c r="J4132">
        <f>IF(I4132="","",IF(I4132&gt;=MAXIFS($I$2:$I$5001,$B$2:$B$5001,B4132,$A$2:$A$5001,"&lt;="&amp;A4132),"PR",""))</f>
        <v/>
      </c>
    </row>
    <row r="4133">
      <c r="A4133" s="7" t="n"/>
      <c r="H4133" s="11">
        <f>IF(OR(D4133="",E4133=""),"",D4133*E4133)</f>
        <v/>
      </c>
      <c r="I4133" s="8">
        <f>IF(OR(D4133="",E4133=""),"",E4133*(1+D4133/30))</f>
        <v/>
      </c>
      <c r="J4133">
        <f>IF(I4133="","",IF(I4133&gt;=MAXIFS($I$2:$I$5001,$B$2:$B$5001,B4133,$A$2:$A$5001,"&lt;="&amp;A4133),"PR",""))</f>
        <v/>
      </c>
    </row>
    <row r="4134">
      <c r="A4134" s="7" t="n"/>
      <c r="H4134" s="11">
        <f>IF(OR(D4134="",E4134=""),"",D4134*E4134)</f>
        <v/>
      </c>
      <c r="I4134" s="8">
        <f>IF(OR(D4134="",E4134=""),"",E4134*(1+D4134/30))</f>
        <v/>
      </c>
      <c r="J4134">
        <f>IF(I4134="","",IF(I4134&gt;=MAXIFS($I$2:$I$5001,$B$2:$B$5001,B4134,$A$2:$A$5001,"&lt;="&amp;A4134),"PR",""))</f>
        <v/>
      </c>
    </row>
    <row r="4135">
      <c r="A4135" s="7" t="n"/>
      <c r="H4135" s="11">
        <f>IF(OR(D4135="",E4135=""),"",D4135*E4135)</f>
        <v/>
      </c>
      <c r="I4135" s="8">
        <f>IF(OR(D4135="",E4135=""),"",E4135*(1+D4135/30))</f>
        <v/>
      </c>
      <c r="J4135">
        <f>IF(I4135="","",IF(I4135&gt;=MAXIFS($I$2:$I$5001,$B$2:$B$5001,B4135,$A$2:$A$5001,"&lt;="&amp;A4135),"PR",""))</f>
        <v/>
      </c>
    </row>
    <row r="4136">
      <c r="A4136" s="7" t="n"/>
      <c r="H4136" s="11">
        <f>IF(OR(D4136="",E4136=""),"",D4136*E4136)</f>
        <v/>
      </c>
      <c r="I4136" s="8">
        <f>IF(OR(D4136="",E4136=""),"",E4136*(1+D4136/30))</f>
        <v/>
      </c>
      <c r="J4136">
        <f>IF(I4136="","",IF(I4136&gt;=MAXIFS($I$2:$I$5001,$B$2:$B$5001,B4136,$A$2:$A$5001,"&lt;="&amp;A4136),"PR",""))</f>
        <v/>
      </c>
    </row>
    <row r="4137">
      <c r="A4137" s="7" t="n"/>
      <c r="H4137" s="11">
        <f>IF(OR(D4137="",E4137=""),"",D4137*E4137)</f>
        <v/>
      </c>
      <c r="I4137" s="8">
        <f>IF(OR(D4137="",E4137=""),"",E4137*(1+D4137/30))</f>
        <v/>
      </c>
      <c r="J4137">
        <f>IF(I4137="","",IF(I4137&gt;=MAXIFS($I$2:$I$5001,$B$2:$B$5001,B4137,$A$2:$A$5001,"&lt;="&amp;A4137),"PR",""))</f>
        <v/>
      </c>
    </row>
    <row r="4138">
      <c r="A4138" s="7" t="n"/>
      <c r="H4138" s="11">
        <f>IF(OR(D4138="",E4138=""),"",D4138*E4138)</f>
        <v/>
      </c>
      <c r="I4138" s="8">
        <f>IF(OR(D4138="",E4138=""),"",E4138*(1+D4138/30))</f>
        <v/>
      </c>
      <c r="J4138">
        <f>IF(I4138="","",IF(I4138&gt;=MAXIFS($I$2:$I$5001,$B$2:$B$5001,B4138,$A$2:$A$5001,"&lt;="&amp;A4138),"PR",""))</f>
        <v/>
      </c>
    </row>
    <row r="4139">
      <c r="A4139" s="7" t="n"/>
      <c r="H4139" s="11">
        <f>IF(OR(D4139="",E4139=""),"",D4139*E4139)</f>
        <v/>
      </c>
      <c r="I4139" s="8">
        <f>IF(OR(D4139="",E4139=""),"",E4139*(1+D4139/30))</f>
        <v/>
      </c>
      <c r="J4139">
        <f>IF(I4139="","",IF(I4139&gt;=MAXIFS($I$2:$I$5001,$B$2:$B$5001,B4139,$A$2:$A$5001,"&lt;="&amp;A4139),"PR",""))</f>
        <v/>
      </c>
    </row>
    <row r="4140">
      <c r="A4140" s="7" t="n"/>
      <c r="H4140" s="11">
        <f>IF(OR(D4140="",E4140=""),"",D4140*E4140)</f>
        <v/>
      </c>
      <c r="I4140" s="8">
        <f>IF(OR(D4140="",E4140=""),"",E4140*(1+D4140/30))</f>
        <v/>
      </c>
      <c r="J4140">
        <f>IF(I4140="","",IF(I4140&gt;=MAXIFS($I$2:$I$5001,$B$2:$B$5001,B4140,$A$2:$A$5001,"&lt;="&amp;A4140),"PR",""))</f>
        <v/>
      </c>
    </row>
    <row r="4141">
      <c r="A4141" s="7" t="n"/>
      <c r="H4141" s="11">
        <f>IF(OR(D4141="",E4141=""),"",D4141*E4141)</f>
        <v/>
      </c>
      <c r="I4141" s="8">
        <f>IF(OR(D4141="",E4141=""),"",E4141*(1+D4141/30))</f>
        <v/>
      </c>
      <c r="J4141">
        <f>IF(I4141="","",IF(I4141&gt;=MAXIFS($I$2:$I$5001,$B$2:$B$5001,B4141,$A$2:$A$5001,"&lt;="&amp;A4141),"PR",""))</f>
        <v/>
      </c>
    </row>
    <row r="4142">
      <c r="A4142" s="7" t="n"/>
      <c r="H4142" s="11">
        <f>IF(OR(D4142="",E4142=""),"",D4142*E4142)</f>
        <v/>
      </c>
      <c r="I4142" s="8">
        <f>IF(OR(D4142="",E4142=""),"",E4142*(1+D4142/30))</f>
        <v/>
      </c>
      <c r="J4142">
        <f>IF(I4142="","",IF(I4142&gt;=MAXIFS($I$2:$I$5001,$B$2:$B$5001,B4142,$A$2:$A$5001,"&lt;="&amp;A4142),"PR",""))</f>
        <v/>
      </c>
    </row>
    <row r="4143">
      <c r="A4143" s="7" t="n"/>
      <c r="H4143" s="11">
        <f>IF(OR(D4143="",E4143=""),"",D4143*E4143)</f>
        <v/>
      </c>
      <c r="I4143" s="8">
        <f>IF(OR(D4143="",E4143=""),"",E4143*(1+D4143/30))</f>
        <v/>
      </c>
      <c r="J4143">
        <f>IF(I4143="","",IF(I4143&gt;=MAXIFS($I$2:$I$5001,$B$2:$B$5001,B4143,$A$2:$A$5001,"&lt;="&amp;A4143),"PR",""))</f>
        <v/>
      </c>
    </row>
    <row r="4144">
      <c r="A4144" s="7" t="n"/>
      <c r="H4144" s="11">
        <f>IF(OR(D4144="",E4144=""),"",D4144*E4144)</f>
        <v/>
      </c>
      <c r="I4144" s="8">
        <f>IF(OR(D4144="",E4144=""),"",E4144*(1+D4144/30))</f>
        <v/>
      </c>
      <c r="J4144">
        <f>IF(I4144="","",IF(I4144&gt;=MAXIFS($I$2:$I$5001,$B$2:$B$5001,B4144,$A$2:$A$5001,"&lt;="&amp;A4144),"PR",""))</f>
        <v/>
      </c>
    </row>
    <row r="4145">
      <c r="A4145" s="7" t="n"/>
      <c r="H4145" s="11">
        <f>IF(OR(D4145="",E4145=""),"",D4145*E4145)</f>
        <v/>
      </c>
      <c r="I4145" s="8">
        <f>IF(OR(D4145="",E4145=""),"",E4145*(1+D4145/30))</f>
        <v/>
      </c>
      <c r="J4145">
        <f>IF(I4145="","",IF(I4145&gt;=MAXIFS($I$2:$I$5001,$B$2:$B$5001,B4145,$A$2:$A$5001,"&lt;="&amp;A4145),"PR",""))</f>
        <v/>
      </c>
    </row>
    <row r="4146">
      <c r="A4146" s="7" t="n"/>
      <c r="H4146" s="11">
        <f>IF(OR(D4146="",E4146=""),"",D4146*E4146)</f>
        <v/>
      </c>
      <c r="I4146" s="8">
        <f>IF(OR(D4146="",E4146=""),"",E4146*(1+D4146/30))</f>
        <v/>
      </c>
      <c r="J4146">
        <f>IF(I4146="","",IF(I4146&gt;=MAXIFS($I$2:$I$5001,$B$2:$B$5001,B4146,$A$2:$A$5001,"&lt;="&amp;A4146),"PR",""))</f>
        <v/>
      </c>
    </row>
    <row r="4147">
      <c r="A4147" s="7" t="n"/>
      <c r="H4147" s="11">
        <f>IF(OR(D4147="",E4147=""),"",D4147*E4147)</f>
        <v/>
      </c>
      <c r="I4147" s="8">
        <f>IF(OR(D4147="",E4147=""),"",E4147*(1+D4147/30))</f>
        <v/>
      </c>
      <c r="J4147">
        <f>IF(I4147="","",IF(I4147&gt;=MAXIFS($I$2:$I$5001,$B$2:$B$5001,B4147,$A$2:$A$5001,"&lt;="&amp;A4147),"PR",""))</f>
        <v/>
      </c>
    </row>
    <row r="4148">
      <c r="A4148" s="7" t="n"/>
      <c r="H4148" s="11">
        <f>IF(OR(D4148="",E4148=""),"",D4148*E4148)</f>
        <v/>
      </c>
      <c r="I4148" s="8">
        <f>IF(OR(D4148="",E4148=""),"",E4148*(1+D4148/30))</f>
        <v/>
      </c>
      <c r="J4148">
        <f>IF(I4148="","",IF(I4148&gt;=MAXIFS($I$2:$I$5001,$B$2:$B$5001,B4148,$A$2:$A$5001,"&lt;="&amp;A4148),"PR",""))</f>
        <v/>
      </c>
    </row>
    <row r="4149">
      <c r="A4149" s="7" t="n"/>
      <c r="H4149" s="11">
        <f>IF(OR(D4149="",E4149=""),"",D4149*E4149)</f>
        <v/>
      </c>
      <c r="I4149" s="8">
        <f>IF(OR(D4149="",E4149=""),"",E4149*(1+D4149/30))</f>
        <v/>
      </c>
      <c r="J4149">
        <f>IF(I4149="","",IF(I4149&gt;=MAXIFS($I$2:$I$5001,$B$2:$B$5001,B4149,$A$2:$A$5001,"&lt;="&amp;A4149),"PR",""))</f>
        <v/>
      </c>
    </row>
    <row r="4150">
      <c r="A4150" s="7" t="n"/>
      <c r="H4150" s="11">
        <f>IF(OR(D4150="",E4150=""),"",D4150*E4150)</f>
        <v/>
      </c>
      <c r="I4150" s="8">
        <f>IF(OR(D4150="",E4150=""),"",E4150*(1+D4150/30))</f>
        <v/>
      </c>
      <c r="J4150">
        <f>IF(I4150="","",IF(I4150&gt;=MAXIFS($I$2:$I$5001,$B$2:$B$5001,B4150,$A$2:$A$5001,"&lt;="&amp;A4150),"PR",""))</f>
        <v/>
      </c>
    </row>
    <row r="4151">
      <c r="A4151" s="7" t="n"/>
      <c r="H4151" s="11">
        <f>IF(OR(D4151="",E4151=""),"",D4151*E4151)</f>
        <v/>
      </c>
      <c r="I4151" s="8">
        <f>IF(OR(D4151="",E4151=""),"",E4151*(1+D4151/30))</f>
        <v/>
      </c>
      <c r="J4151">
        <f>IF(I4151="","",IF(I4151&gt;=MAXIFS($I$2:$I$5001,$B$2:$B$5001,B4151,$A$2:$A$5001,"&lt;="&amp;A4151),"PR",""))</f>
        <v/>
      </c>
    </row>
    <row r="4152">
      <c r="A4152" s="7" t="n"/>
      <c r="H4152" s="11">
        <f>IF(OR(D4152="",E4152=""),"",D4152*E4152)</f>
        <v/>
      </c>
      <c r="I4152" s="8">
        <f>IF(OR(D4152="",E4152=""),"",E4152*(1+D4152/30))</f>
        <v/>
      </c>
      <c r="J4152">
        <f>IF(I4152="","",IF(I4152&gt;=MAXIFS($I$2:$I$5001,$B$2:$B$5001,B4152,$A$2:$A$5001,"&lt;="&amp;A4152),"PR",""))</f>
        <v/>
      </c>
    </row>
    <row r="4153">
      <c r="A4153" s="7" t="n"/>
      <c r="H4153" s="11">
        <f>IF(OR(D4153="",E4153=""),"",D4153*E4153)</f>
        <v/>
      </c>
      <c r="I4153" s="8">
        <f>IF(OR(D4153="",E4153=""),"",E4153*(1+D4153/30))</f>
        <v/>
      </c>
      <c r="J4153">
        <f>IF(I4153="","",IF(I4153&gt;=MAXIFS($I$2:$I$5001,$B$2:$B$5001,B4153,$A$2:$A$5001,"&lt;="&amp;A4153),"PR",""))</f>
        <v/>
      </c>
    </row>
    <row r="4154">
      <c r="A4154" s="7" t="n"/>
      <c r="H4154" s="11">
        <f>IF(OR(D4154="",E4154=""),"",D4154*E4154)</f>
        <v/>
      </c>
      <c r="I4154" s="8">
        <f>IF(OR(D4154="",E4154=""),"",E4154*(1+D4154/30))</f>
        <v/>
      </c>
      <c r="J4154">
        <f>IF(I4154="","",IF(I4154&gt;=MAXIFS($I$2:$I$5001,$B$2:$B$5001,B4154,$A$2:$A$5001,"&lt;="&amp;A4154),"PR",""))</f>
        <v/>
      </c>
    </row>
    <row r="4155">
      <c r="A4155" s="7" t="n"/>
      <c r="H4155" s="11">
        <f>IF(OR(D4155="",E4155=""),"",D4155*E4155)</f>
        <v/>
      </c>
      <c r="I4155" s="8">
        <f>IF(OR(D4155="",E4155=""),"",E4155*(1+D4155/30))</f>
        <v/>
      </c>
      <c r="J4155">
        <f>IF(I4155="","",IF(I4155&gt;=MAXIFS($I$2:$I$5001,$B$2:$B$5001,B4155,$A$2:$A$5001,"&lt;="&amp;A4155),"PR",""))</f>
        <v/>
      </c>
    </row>
    <row r="4156">
      <c r="A4156" s="7" t="n"/>
      <c r="H4156" s="11">
        <f>IF(OR(D4156="",E4156=""),"",D4156*E4156)</f>
        <v/>
      </c>
      <c r="I4156" s="8">
        <f>IF(OR(D4156="",E4156=""),"",E4156*(1+D4156/30))</f>
        <v/>
      </c>
      <c r="J4156">
        <f>IF(I4156="","",IF(I4156&gt;=MAXIFS($I$2:$I$5001,$B$2:$B$5001,B4156,$A$2:$A$5001,"&lt;="&amp;A4156),"PR",""))</f>
        <v/>
      </c>
    </row>
    <row r="4157">
      <c r="A4157" s="7" t="n"/>
      <c r="H4157" s="11">
        <f>IF(OR(D4157="",E4157=""),"",D4157*E4157)</f>
        <v/>
      </c>
      <c r="I4157" s="8">
        <f>IF(OR(D4157="",E4157=""),"",E4157*(1+D4157/30))</f>
        <v/>
      </c>
      <c r="J4157">
        <f>IF(I4157="","",IF(I4157&gt;=MAXIFS($I$2:$I$5001,$B$2:$B$5001,B4157,$A$2:$A$5001,"&lt;="&amp;A4157),"PR",""))</f>
        <v/>
      </c>
    </row>
    <row r="4158">
      <c r="A4158" s="7" t="n"/>
      <c r="H4158" s="11">
        <f>IF(OR(D4158="",E4158=""),"",D4158*E4158)</f>
        <v/>
      </c>
      <c r="I4158" s="8">
        <f>IF(OR(D4158="",E4158=""),"",E4158*(1+D4158/30))</f>
        <v/>
      </c>
      <c r="J4158">
        <f>IF(I4158="","",IF(I4158&gt;=MAXIFS($I$2:$I$5001,$B$2:$B$5001,B4158,$A$2:$A$5001,"&lt;="&amp;A4158),"PR",""))</f>
        <v/>
      </c>
    </row>
    <row r="4159">
      <c r="A4159" s="7" t="n"/>
      <c r="H4159" s="11">
        <f>IF(OR(D4159="",E4159=""),"",D4159*E4159)</f>
        <v/>
      </c>
      <c r="I4159" s="8">
        <f>IF(OR(D4159="",E4159=""),"",E4159*(1+D4159/30))</f>
        <v/>
      </c>
      <c r="J4159">
        <f>IF(I4159="","",IF(I4159&gt;=MAXIFS($I$2:$I$5001,$B$2:$B$5001,B4159,$A$2:$A$5001,"&lt;="&amp;A4159),"PR",""))</f>
        <v/>
      </c>
    </row>
    <row r="4160">
      <c r="A4160" s="7" t="n"/>
      <c r="H4160" s="11">
        <f>IF(OR(D4160="",E4160=""),"",D4160*E4160)</f>
        <v/>
      </c>
      <c r="I4160" s="8">
        <f>IF(OR(D4160="",E4160=""),"",E4160*(1+D4160/30))</f>
        <v/>
      </c>
      <c r="J4160">
        <f>IF(I4160="","",IF(I4160&gt;=MAXIFS($I$2:$I$5001,$B$2:$B$5001,B4160,$A$2:$A$5001,"&lt;="&amp;A4160),"PR",""))</f>
        <v/>
      </c>
    </row>
    <row r="4161">
      <c r="A4161" s="7" t="n"/>
      <c r="H4161" s="11">
        <f>IF(OR(D4161="",E4161=""),"",D4161*E4161)</f>
        <v/>
      </c>
      <c r="I4161" s="8">
        <f>IF(OR(D4161="",E4161=""),"",E4161*(1+D4161/30))</f>
        <v/>
      </c>
      <c r="J4161">
        <f>IF(I4161="","",IF(I4161&gt;=MAXIFS($I$2:$I$5001,$B$2:$B$5001,B4161,$A$2:$A$5001,"&lt;="&amp;A4161),"PR",""))</f>
        <v/>
      </c>
    </row>
    <row r="4162">
      <c r="A4162" s="7" t="n"/>
      <c r="H4162" s="11">
        <f>IF(OR(D4162="",E4162=""),"",D4162*E4162)</f>
        <v/>
      </c>
      <c r="I4162" s="8">
        <f>IF(OR(D4162="",E4162=""),"",E4162*(1+D4162/30))</f>
        <v/>
      </c>
      <c r="J4162">
        <f>IF(I4162="","",IF(I4162&gt;=MAXIFS($I$2:$I$5001,$B$2:$B$5001,B4162,$A$2:$A$5001,"&lt;="&amp;A4162),"PR",""))</f>
        <v/>
      </c>
    </row>
    <row r="4163">
      <c r="A4163" s="7" t="n"/>
      <c r="H4163" s="11">
        <f>IF(OR(D4163="",E4163=""),"",D4163*E4163)</f>
        <v/>
      </c>
      <c r="I4163" s="8">
        <f>IF(OR(D4163="",E4163=""),"",E4163*(1+D4163/30))</f>
        <v/>
      </c>
      <c r="J4163">
        <f>IF(I4163="","",IF(I4163&gt;=MAXIFS($I$2:$I$5001,$B$2:$B$5001,B4163,$A$2:$A$5001,"&lt;="&amp;A4163),"PR",""))</f>
        <v/>
      </c>
    </row>
    <row r="4164">
      <c r="A4164" s="7" t="n"/>
      <c r="H4164" s="11">
        <f>IF(OR(D4164="",E4164=""),"",D4164*E4164)</f>
        <v/>
      </c>
      <c r="I4164" s="8">
        <f>IF(OR(D4164="",E4164=""),"",E4164*(1+D4164/30))</f>
        <v/>
      </c>
      <c r="J4164">
        <f>IF(I4164="","",IF(I4164&gt;=MAXIFS($I$2:$I$5001,$B$2:$B$5001,B4164,$A$2:$A$5001,"&lt;="&amp;A4164),"PR",""))</f>
        <v/>
      </c>
    </row>
    <row r="4165">
      <c r="A4165" s="7" t="n"/>
      <c r="H4165" s="11">
        <f>IF(OR(D4165="",E4165=""),"",D4165*E4165)</f>
        <v/>
      </c>
      <c r="I4165" s="8">
        <f>IF(OR(D4165="",E4165=""),"",E4165*(1+D4165/30))</f>
        <v/>
      </c>
      <c r="J4165">
        <f>IF(I4165="","",IF(I4165&gt;=MAXIFS($I$2:$I$5001,$B$2:$B$5001,B4165,$A$2:$A$5001,"&lt;="&amp;A4165),"PR",""))</f>
        <v/>
      </c>
    </row>
    <row r="4166">
      <c r="A4166" s="7" t="n"/>
      <c r="H4166" s="11">
        <f>IF(OR(D4166="",E4166=""),"",D4166*E4166)</f>
        <v/>
      </c>
      <c r="I4166" s="8">
        <f>IF(OR(D4166="",E4166=""),"",E4166*(1+D4166/30))</f>
        <v/>
      </c>
      <c r="J4166">
        <f>IF(I4166="","",IF(I4166&gt;=MAXIFS($I$2:$I$5001,$B$2:$B$5001,B4166,$A$2:$A$5001,"&lt;="&amp;A4166),"PR",""))</f>
        <v/>
      </c>
    </row>
    <row r="4167">
      <c r="A4167" s="7" t="n"/>
      <c r="H4167" s="11">
        <f>IF(OR(D4167="",E4167=""),"",D4167*E4167)</f>
        <v/>
      </c>
      <c r="I4167" s="8">
        <f>IF(OR(D4167="",E4167=""),"",E4167*(1+D4167/30))</f>
        <v/>
      </c>
      <c r="J4167">
        <f>IF(I4167="","",IF(I4167&gt;=MAXIFS($I$2:$I$5001,$B$2:$B$5001,B4167,$A$2:$A$5001,"&lt;="&amp;A4167),"PR",""))</f>
        <v/>
      </c>
    </row>
    <row r="4168">
      <c r="A4168" s="7" t="n"/>
      <c r="H4168" s="11">
        <f>IF(OR(D4168="",E4168=""),"",D4168*E4168)</f>
        <v/>
      </c>
      <c r="I4168" s="8">
        <f>IF(OR(D4168="",E4168=""),"",E4168*(1+D4168/30))</f>
        <v/>
      </c>
      <c r="J4168">
        <f>IF(I4168="","",IF(I4168&gt;=MAXIFS($I$2:$I$5001,$B$2:$B$5001,B4168,$A$2:$A$5001,"&lt;="&amp;A4168),"PR",""))</f>
        <v/>
      </c>
    </row>
    <row r="4169">
      <c r="A4169" s="7" t="n"/>
      <c r="H4169" s="11">
        <f>IF(OR(D4169="",E4169=""),"",D4169*E4169)</f>
        <v/>
      </c>
      <c r="I4169" s="8">
        <f>IF(OR(D4169="",E4169=""),"",E4169*(1+D4169/30))</f>
        <v/>
      </c>
      <c r="J4169">
        <f>IF(I4169="","",IF(I4169&gt;=MAXIFS($I$2:$I$5001,$B$2:$B$5001,B4169,$A$2:$A$5001,"&lt;="&amp;A4169),"PR",""))</f>
        <v/>
      </c>
    </row>
    <row r="4170">
      <c r="A4170" s="7" t="n"/>
      <c r="H4170" s="11">
        <f>IF(OR(D4170="",E4170=""),"",D4170*E4170)</f>
        <v/>
      </c>
      <c r="I4170" s="8">
        <f>IF(OR(D4170="",E4170=""),"",E4170*(1+D4170/30))</f>
        <v/>
      </c>
      <c r="J4170">
        <f>IF(I4170="","",IF(I4170&gt;=MAXIFS($I$2:$I$5001,$B$2:$B$5001,B4170,$A$2:$A$5001,"&lt;="&amp;A4170),"PR",""))</f>
        <v/>
      </c>
    </row>
    <row r="4171">
      <c r="A4171" s="7" t="n"/>
      <c r="H4171" s="11">
        <f>IF(OR(D4171="",E4171=""),"",D4171*E4171)</f>
        <v/>
      </c>
      <c r="I4171" s="8">
        <f>IF(OR(D4171="",E4171=""),"",E4171*(1+D4171/30))</f>
        <v/>
      </c>
      <c r="J4171">
        <f>IF(I4171="","",IF(I4171&gt;=MAXIFS($I$2:$I$5001,$B$2:$B$5001,B4171,$A$2:$A$5001,"&lt;="&amp;A4171),"PR",""))</f>
        <v/>
      </c>
    </row>
    <row r="4172">
      <c r="A4172" s="7" t="n"/>
      <c r="H4172" s="11">
        <f>IF(OR(D4172="",E4172=""),"",D4172*E4172)</f>
        <v/>
      </c>
      <c r="I4172" s="8">
        <f>IF(OR(D4172="",E4172=""),"",E4172*(1+D4172/30))</f>
        <v/>
      </c>
      <c r="J4172">
        <f>IF(I4172="","",IF(I4172&gt;=MAXIFS($I$2:$I$5001,$B$2:$B$5001,B4172,$A$2:$A$5001,"&lt;="&amp;A4172),"PR",""))</f>
        <v/>
      </c>
    </row>
    <row r="4173">
      <c r="A4173" s="7" t="n"/>
      <c r="H4173" s="11">
        <f>IF(OR(D4173="",E4173=""),"",D4173*E4173)</f>
        <v/>
      </c>
      <c r="I4173" s="8">
        <f>IF(OR(D4173="",E4173=""),"",E4173*(1+D4173/30))</f>
        <v/>
      </c>
      <c r="J4173">
        <f>IF(I4173="","",IF(I4173&gt;=MAXIFS($I$2:$I$5001,$B$2:$B$5001,B4173,$A$2:$A$5001,"&lt;="&amp;A4173),"PR",""))</f>
        <v/>
      </c>
    </row>
    <row r="4174">
      <c r="A4174" s="7" t="n"/>
      <c r="H4174" s="11">
        <f>IF(OR(D4174="",E4174=""),"",D4174*E4174)</f>
        <v/>
      </c>
      <c r="I4174" s="8">
        <f>IF(OR(D4174="",E4174=""),"",E4174*(1+D4174/30))</f>
        <v/>
      </c>
      <c r="J4174">
        <f>IF(I4174="","",IF(I4174&gt;=MAXIFS($I$2:$I$5001,$B$2:$B$5001,B4174,$A$2:$A$5001,"&lt;="&amp;A4174),"PR",""))</f>
        <v/>
      </c>
    </row>
    <row r="4175">
      <c r="A4175" s="7" t="n"/>
      <c r="H4175" s="11">
        <f>IF(OR(D4175="",E4175=""),"",D4175*E4175)</f>
        <v/>
      </c>
      <c r="I4175" s="8">
        <f>IF(OR(D4175="",E4175=""),"",E4175*(1+D4175/30))</f>
        <v/>
      </c>
      <c r="J4175">
        <f>IF(I4175="","",IF(I4175&gt;=MAXIFS($I$2:$I$5001,$B$2:$B$5001,B4175,$A$2:$A$5001,"&lt;="&amp;A4175),"PR",""))</f>
        <v/>
      </c>
    </row>
    <row r="4176">
      <c r="A4176" s="7" t="n"/>
      <c r="H4176" s="11">
        <f>IF(OR(D4176="",E4176=""),"",D4176*E4176)</f>
        <v/>
      </c>
      <c r="I4176" s="8">
        <f>IF(OR(D4176="",E4176=""),"",E4176*(1+D4176/30))</f>
        <v/>
      </c>
      <c r="J4176">
        <f>IF(I4176="","",IF(I4176&gt;=MAXIFS($I$2:$I$5001,$B$2:$B$5001,B4176,$A$2:$A$5001,"&lt;="&amp;A4176),"PR",""))</f>
        <v/>
      </c>
    </row>
    <row r="4177">
      <c r="A4177" s="7" t="n"/>
      <c r="H4177" s="11">
        <f>IF(OR(D4177="",E4177=""),"",D4177*E4177)</f>
        <v/>
      </c>
      <c r="I4177" s="8">
        <f>IF(OR(D4177="",E4177=""),"",E4177*(1+D4177/30))</f>
        <v/>
      </c>
      <c r="J4177">
        <f>IF(I4177="","",IF(I4177&gt;=MAXIFS($I$2:$I$5001,$B$2:$B$5001,B4177,$A$2:$A$5001,"&lt;="&amp;A4177),"PR",""))</f>
        <v/>
      </c>
    </row>
    <row r="4178">
      <c r="A4178" s="7" t="n"/>
      <c r="H4178" s="11">
        <f>IF(OR(D4178="",E4178=""),"",D4178*E4178)</f>
        <v/>
      </c>
      <c r="I4178" s="8">
        <f>IF(OR(D4178="",E4178=""),"",E4178*(1+D4178/30))</f>
        <v/>
      </c>
      <c r="J4178">
        <f>IF(I4178="","",IF(I4178&gt;=MAXIFS($I$2:$I$5001,$B$2:$B$5001,B4178,$A$2:$A$5001,"&lt;="&amp;A4178),"PR",""))</f>
        <v/>
      </c>
    </row>
    <row r="4179">
      <c r="A4179" s="7" t="n"/>
      <c r="H4179" s="11">
        <f>IF(OR(D4179="",E4179=""),"",D4179*E4179)</f>
        <v/>
      </c>
      <c r="I4179" s="8">
        <f>IF(OR(D4179="",E4179=""),"",E4179*(1+D4179/30))</f>
        <v/>
      </c>
      <c r="J4179">
        <f>IF(I4179="","",IF(I4179&gt;=MAXIFS($I$2:$I$5001,$B$2:$B$5001,B4179,$A$2:$A$5001,"&lt;="&amp;A4179),"PR",""))</f>
        <v/>
      </c>
    </row>
    <row r="4180">
      <c r="A4180" s="7" t="n"/>
      <c r="H4180" s="11">
        <f>IF(OR(D4180="",E4180=""),"",D4180*E4180)</f>
        <v/>
      </c>
      <c r="I4180" s="8">
        <f>IF(OR(D4180="",E4180=""),"",E4180*(1+D4180/30))</f>
        <v/>
      </c>
      <c r="J4180">
        <f>IF(I4180="","",IF(I4180&gt;=MAXIFS($I$2:$I$5001,$B$2:$B$5001,B4180,$A$2:$A$5001,"&lt;="&amp;A4180),"PR",""))</f>
        <v/>
      </c>
    </row>
    <row r="4181">
      <c r="A4181" s="7" t="n"/>
      <c r="H4181" s="11">
        <f>IF(OR(D4181="",E4181=""),"",D4181*E4181)</f>
        <v/>
      </c>
      <c r="I4181" s="8">
        <f>IF(OR(D4181="",E4181=""),"",E4181*(1+D4181/30))</f>
        <v/>
      </c>
      <c r="J4181">
        <f>IF(I4181="","",IF(I4181&gt;=MAXIFS($I$2:$I$5001,$B$2:$B$5001,B4181,$A$2:$A$5001,"&lt;="&amp;A4181),"PR",""))</f>
        <v/>
      </c>
    </row>
    <row r="4182">
      <c r="A4182" s="7" t="n"/>
      <c r="H4182" s="11">
        <f>IF(OR(D4182="",E4182=""),"",D4182*E4182)</f>
        <v/>
      </c>
      <c r="I4182" s="8">
        <f>IF(OR(D4182="",E4182=""),"",E4182*(1+D4182/30))</f>
        <v/>
      </c>
      <c r="J4182">
        <f>IF(I4182="","",IF(I4182&gt;=MAXIFS($I$2:$I$5001,$B$2:$B$5001,B4182,$A$2:$A$5001,"&lt;="&amp;A4182),"PR",""))</f>
        <v/>
      </c>
    </row>
    <row r="4183">
      <c r="A4183" s="7" t="n"/>
      <c r="H4183" s="11">
        <f>IF(OR(D4183="",E4183=""),"",D4183*E4183)</f>
        <v/>
      </c>
      <c r="I4183" s="8">
        <f>IF(OR(D4183="",E4183=""),"",E4183*(1+D4183/30))</f>
        <v/>
      </c>
      <c r="J4183">
        <f>IF(I4183="","",IF(I4183&gt;=MAXIFS($I$2:$I$5001,$B$2:$B$5001,B4183,$A$2:$A$5001,"&lt;="&amp;A4183),"PR",""))</f>
        <v/>
      </c>
    </row>
    <row r="4184">
      <c r="A4184" s="7" t="n"/>
      <c r="H4184" s="11">
        <f>IF(OR(D4184="",E4184=""),"",D4184*E4184)</f>
        <v/>
      </c>
      <c r="I4184" s="8">
        <f>IF(OR(D4184="",E4184=""),"",E4184*(1+D4184/30))</f>
        <v/>
      </c>
      <c r="J4184">
        <f>IF(I4184="","",IF(I4184&gt;=MAXIFS($I$2:$I$5001,$B$2:$B$5001,B4184,$A$2:$A$5001,"&lt;="&amp;A4184),"PR",""))</f>
        <v/>
      </c>
    </row>
    <row r="4185">
      <c r="A4185" s="7" t="n"/>
      <c r="H4185" s="11">
        <f>IF(OR(D4185="",E4185=""),"",D4185*E4185)</f>
        <v/>
      </c>
      <c r="I4185" s="8">
        <f>IF(OR(D4185="",E4185=""),"",E4185*(1+D4185/30))</f>
        <v/>
      </c>
      <c r="J4185">
        <f>IF(I4185="","",IF(I4185&gt;=MAXIFS($I$2:$I$5001,$B$2:$B$5001,B4185,$A$2:$A$5001,"&lt;="&amp;A4185),"PR",""))</f>
        <v/>
      </c>
    </row>
    <row r="4186">
      <c r="A4186" s="7" t="n"/>
      <c r="H4186" s="11">
        <f>IF(OR(D4186="",E4186=""),"",D4186*E4186)</f>
        <v/>
      </c>
      <c r="I4186" s="8">
        <f>IF(OR(D4186="",E4186=""),"",E4186*(1+D4186/30))</f>
        <v/>
      </c>
      <c r="J4186">
        <f>IF(I4186="","",IF(I4186&gt;=MAXIFS($I$2:$I$5001,$B$2:$B$5001,B4186,$A$2:$A$5001,"&lt;="&amp;A4186),"PR",""))</f>
        <v/>
      </c>
    </row>
    <row r="4187">
      <c r="A4187" s="7" t="n"/>
      <c r="H4187" s="11">
        <f>IF(OR(D4187="",E4187=""),"",D4187*E4187)</f>
        <v/>
      </c>
      <c r="I4187" s="8">
        <f>IF(OR(D4187="",E4187=""),"",E4187*(1+D4187/30))</f>
        <v/>
      </c>
      <c r="J4187">
        <f>IF(I4187="","",IF(I4187&gt;=MAXIFS($I$2:$I$5001,$B$2:$B$5001,B4187,$A$2:$A$5001,"&lt;="&amp;A4187),"PR",""))</f>
        <v/>
      </c>
    </row>
    <row r="4188">
      <c r="A4188" s="7" t="n"/>
      <c r="H4188" s="11">
        <f>IF(OR(D4188="",E4188=""),"",D4188*E4188)</f>
        <v/>
      </c>
      <c r="I4188" s="8">
        <f>IF(OR(D4188="",E4188=""),"",E4188*(1+D4188/30))</f>
        <v/>
      </c>
      <c r="J4188">
        <f>IF(I4188="","",IF(I4188&gt;=MAXIFS($I$2:$I$5001,$B$2:$B$5001,B4188,$A$2:$A$5001,"&lt;="&amp;A4188),"PR",""))</f>
        <v/>
      </c>
    </row>
    <row r="4189">
      <c r="A4189" s="7" t="n"/>
      <c r="H4189" s="11">
        <f>IF(OR(D4189="",E4189=""),"",D4189*E4189)</f>
        <v/>
      </c>
      <c r="I4189" s="8">
        <f>IF(OR(D4189="",E4189=""),"",E4189*(1+D4189/30))</f>
        <v/>
      </c>
      <c r="J4189">
        <f>IF(I4189="","",IF(I4189&gt;=MAXIFS($I$2:$I$5001,$B$2:$B$5001,B4189,$A$2:$A$5001,"&lt;="&amp;A4189),"PR",""))</f>
        <v/>
      </c>
    </row>
    <row r="4190">
      <c r="A4190" s="7" t="n"/>
      <c r="H4190" s="11">
        <f>IF(OR(D4190="",E4190=""),"",D4190*E4190)</f>
        <v/>
      </c>
      <c r="I4190" s="8">
        <f>IF(OR(D4190="",E4190=""),"",E4190*(1+D4190/30))</f>
        <v/>
      </c>
      <c r="J4190">
        <f>IF(I4190="","",IF(I4190&gt;=MAXIFS($I$2:$I$5001,$B$2:$B$5001,B4190,$A$2:$A$5001,"&lt;="&amp;A4190),"PR",""))</f>
        <v/>
      </c>
    </row>
    <row r="4191">
      <c r="A4191" s="7" t="n"/>
      <c r="H4191" s="11">
        <f>IF(OR(D4191="",E4191=""),"",D4191*E4191)</f>
        <v/>
      </c>
      <c r="I4191" s="8">
        <f>IF(OR(D4191="",E4191=""),"",E4191*(1+D4191/30))</f>
        <v/>
      </c>
      <c r="J4191">
        <f>IF(I4191="","",IF(I4191&gt;=MAXIFS($I$2:$I$5001,$B$2:$B$5001,B4191,$A$2:$A$5001,"&lt;="&amp;A4191),"PR",""))</f>
        <v/>
      </c>
    </row>
    <row r="4192">
      <c r="A4192" s="7" t="n"/>
      <c r="H4192" s="11">
        <f>IF(OR(D4192="",E4192=""),"",D4192*E4192)</f>
        <v/>
      </c>
      <c r="I4192" s="8">
        <f>IF(OR(D4192="",E4192=""),"",E4192*(1+D4192/30))</f>
        <v/>
      </c>
      <c r="J4192">
        <f>IF(I4192="","",IF(I4192&gt;=MAXIFS($I$2:$I$5001,$B$2:$B$5001,B4192,$A$2:$A$5001,"&lt;="&amp;A4192),"PR",""))</f>
        <v/>
      </c>
    </row>
    <row r="4193">
      <c r="A4193" s="7" t="n"/>
      <c r="H4193" s="11">
        <f>IF(OR(D4193="",E4193=""),"",D4193*E4193)</f>
        <v/>
      </c>
      <c r="I4193" s="8">
        <f>IF(OR(D4193="",E4193=""),"",E4193*(1+D4193/30))</f>
        <v/>
      </c>
      <c r="J4193">
        <f>IF(I4193="","",IF(I4193&gt;=MAXIFS($I$2:$I$5001,$B$2:$B$5001,B4193,$A$2:$A$5001,"&lt;="&amp;A4193),"PR",""))</f>
        <v/>
      </c>
    </row>
    <row r="4194">
      <c r="A4194" s="7" t="n"/>
      <c r="H4194" s="11">
        <f>IF(OR(D4194="",E4194=""),"",D4194*E4194)</f>
        <v/>
      </c>
      <c r="I4194" s="8">
        <f>IF(OR(D4194="",E4194=""),"",E4194*(1+D4194/30))</f>
        <v/>
      </c>
      <c r="J4194">
        <f>IF(I4194="","",IF(I4194&gt;=MAXIFS($I$2:$I$5001,$B$2:$B$5001,B4194,$A$2:$A$5001,"&lt;="&amp;A4194),"PR",""))</f>
        <v/>
      </c>
    </row>
    <row r="4195">
      <c r="A4195" s="7" t="n"/>
      <c r="H4195" s="11">
        <f>IF(OR(D4195="",E4195=""),"",D4195*E4195)</f>
        <v/>
      </c>
      <c r="I4195" s="8">
        <f>IF(OR(D4195="",E4195=""),"",E4195*(1+D4195/30))</f>
        <v/>
      </c>
      <c r="J4195">
        <f>IF(I4195="","",IF(I4195&gt;=MAXIFS($I$2:$I$5001,$B$2:$B$5001,B4195,$A$2:$A$5001,"&lt;="&amp;A4195),"PR",""))</f>
        <v/>
      </c>
    </row>
    <row r="4196">
      <c r="A4196" s="7" t="n"/>
      <c r="H4196" s="11">
        <f>IF(OR(D4196="",E4196=""),"",D4196*E4196)</f>
        <v/>
      </c>
      <c r="I4196" s="8">
        <f>IF(OR(D4196="",E4196=""),"",E4196*(1+D4196/30))</f>
        <v/>
      </c>
      <c r="J4196">
        <f>IF(I4196="","",IF(I4196&gt;=MAXIFS($I$2:$I$5001,$B$2:$B$5001,B4196,$A$2:$A$5001,"&lt;="&amp;A4196),"PR",""))</f>
        <v/>
      </c>
    </row>
    <row r="4197">
      <c r="A4197" s="7" t="n"/>
      <c r="H4197" s="11">
        <f>IF(OR(D4197="",E4197=""),"",D4197*E4197)</f>
        <v/>
      </c>
      <c r="I4197" s="8">
        <f>IF(OR(D4197="",E4197=""),"",E4197*(1+D4197/30))</f>
        <v/>
      </c>
      <c r="J4197">
        <f>IF(I4197="","",IF(I4197&gt;=MAXIFS($I$2:$I$5001,$B$2:$B$5001,B4197,$A$2:$A$5001,"&lt;="&amp;A4197),"PR",""))</f>
        <v/>
      </c>
    </row>
    <row r="4198">
      <c r="A4198" s="7" t="n"/>
      <c r="H4198" s="11">
        <f>IF(OR(D4198="",E4198=""),"",D4198*E4198)</f>
        <v/>
      </c>
      <c r="I4198" s="8">
        <f>IF(OR(D4198="",E4198=""),"",E4198*(1+D4198/30))</f>
        <v/>
      </c>
      <c r="J4198">
        <f>IF(I4198="","",IF(I4198&gt;=MAXIFS($I$2:$I$5001,$B$2:$B$5001,B4198,$A$2:$A$5001,"&lt;="&amp;A4198),"PR",""))</f>
        <v/>
      </c>
    </row>
    <row r="4199">
      <c r="A4199" s="7" t="n"/>
      <c r="H4199" s="11">
        <f>IF(OR(D4199="",E4199=""),"",D4199*E4199)</f>
        <v/>
      </c>
      <c r="I4199" s="8">
        <f>IF(OR(D4199="",E4199=""),"",E4199*(1+D4199/30))</f>
        <v/>
      </c>
      <c r="J4199">
        <f>IF(I4199="","",IF(I4199&gt;=MAXIFS($I$2:$I$5001,$B$2:$B$5001,B4199,$A$2:$A$5001,"&lt;="&amp;A4199),"PR",""))</f>
        <v/>
      </c>
    </row>
    <row r="4200">
      <c r="A4200" s="7" t="n"/>
      <c r="H4200" s="11">
        <f>IF(OR(D4200="",E4200=""),"",D4200*E4200)</f>
        <v/>
      </c>
      <c r="I4200" s="8">
        <f>IF(OR(D4200="",E4200=""),"",E4200*(1+D4200/30))</f>
        <v/>
      </c>
      <c r="J4200">
        <f>IF(I4200="","",IF(I4200&gt;=MAXIFS($I$2:$I$5001,$B$2:$B$5001,B4200,$A$2:$A$5001,"&lt;="&amp;A4200),"PR",""))</f>
        <v/>
      </c>
    </row>
    <row r="4201">
      <c r="A4201" s="7" t="n"/>
      <c r="H4201" s="11">
        <f>IF(OR(D4201="",E4201=""),"",D4201*E4201)</f>
        <v/>
      </c>
      <c r="I4201" s="8">
        <f>IF(OR(D4201="",E4201=""),"",E4201*(1+D4201/30))</f>
        <v/>
      </c>
      <c r="J4201">
        <f>IF(I4201="","",IF(I4201&gt;=MAXIFS($I$2:$I$5001,$B$2:$B$5001,B4201,$A$2:$A$5001,"&lt;="&amp;A4201),"PR",""))</f>
        <v/>
      </c>
    </row>
    <row r="4202">
      <c r="A4202" s="7" t="n"/>
      <c r="H4202" s="11">
        <f>IF(OR(D4202="",E4202=""),"",D4202*E4202)</f>
        <v/>
      </c>
      <c r="I4202" s="8">
        <f>IF(OR(D4202="",E4202=""),"",E4202*(1+D4202/30))</f>
        <v/>
      </c>
      <c r="J4202">
        <f>IF(I4202="","",IF(I4202&gt;=MAXIFS($I$2:$I$5001,$B$2:$B$5001,B4202,$A$2:$A$5001,"&lt;="&amp;A4202),"PR",""))</f>
        <v/>
      </c>
    </row>
    <row r="4203">
      <c r="A4203" s="7" t="n"/>
      <c r="H4203" s="11">
        <f>IF(OR(D4203="",E4203=""),"",D4203*E4203)</f>
        <v/>
      </c>
      <c r="I4203" s="8">
        <f>IF(OR(D4203="",E4203=""),"",E4203*(1+D4203/30))</f>
        <v/>
      </c>
      <c r="J4203">
        <f>IF(I4203="","",IF(I4203&gt;=MAXIFS($I$2:$I$5001,$B$2:$B$5001,B4203,$A$2:$A$5001,"&lt;="&amp;A4203),"PR",""))</f>
        <v/>
      </c>
    </row>
    <row r="4204">
      <c r="A4204" s="7" t="n"/>
      <c r="H4204" s="11">
        <f>IF(OR(D4204="",E4204=""),"",D4204*E4204)</f>
        <v/>
      </c>
      <c r="I4204" s="8">
        <f>IF(OR(D4204="",E4204=""),"",E4204*(1+D4204/30))</f>
        <v/>
      </c>
      <c r="J4204">
        <f>IF(I4204="","",IF(I4204&gt;=MAXIFS($I$2:$I$5001,$B$2:$B$5001,B4204,$A$2:$A$5001,"&lt;="&amp;A4204),"PR",""))</f>
        <v/>
      </c>
    </row>
    <row r="4205">
      <c r="A4205" s="7" t="n"/>
      <c r="H4205" s="11">
        <f>IF(OR(D4205="",E4205=""),"",D4205*E4205)</f>
        <v/>
      </c>
      <c r="I4205" s="8">
        <f>IF(OR(D4205="",E4205=""),"",E4205*(1+D4205/30))</f>
        <v/>
      </c>
      <c r="J4205">
        <f>IF(I4205="","",IF(I4205&gt;=MAXIFS($I$2:$I$5001,$B$2:$B$5001,B4205,$A$2:$A$5001,"&lt;="&amp;A4205),"PR",""))</f>
        <v/>
      </c>
    </row>
    <row r="4206">
      <c r="A4206" s="7" t="n"/>
      <c r="H4206" s="11">
        <f>IF(OR(D4206="",E4206=""),"",D4206*E4206)</f>
        <v/>
      </c>
      <c r="I4206" s="8">
        <f>IF(OR(D4206="",E4206=""),"",E4206*(1+D4206/30))</f>
        <v/>
      </c>
      <c r="J4206">
        <f>IF(I4206="","",IF(I4206&gt;=MAXIFS($I$2:$I$5001,$B$2:$B$5001,B4206,$A$2:$A$5001,"&lt;="&amp;A4206),"PR",""))</f>
        <v/>
      </c>
    </row>
    <row r="4207">
      <c r="A4207" s="7" t="n"/>
      <c r="H4207" s="11">
        <f>IF(OR(D4207="",E4207=""),"",D4207*E4207)</f>
        <v/>
      </c>
      <c r="I4207" s="8">
        <f>IF(OR(D4207="",E4207=""),"",E4207*(1+D4207/30))</f>
        <v/>
      </c>
      <c r="J4207">
        <f>IF(I4207="","",IF(I4207&gt;=MAXIFS($I$2:$I$5001,$B$2:$B$5001,B4207,$A$2:$A$5001,"&lt;="&amp;A4207),"PR",""))</f>
        <v/>
      </c>
    </row>
    <row r="4208">
      <c r="A4208" s="7" t="n"/>
      <c r="H4208" s="11">
        <f>IF(OR(D4208="",E4208=""),"",D4208*E4208)</f>
        <v/>
      </c>
      <c r="I4208" s="8">
        <f>IF(OR(D4208="",E4208=""),"",E4208*(1+D4208/30))</f>
        <v/>
      </c>
      <c r="J4208">
        <f>IF(I4208="","",IF(I4208&gt;=MAXIFS($I$2:$I$5001,$B$2:$B$5001,B4208,$A$2:$A$5001,"&lt;="&amp;A4208),"PR",""))</f>
        <v/>
      </c>
    </row>
    <row r="4209">
      <c r="A4209" s="7" t="n"/>
      <c r="H4209" s="11">
        <f>IF(OR(D4209="",E4209=""),"",D4209*E4209)</f>
        <v/>
      </c>
      <c r="I4209" s="8">
        <f>IF(OR(D4209="",E4209=""),"",E4209*(1+D4209/30))</f>
        <v/>
      </c>
      <c r="J4209">
        <f>IF(I4209="","",IF(I4209&gt;=MAXIFS($I$2:$I$5001,$B$2:$B$5001,B4209,$A$2:$A$5001,"&lt;="&amp;A4209),"PR",""))</f>
        <v/>
      </c>
    </row>
    <row r="4210">
      <c r="A4210" s="7" t="n"/>
      <c r="H4210" s="11">
        <f>IF(OR(D4210="",E4210=""),"",D4210*E4210)</f>
        <v/>
      </c>
      <c r="I4210" s="8">
        <f>IF(OR(D4210="",E4210=""),"",E4210*(1+D4210/30))</f>
        <v/>
      </c>
      <c r="J4210">
        <f>IF(I4210="","",IF(I4210&gt;=MAXIFS($I$2:$I$5001,$B$2:$B$5001,B4210,$A$2:$A$5001,"&lt;="&amp;A4210),"PR",""))</f>
        <v/>
      </c>
    </row>
    <row r="4211">
      <c r="A4211" s="7" t="n"/>
      <c r="H4211" s="11">
        <f>IF(OR(D4211="",E4211=""),"",D4211*E4211)</f>
        <v/>
      </c>
      <c r="I4211" s="8">
        <f>IF(OR(D4211="",E4211=""),"",E4211*(1+D4211/30))</f>
        <v/>
      </c>
      <c r="J4211">
        <f>IF(I4211="","",IF(I4211&gt;=MAXIFS($I$2:$I$5001,$B$2:$B$5001,B4211,$A$2:$A$5001,"&lt;="&amp;A4211),"PR",""))</f>
        <v/>
      </c>
    </row>
    <row r="4212">
      <c r="A4212" s="7" t="n"/>
      <c r="H4212" s="11">
        <f>IF(OR(D4212="",E4212=""),"",D4212*E4212)</f>
        <v/>
      </c>
      <c r="I4212" s="8">
        <f>IF(OR(D4212="",E4212=""),"",E4212*(1+D4212/30))</f>
        <v/>
      </c>
      <c r="J4212">
        <f>IF(I4212="","",IF(I4212&gt;=MAXIFS($I$2:$I$5001,$B$2:$B$5001,B4212,$A$2:$A$5001,"&lt;="&amp;A4212),"PR",""))</f>
        <v/>
      </c>
    </row>
    <row r="4213">
      <c r="A4213" s="7" t="n"/>
      <c r="H4213" s="11">
        <f>IF(OR(D4213="",E4213=""),"",D4213*E4213)</f>
        <v/>
      </c>
      <c r="I4213" s="8">
        <f>IF(OR(D4213="",E4213=""),"",E4213*(1+D4213/30))</f>
        <v/>
      </c>
      <c r="J4213">
        <f>IF(I4213="","",IF(I4213&gt;=MAXIFS($I$2:$I$5001,$B$2:$B$5001,B4213,$A$2:$A$5001,"&lt;="&amp;A4213),"PR",""))</f>
        <v/>
      </c>
    </row>
    <row r="4214">
      <c r="A4214" s="7" t="n"/>
      <c r="H4214" s="11">
        <f>IF(OR(D4214="",E4214=""),"",D4214*E4214)</f>
        <v/>
      </c>
      <c r="I4214" s="8">
        <f>IF(OR(D4214="",E4214=""),"",E4214*(1+D4214/30))</f>
        <v/>
      </c>
      <c r="J4214">
        <f>IF(I4214="","",IF(I4214&gt;=MAXIFS($I$2:$I$5001,$B$2:$B$5001,B4214,$A$2:$A$5001,"&lt;="&amp;A4214),"PR",""))</f>
        <v/>
      </c>
    </row>
    <row r="4215">
      <c r="A4215" s="7" t="n"/>
      <c r="H4215" s="11">
        <f>IF(OR(D4215="",E4215=""),"",D4215*E4215)</f>
        <v/>
      </c>
      <c r="I4215" s="8">
        <f>IF(OR(D4215="",E4215=""),"",E4215*(1+D4215/30))</f>
        <v/>
      </c>
      <c r="J4215">
        <f>IF(I4215="","",IF(I4215&gt;=MAXIFS($I$2:$I$5001,$B$2:$B$5001,B4215,$A$2:$A$5001,"&lt;="&amp;A4215),"PR",""))</f>
        <v/>
      </c>
    </row>
    <row r="4216">
      <c r="A4216" s="7" t="n"/>
      <c r="H4216" s="11">
        <f>IF(OR(D4216="",E4216=""),"",D4216*E4216)</f>
        <v/>
      </c>
      <c r="I4216" s="8">
        <f>IF(OR(D4216="",E4216=""),"",E4216*(1+D4216/30))</f>
        <v/>
      </c>
      <c r="J4216">
        <f>IF(I4216="","",IF(I4216&gt;=MAXIFS($I$2:$I$5001,$B$2:$B$5001,B4216,$A$2:$A$5001,"&lt;="&amp;A4216),"PR",""))</f>
        <v/>
      </c>
    </row>
    <row r="4217">
      <c r="A4217" s="7" t="n"/>
      <c r="H4217" s="11">
        <f>IF(OR(D4217="",E4217=""),"",D4217*E4217)</f>
        <v/>
      </c>
      <c r="I4217" s="8">
        <f>IF(OR(D4217="",E4217=""),"",E4217*(1+D4217/30))</f>
        <v/>
      </c>
      <c r="J4217">
        <f>IF(I4217="","",IF(I4217&gt;=MAXIFS($I$2:$I$5001,$B$2:$B$5001,B4217,$A$2:$A$5001,"&lt;="&amp;A4217),"PR",""))</f>
        <v/>
      </c>
    </row>
    <row r="4218">
      <c r="A4218" s="7" t="n"/>
      <c r="H4218" s="11">
        <f>IF(OR(D4218="",E4218=""),"",D4218*E4218)</f>
        <v/>
      </c>
      <c r="I4218" s="8">
        <f>IF(OR(D4218="",E4218=""),"",E4218*(1+D4218/30))</f>
        <v/>
      </c>
      <c r="J4218">
        <f>IF(I4218="","",IF(I4218&gt;=MAXIFS($I$2:$I$5001,$B$2:$B$5001,B4218,$A$2:$A$5001,"&lt;="&amp;A4218),"PR",""))</f>
        <v/>
      </c>
    </row>
    <row r="4219">
      <c r="A4219" s="7" t="n"/>
      <c r="H4219" s="11">
        <f>IF(OR(D4219="",E4219=""),"",D4219*E4219)</f>
        <v/>
      </c>
      <c r="I4219" s="8">
        <f>IF(OR(D4219="",E4219=""),"",E4219*(1+D4219/30))</f>
        <v/>
      </c>
      <c r="J4219">
        <f>IF(I4219="","",IF(I4219&gt;=MAXIFS($I$2:$I$5001,$B$2:$B$5001,B4219,$A$2:$A$5001,"&lt;="&amp;A4219),"PR",""))</f>
        <v/>
      </c>
    </row>
    <row r="4220">
      <c r="A4220" s="7" t="n"/>
      <c r="H4220" s="11">
        <f>IF(OR(D4220="",E4220=""),"",D4220*E4220)</f>
        <v/>
      </c>
      <c r="I4220" s="8">
        <f>IF(OR(D4220="",E4220=""),"",E4220*(1+D4220/30))</f>
        <v/>
      </c>
      <c r="J4220">
        <f>IF(I4220="","",IF(I4220&gt;=MAXIFS($I$2:$I$5001,$B$2:$B$5001,B4220,$A$2:$A$5001,"&lt;="&amp;A4220),"PR",""))</f>
        <v/>
      </c>
    </row>
    <row r="4221">
      <c r="A4221" s="7" t="n"/>
      <c r="H4221" s="11">
        <f>IF(OR(D4221="",E4221=""),"",D4221*E4221)</f>
        <v/>
      </c>
      <c r="I4221" s="8">
        <f>IF(OR(D4221="",E4221=""),"",E4221*(1+D4221/30))</f>
        <v/>
      </c>
      <c r="J4221">
        <f>IF(I4221="","",IF(I4221&gt;=MAXIFS($I$2:$I$5001,$B$2:$B$5001,B4221,$A$2:$A$5001,"&lt;="&amp;A4221),"PR",""))</f>
        <v/>
      </c>
    </row>
    <row r="4222">
      <c r="A4222" s="7" t="n"/>
      <c r="H4222" s="11">
        <f>IF(OR(D4222="",E4222=""),"",D4222*E4222)</f>
        <v/>
      </c>
      <c r="I4222" s="8">
        <f>IF(OR(D4222="",E4222=""),"",E4222*(1+D4222/30))</f>
        <v/>
      </c>
      <c r="J4222">
        <f>IF(I4222="","",IF(I4222&gt;=MAXIFS($I$2:$I$5001,$B$2:$B$5001,B4222,$A$2:$A$5001,"&lt;="&amp;A4222),"PR",""))</f>
        <v/>
      </c>
    </row>
    <row r="4223">
      <c r="A4223" s="7" t="n"/>
      <c r="H4223" s="11">
        <f>IF(OR(D4223="",E4223=""),"",D4223*E4223)</f>
        <v/>
      </c>
      <c r="I4223" s="8">
        <f>IF(OR(D4223="",E4223=""),"",E4223*(1+D4223/30))</f>
        <v/>
      </c>
      <c r="J4223">
        <f>IF(I4223="","",IF(I4223&gt;=MAXIFS($I$2:$I$5001,$B$2:$B$5001,B4223,$A$2:$A$5001,"&lt;="&amp;A4223),"PR",""))</f>
        <v/>
      </c>
    </row>
    <row r="4224">
      <c r="A4224" s="7" t="n"/>
      <c r="H4224" s="11">
        <f>IF(OR(D4224="",E4224=""),"",D4224*E4224)</f>
        <v/>
      </c>
      <c r="I4224" s="8">
        <f>IF(OR(D4224="",E4224=""),"",E4224*(1+D4224/30))</f>
        <v/>
      </c>
      <c r="J4224">
        <f>IF(I4224="","",IF(I4224&gt;=MAXIFS($I$2:$I$5001,$B$2:$B$5001,B4224,$A$2:$A$5001,"&lt;="&amp;A4224),"PR",""))</f>
        <v/>
      </c>
    </row>
    <row r="4225">
      <c r="A4225" s="7" t="n"/>
      <c r="H4225" s="11">
        <f>IF(OR(D4225="",E4225=""),"",D4225*E4225)</f>
        <v/>
      </c>
      <c r="I4225" s="8">
        <f>IF(OR(D4225="",E4225=""),"",E4225*(1+D4225/30))</f>
        <v/>
      </c>
      <c r="J4225">
        <f>IF(I4225="","",IF(I4225&gt;=MAXIFS($I$2:$I$5001,$B$2:$B$5001,B4225,$A$2:$A$5001,"&lt;="&amp;A4225),"PR",""))</f>
        <v/>
      </c>
    </row>
    <row r="4226">
      <c r="A4226" s="7" t="n"/>
      <c r="H4226" s="11">
        <f>IF(OR(D4226="",E4226=""),"",D4226*E4226)</f>
        <v/>
      </c>
      <c r="I4226" s="8">
        <f>IF(OR(D4226="",E4226=""),"",E4226*(1+D4226/30))</f>
        <v/>
      </c>
      <c r="J4226">
        <f>IF(I4226="","",IF(I4226&gt;=MAXIFS($I$2:$I$5001,$B$2:$B$5001,B4226,$A$2:$A$5001,"&lt;="&amp;A4226),"PR",""))</f>
        <v/>
      </c>
    </row>
    <row r="4227">
      <c r="A4227" s="7" t="n"/>
      <c r="H4227" s="11">
        <f>IF(OR(D4227="",E4227=""),"",D4227*E4227)</f>
        <v/>
      </c>
      <c r="I4227" s="8">
        <f>IF(OR(D4227="",E4227=""),"",E4227*(1+D4227/30))</f>
        <v/>
      </c>
      <c r="J4227">
        <f>IF(I4227="","",IF(I4227&gt;=MAXIFS($I$2:$I$5001,$B$2:$B$5001,B4227,$A$2:$A$5001,"&lt;="&amp;A4227),"PR",""))</f>
        <v/>
      </c>
    </row>
    <row r="4228">
      <c r="A4228" s="7" t="n"/>
      <c r="H4228" s="11">
        <f>IF(OR(D4228="",E4228=""),"",D4228*E4228)</f>
        <v/>
      </c>
      <c r="I4228" s="8">
        <f>IF(OR(D4228="",E4228=""),"",E4228*(1+D4228/30))</f>
        <v/>
      </c>
      <c r="J4228">
        <f>IF(I4228="","",IF(I4228&gt;=MAXIFS($I$2:$I$5001,$B$2:$B$5001,B4228,$A$2:$A$5001,"&lt;="&amp;A4228),"PR",""))</f>
        <v/>
      </c>
    </row>
    <row r="4229">
      <c r="A4229" s="7" t="n"/>
      <c r="H4229" s="11">
        <f>IF(OR(D4229="",E4229=""),"",D4229*E4229)</f>
        <v/>
      </c>
      <c r="I4229" s="8">
        <f>IF(OR(D4229="",E4229=""),"",E4229*(1+D4229/30))</f>
        <v/>
      </c>
      <c r="J4229">
        <f>IF(I4229="","",IF(I4229&gt;=MAXIFS($I$2:$I$5001,$B$2:$B$5001,B4229,$A$2:$A$5001,"&lt;="&amp;A4229),"PR",""))</f>
        <v/>
      </c>
    </row>
    <row r="4230">
      <c r="A4230" s="7" t="n"/>
      <c r="H4230" s="11">
        <f>IF(OR(D4230="",E4230=""),"",D4230*E4230)</f>
        <v/>
      </c>
      <c r="I4230" s="8">
        <f>IF(OR(D4230="",E4230=""),"",E4230*(1+D4230/30))</f>
        <v/>
      </c>
      <c r="J4230">
        <f>IF(I4230="","",IF(I4230&gt;=MAXIFS($I$2:$I$5001,$B$2:$B$5001,B4230,$A$2:$A$5001,"&lt;="&amp;A4230),"PR",""))</f>
        <v/>
      </c>
    </row>
    <row r="4231">
      <c r="A4231" s="7" t="n"/>
      <c r="H4231" s="11">
        <f>IF(OR(D4231="",E4231=""),"",D4231*E4231)</f>
        <v/>
      </c>
      <c r="I4231" s="8">
        <f>IF(OR(D4231="",E4231=""),"",E4231*(1+D4231/30))</f>
        <v/>
      </c>
      <c r="J4231">
        <f>IF(I4231="","",IF(I4231&gt;=MAXIFS($I$2:$I$5001,$B$2:$B$5001,B4231,$A$2:$A$5001,"&lt;="&amp;A4231),"PR",""))</f>
        <v/>
      </c>
    </row>
    <row r="4232">
      <c r="A4232" s="7" t="n"/>
      <c r="H4232" s="11">
        <f>IF(OR(D4232="",E4232=""),"",D4232*E4232)</f>
        <v/>
      </c>
      <c r="I4232" s="8">
        <f>IF(OR(D4232="",E4232=""),"",E4232*(1+D4232/30))</f>
        <v/>
      </c>
      <c r="J4232">
        <f>IF(I4232="","",IF(I4232&gt;=MAXIFS($I$2:$I$5001,$B$2:$B$5001,B4232,$A$2:$A$5001,"&lt;="&amp;A4232),"PR",""))</f>
        <v/>
      </c>
    </row>
    <row r="4233">
      <c r="A4233" s="7" t="n"/>
      <c r="H4233" s="11">
        <f>IF(OR(D4233="",E4233=""),"",D4233*E4233)</f>
        <v/>
      </c>
      <c r="I4233" s="8">
        <f>IF(OR(D4233="",E4233=""),"",E4233*(1+D4233/30))</f>
        <v/>
      </c>
      <c r="J4233">
        <f>IF(I4233="","",IF(I4233&gt;=MAXIFS($I$2:$I$5001,$B$2:$B$5001,B4233,$A$2:$A$5001,"&lt;="&amp;A4233),"PR",""))</f>
        <v/>
      </c>
    </row>
    <row r="4234">
      <c r="A4234" s="7" t="n"/>
      <c r="H4234" s="11">
        <f>IF(OR(D4234="",E4234=""),"",D4234*E4234)</f>
        <v/>
      </c>
      <c r="I4234" s="8">
        <f>IF(OR(D4234="",E4234=""),"",E4234*(1+D4234/30))</f>
        <v/>
      </c>
      <c r="J4234">
        <f>IF(I4234="","",IF(I4234&gt;=MAXIFS($I$2:$I$5001,$B$2:$B$5001,B4234,$A$2:$A$5001,"&lt;="&amp;A4234),"PR",""))</f>
        <v/>
      </c>
    </row>
    <row r="4235">
      <c r="A4235" s="7" t="n"/>
      <c r="H4235" s="11">
        <f>IF(OR(D4235="",E4235=""),"",D4235*E4235)</f>
        <v/>
      </c>
      <c r="I4235" s="8">
        <f>IF(OR(D4235="",E4235=""),"",E4235*(1+D4235/30))</f>
        <v/>
      </c>
      <c r="J4235">
        <f>IF(I4235="","",IF(I4235&gt;=MAXIFS($I$2:$I$5001,$B$2:$B$5001,B4235,$A$2:$A$5001,"&lt;="&amp;A4235),"PR",""))</f>
        <v/>
      </c>
    </row>
    <row r="4236">
      <c r="A4236" s="7" t="n"/>
      <c r="H4236" s="11">
        <f>IF(OR(D4236="",E4236=""),"",D4236*E4236)</f>
        <v/>
      </c>
      <c r="I4236" s="8">
        <f>IF(OR(D4236="",E4236=""),"",E4236*(1+D4236/30))</f>
        <v/>
      </c>
      <c r="J4236">
        <f>IF(I4236="","",IF(I4236&gt;=MAXIFS($I$2:$I$5001,$B$2:$B$5001,B4236,$A$2:$A$5001,"&lt;="&amp;A4236),"PR",""))</f>
        <v/>
      </c>
    </row>
    <row r="4237">
      <c r="A4237" s="7" t="n"/>
      <c r="H4237" s="11">
        <f>IF(OR(D4237="",E4237=""),"",D4237*E4237)</f>
        <v/>
      </c>
      <c r="I4237" s="8">
        <f>IF(OR(D4237="",E4237=""),"",E4237*(1+D4237/30))</f>
        <v/>
      </c>
      <c r="J4237">
        <f>IF(I4237="","",IF(I4237&gt;=MAXIFS($I$2:$I$5001,$B$2:$B$5001,B4237,$A$2:$A$5001,"&lt;="&amp;A4237),"PR",""))</f>
        <v/>
      </c>
    </row>
    <row r="4238">
      <c r="A4238" s="7" t="n"/>
      <c r="H4238" s="11">
        <f>IF(OR(D4238="",E4238=""),"",D4238*E4238)</f>
        <v/>
      </c>
      <c r="I4238" s="8">
        <f>IF(OR(D4238="",E4238=""),"",E4238*(1+D4238/30))</f>
        <v/>
      </c>
      <c r="J4238">
        <f>IF(I4238="","",IF(I4238&gt;=MAXIFS($I$2:$I$5001,$B$2:$B$5001,B4238,$A$2:$A$5001,"&lt;="&amp;A4238),"PR",""))</f>
        <v/>
      </c>
    </row>
    <row r="4239">
      <c r="A4239" s="7" t="n"/>
      <c r="H4239" s="11">
        <f>IF(OR(D4239="",E4239=""),"",D4239*E4239)</f>
        <v/>
      </c>
      <c r="I4239" s="8">
        <f>IF(OR(D4239="",E4239=""),"",E4239*(1+D4239/30))</f>
        <v/>
      </c>
      <c r="J4239">
        <f>IF(I4239="","",IF(I4239&gt;=MAXIFS($I$2:$I$5001,$B$2:$B$5001,B4239,$A$2:$A$5001,"&lt;="&amp;A4239),"PR",""))</f>
        <v/>
      </c>
    </row>
    <row r="4240">
      <c r="A4240" s="7" t="n"/>
      <c r="H4240" s="11">
        <f>IF(OR(D4240="",E4240=""),"",D4240*E4240)</f>
        <v/>
      </c>
      <c r="I4240" s="8">
        <f>IF(OR(D4240="",E4240=""),"",E4240*(1+D4240/30))</f>
        <v/>
      </c>
      <c r="J4240">
        <f>IF(I4240="","",IF(I4240&gt;=MAXIFS($I$2:$I$5001,$B$2:$B$5001,B4240,$A$2:$A$5001,"&lt;="&amp;A4240),"PR",""))</f>
        <v/>
      </c>
    </row>
    <row r="4241">
      <c r="A4241" s="7" t="n"/>
      <c r="H4241" s="11">
        <f>IF(OR(D4241="",E4241=""),"",D4241*E4241)</f>
        <v/>
      </c>
      <c r="I4241" s="8">
        <f>IF(OR(D4241="",E4241=""),"",E4241*(1+D4241/30))</f>
        <v/>
      </c>
      <c r="J4241">
        <f>IF(I4241="","",IF(I4241&gt;=MAXIFS($I$2:$I$5001,$B$2:$B$5001,B4241,$A$2:$A$5001,"&lt;="&amp;A4241),"PR",""))</f>
        <v/>
      </c>
    </row>
    <row r="4242">
      <c r="A4242" s="7" t="n"/>
      <c r="H4242" s="11">
        <f>IF(OR(D4242="",E4242=""),"",D4242*E4242)</f>
        <v/>
      </c>
      <c r="I4242" s="8">
        <f>IF(OR(D4242="",E4242=""),"",E4242*(1+D4242/30))</f>
        <v/>
      </c>
      <c r="J4242">
        <f>IF(I4242="","",IF(I4242&gt;=MAXIFS($I$2:$I$5001,$B$2:$B$5001,B4242,$A$2:$A$5001,"&lt;="&amp;A4242),"PR",""))</f>
        <v/>
      </c>
    </row>
    <row r="4243">
      <c r="A4243" s="7" t="n"/>
      <c r="H4243" s="11">
        <f>IF(OR(D4243="",E4243=""),"",D4243*E4243)</f>
        <v/>
      </c>
      <c r="I4243" s="8">
        <f>IF(OR(D4243="",E4243=""),"",E4243*(1+D4243/30))</f>
        <v/>
      </c>
      <c r="J4243">
        <f>IF(I4243="","",IF(I4243&gt;=MAXIFS($I$2:$I$5001,$B$2:$B$5001,B4243,$A$2:$A$5001,"&lt;="&amp;A4243),"PR",""))</f>
        <v/>
      </c>
    </row>
    <row r="4244">
      <c r="A4244" s="7" t="n"/>
      <c r="H4244" s="11">
        <f>IF(OR(D4244="",E4244=""),"",D4244*E4244)</f>
        <v/>
      </c>
      <c r="I4244" s="8">
        <f>IF(OR(D4244="",E4244=""),"",E4244*(1+D4244/30))</f>
        <v/>
      </c>
      <c r="J4244">
        <f>IF(I4244="","",IF(I4244&gt;=MAXIFS($I$2:$I$5001,$B$2:$B$5001,B4244,$A$2:$A$5001,"&lt;="&amp;A4244),"PR",""))</f>
        <v/>
      </c>
    </row>
    <row r="4245">
      <c r="A4245" s="7" t="n"/>
      <c r="H4245" s="11">
        <f>IF(OR(D4245="",E4245=""),"",D4245*E4245)</f>
        <v/>
      </c>
      <c r="I4245" s="8">
        <f>IF(OR(D4245="",E4245=""),"",E4245*(1+D4245/30))</f>
        <v/>
      </c>
      <c r="J4245">
        <f>IF(I4245="","",IF(I4245&gt;=MAXIFS($I$2:$I$5001,$B$2:$B$5001,B4245,$A$2:$A$5001,"&lt;="&amp;A4245),"PR",""))</f>
        <v/>
      </c>
    </row>
    <row r="4246">
      <c r="A4246" s="7" t="n"/>
      <c r="H4246" s="11">
        <f>IF(OR(D4246="",E4246=""),"",D4246*E4246)</f>
        <v/>
      </c>
      <c r="I4246" s="8">
        <f>IF(OR(D4246="",E4246=""),"",E4246*(1+D4246/30))</f>
        <v/>
      </c>
      <c r="J4246">
        <f>IF(I4246="","",IF(I4246&gt;=MAXIFS($I$2:$I$5001,$B$2:$B$5001,B4246,$A$2:$A$5001,"&lt;="&amp;A4246),"PR",""))</f>
        <v/>
      </c>
    </row>
    <row r="4247">
      <c r="A4247" s="7" t="n"/>
      <c r="H4247" s="11">
        <f>IF(OR(D4247="",E4247=""),"",D4247*E4247)</f>
        <v/>
      </c>
      <c r="I4247" s="8">
        <f>IF(OR(D4247="",E4247=""),"",E4247*(1+D4247/30))</f>
        <v/>
      </c>
      <c r="J4247">
        <f>IF(I4247="","",IF(I4247&gt;=MAXIFS($I$2:$I$5001,$B$2:$B$5001,B4247,$A$2:$A$5001,"&lt;="&amp;A4247),"PR",""))</f>
        <v/>
      </c>
    </row>
    <row r="4248">
      <c r="A4248" s="7" t="n"/>
      <c r="H4248" s="11">
        <f>IF(OR(D4248="",E4248=""),"",D4248*E4248)</f>
        <v/>
      </c>
      <c r="I4248" s="8">
        <f>IF(OR(D4248="",E4248=""),"",E4248*(1+D4248/30))</f>
        <v/>
      </c>
      <c r="J4248">
        <f>IF(I4248="","",IF(I4248&gt;=MAXIFS($I$2:$I$5001,$B$2:$B$5001,B4248,$A$2:$A$5001,"&lt;="&amp;A4248),"PR",""))</f>
        <v/>
      </c>
    </row>
    <row r="4249">
      <c r="A4249" s="7" t="n"/>
      <c r="H4249" s="11">
        <f>IF(OR(D4249="",E4249=""),"",D4249*E4249)</f>
        <v/>
      </c>
      <c r="I4249" s="8">
        <f>IF(OR(D4249="",E4249=""),"",E4249*(1+D4249/30))</f>
        <v/>
      </c>
      <c r="J4249">
        <f>IF(I4249="","",IF(I4249&gt;=MAXIFS($I$2:$I$5001,$B$2:$B$5001,B4249,$A$2:$A$5001,"&lt;="&amp;A4249),"PR",""))</f>
        <v/>
      </c>
    </row>
    <row r="4250">
      <c r="A4250" s="7" t="n"/>
      <c r="H4250" s="11">
        <f>IF(OR(D4250="",E4250=""),"",D4250*E4250)</f>
        <v/>
      </c>
      <c r="I4250" s="8">
        <f>IF(OR(D4250="",E4250=""),"",E4250*(1+D4250/30))</f>
        <v/>
      </c>
      <c r="J4250">
        <f>IF(I4250="","",IF(I4250&gt;=MAXIFS($I$2:$I$5001,$B$2:$B$5001,B4250,$A$2:$A$5001,"&lt;="&amp;A4250),"PR",""))</f>
        <v/>
      </c>
    </row>
    <row r="4251">
      <c r="A4251" s="7" t="n"/>
      <c r="H4251" s="11">
        <f>IF(OR(D4251="",E4251=""),"",D4251*E4251)</f>
        <v/>
      </c>
      <c r="I4251" s="8">
        <f>IF(OR(D4251="",E4251=""),"",E4251*(1+D4251/30))</f>
        <v/>
      </c>
      <c r="J4251">
        <f>IF(I4251="","",IF(I4251&gt;=MAXIFS($I$2:$I$5001,$B$2:$B$5001,B4251,$A$2:$A$5001,"&lt;="&amp;A4251),"PR",""))</f>
        <v/>
      </c>
    </row>
    <row r="4252">
      <c r="A4252" s="7" t="n"/>
      <c r="H4252" s="11">
        <f>IF(OR(D4252="",E4252=""),"",D4252*E4252)</f>
        <v/>
      </c>
      <c r="I4252" s="8">
        <f>IF(OR(D4252="",E4252=""),"",E4252*(1+D4252/30))</f>
        <v/>
      </c>
      <c r="J4252">
        <f>IF(I4252="","",IF(I4252&gt;=MAXIFS($I$2:$I$5001,$B$2:$B$5001,B4252,$A$2:$A$5001,"&lt;="&amp;A4252),"PR",""))</f>
        <v/>
      </c>
    </row>
    <row r="4253">
      <c r="A4253" s="7" t="n"/>
      <c r="H4253" s="11">
        <f>IF(OR(D4253="",E4253=""),"",D4253*E4253)</f>
        <v/>
      </c>
      <c r="I4253" s="8">
        <f>IF(OR(D4253="",E4253=""),"",E4253*(1+D4253/30))</f>
        <v/>
      </c>
      <c r="J4253">
        <f>IF(I4253="","",IF(I4253&gt;=MAXIFS($I$2:$I$5001,$B$2:$B$5001,B4253,$A$2:$A$5001,"&lt;="&amp;A4253),"PR",""))</f>
        <v/>
      </c>
    </row>
    <row r="4254">
      <c r="A4254" s="7" t="n"/>
      <c r="H4254" s="11">
        <f>IF(OR(D4254="",E4254=""),"",D4254*E4254)</f>
        <v/>
      </c>
      <c r="I4254" s="8">
        <f>IF(OR(D4254="",E4254=""),"",E4254*(1+D4254/30))</f>
        <v/>
      </c>
      <c r="J4254">
        <f>IF(I4254="","",IF(I4254&gt;=MAXIFS($I$2:$I$5001,$B$2:$B$5001,B4254,$A$2:$A$5001,"&lt;="&amp;A4254),"PR",""))</f>
        <v/>
      </c>
    </row>
    <row r="4255">
      <c r="A4255" s="7" t="n"/>
      <c r="H4255" s="11">
        <f>IF(OR(D4255="",E4255=""),"",D4255*E4255)</f>
        <v/>
      </c>
      <c r="I4255" s="8">
        <f>IF(OR(D4255="",E4255=""),"",E4255*(1+D4255/30))</f>
        <v/>
      </c>
      <c r="J4255">
        <f>IF(I4255="","",IF(I4255&gt;=MAXIFS($I$2:$I$5001,$B$2:$B$5001,B4255,$A$2:$A$5001,"&lt;="&amp;A4255),"PR",""))</f>
        <v/>
      </c>
    </row>
    <row r="4256">
      <c r="A4256" s="7" t="n"/>
      <c r="H4256" s="11">
        <f>IF(OR(D4256="",E4256=""),"",D4256*E4256)</f>
        <v/>
      </c>
      <c r="I4256" s="8">
        <f>IF(OR(D4256="",E4256=""),"",E4256*(1+D4256/30))</f>
        <v/>
      </c>
      <c r="J4256">
        <f>IF(I4256="","",IF(I4256&gt;=MAXIFS($I$2:$I$5001,$B$2:$B$5001,B4256,$A$2:$A$5001,"&lt;="&amp;A4256),"PR",""))</f>
        <v/>
      </c>
    </row>
    <row r="4257">
      <c r="A4257" s="7" t="n"/>
      <c r="H4257" s="11">
        <f>IF(OR(D4257="",E4257=""),"",D4257*E4257)</f>
        <v/>
      </c>
      <c r="I4257" s="8">
        <f>IF(OR(D4257="",E4257=""),"",E4257*(1+D4257/30))</f>
        <v/>
      </c>
      <c r="J4257">
        <f>IF(I4257="","",IF(I4257&gt;=MAXIFS($I$2:$I$5001,$B$2:$B$5001,B4257,$A$2:$A$5001,"&lt;="&amp;A4257),"PR",""))</f>
        <v/>
      </c>
    </row>
    <row r="4258">
      <c r="A4258" s="7" t="n"/>
      <c r="H4258" s="11">
        <f>IF(OR(D4258="",E4258=""),"",D4258*E4258)</f>
        <v/>
      </c>
      <c r="I4258" s="8">
        <f>IF(OR(D4258="",E4258=""),"",E4258*(1+D4258/30))</f>
        <v/>
      </c>
      <c r="J4258">
        <f>IF(I4258="","",IF(I4258&gt;=MAXIFS($I$2:$I$5001,$B$2:$B$5001,B4258,$A$2:$A$5001,"&lt;="&amp;A4258),"PR",""))</f>
        <v/>
      </c>
    </row>
    <row r="4259">
      <c r="A4259" s="7" t="n"/>
      <c r="H4259" s="11">
        <f>IF(OR(D4259="",E4259=""),"",D4259*E4259)</f>
        <v/>
      </c>
      <c r="I4259" s="8">
        <f>IF(OR(D4259="",E4259=""),"",E4259*(1+D4259/30))</f>
        <v/>
      </c>
      <c r="J4259">
        <f>IF(I4259="","",IF(I4259&gt;=MAXIFS($I$2:$I$5001,$B$2:$B$5001,B4259,$A$2:$A$5001,"&lt;="&amp;A4259),"PR",""))</f>
        <v/>
      </c>
    </row>
    <row r="4260">
      <c r="A4260" s="7" t="n"/>
      <c r="H4260" s="11">
        <f>IF(OR(D4260="",E4260=""),"",D4260*E4260)</f>
        <v/>
      </c>
      <c r="I4260" s="8">
        <f>IF(OR(D4260="",E4260=""),"",E4260*(1+D4260/30))</f>
        <v/>
      </c>
      <c r="J4260">
        <f>IF(I4260="","",IF(I4260&gt;=MAXIFS($I$2:$I$5001,$B$2:$B$5001,B4260,$A$2:$A$5001,"&lt;="&amp;A4260),"PR",""))</f>
        <v/>
      </c>
    </row>
    <row r="4261">
      <c r="A4261" s="7" t="n"/>
      <c r="H4261" s="11">
        <f>IF(OR(D4261="",E4261=""),"",D4261*E4261)</f>
        <v/>
      </c>
      <c r="I4261" s="8">
        <f>IF(OR(D4261="",E4261=""),"",E4261*(1+D4261/30))</f>
        <v/>
      </c>
      <c r="J4261">
        <f>IF(I4261="","",IF(I4261&gt;=MAXIFS($I$2:$I$5001,$B$2:$B$5001,B4261,$A$2:$A$5001,"&lt;="&amp;A4261),"PR",""))</f>
        <v/>
      </c>
    </row>
    <row r="4262">
      <c r="A4262" s="7" t="n"/>
      <c r="H4262" s="11">
        <f>IF(OR(D4262="",E4262=""),"",D4262*E4262)</f>
        <v/>
      </c>
      <c r="I4262" s="8">
        <f>IF(OR(D4262="",E4262=""),"",E4262*(1+D4262/30))</f>
        <v/>
      </c>
      <c r="J4262">
        <f>IF(I4262="","",IF(I4262&gt;=MAXIFS($I$2:$I$5001,$B$2:$B$5001,B4262,$A$2:$A$5001,"&lt;="&amp;A4262),"PR",""))</f>
        <v/>
      </c>
    </row>
    <row r="4263">
      <c r="A4263" s="7" t="n"/>
      <c r="H4263" s="11">
        <f>IF(OR(D4263="",E4263=""),"",D4263*E4263)</f>
        <v/>
      </c>
      <c r="I4263" s="8">
        <f>IF(OR(D4263="",E4263=""),"",E4263*(1+D4263/30))</f>
        <v/>
      </c>
      <c r="J4263">
        <f>IF(I4263="","",IF(I4263&gt;=MAXIFS($I$2:$I$5001,$B$2:$B$5001,B4263,$A$2:$A$5001,"&lt;="&amp;A4263),"PR",""))</f>
        <v/>
      </c>
    </row>
    <row r="4264">
      <c r="A4264" s="7" t="n"/>
      <c r="H4264" s="11">
        <f>IF(OR(D4264="",E4264=""),"",D4264*E4264)</f>
        <v/>
      </c>
      <c r="I4264" s="8">
        <f>IF(OR(D4264="",E4264=""),"",E4264*(1+D4264/30))</f>
        <v/>
      </c>
      <c r="J4264">
        <f>IF(I4264="","",IF(I4264&gt;=MAXIFS($I$2:$I$5001,$B$2:$B$5001,B4264,$A$2:$A$5001,"&lt;="&amp;A4264),"PR",""))</f>
        <v/>
      </c>
    </row>
    <row r="4265">
      <c r="A4265" s="7" t="n"/>
      <c r="H4265" s="11">
        <f>IF(OR(D4265="",E4265=""),"",D4265*E4265)</f>
        <v/>
      </c>
      <c r="I4265" s="8">
        <f>IF(OR(D4265="",E4265=""),"",E4265*(1+D4265/30))</f>
        <v/>
      </c>
      <c r="J4265">
        <f>IF(I4265="","",IF(I4265&gt;=MAXIFS($I$2:$I$5001,$B$2:$B$5001,B4265,$A$2:$A$5001,"&lt;="&amp;A4265),"PR",""))</f>
        <v/>
      </c>
    </row>
    <row r="4266">
      <c r="A4266" s="7" t="n"/>
      <c r="H4266" s="11">
        <f>IF(OR(D4266="",E4266=""),"",D4266*E4266)</f>
        <v/>
      </c>
      <c r="I4266" s="8">
        <f>IF(OR(D4266="",E4266=""),"",E4266*(1+D4266/30))</f>
        <v/>
      </c>
      <c r="J4266">
        <f>IF(I4266="","",IF(I4266&gt;=MAXIFS($I$2:$I$5001,$B$2:$B$5001,B4266,$A$2:$A$5001,"&lt;="&amp;A4266),"PR",""))</f>
        <v/>
      </c>
    </row>
    <row r="4267">
      <c r="A4267" s="7" t="n"/>
      <c r="H4267" s="11">
        <f>IF(OR(D4267="",E4267=""),"",D4267*E4267)</f>
        <v/>
      </c>
      <c r="I4267" s="8">
        <f>IF(OR(D4267="",E4267=""),"",E4267*(1+D4267/30))</f>
        <v/>
      </c>
      <c r="J4267">
        <f>IF(I4267="","",IF(I4267&gt;=MAXIFS($I$2:$I$5001,$B$2:$B$5001,B4267,$A$2:$A$5001,"&lt;="&amp;A4267),"PR",""))</f>
        <v/>
      </c>
    </row>
    <row r="4268">
      <c r="A4268" s="7" t="n"/>
      <c r="H4268" s="11">
        <f>IF(OR(D4268="",E4268=""),"",D4268*E4268)</f>
        <v/>
      </c>
      <c r="I4268" s="8">
        <f>IF(OR(D4268="",E4268=""),"",E4268*(1+D4268/30))</f>
        <v/>
      </c>
      <c r="J4268">
        <f>IF(I4268="","",IF(I4268&gt;=MAXIFS($I$2:$I$5001,$B$2:$B$5001,B4268,$A$2:$A$5001,"&lt;="&amp;A4268),"PR",""))</f>
        <v/>
      </c>
    </row>
    <row r="4269">
      <c r="A4269" s="7" t="n"/>
      <c r="H4269" s="11">
        <f>IF(OR(D4269="",E4269=""),"",D4269*E4269)</f>
        <v/>
      </c>
      <c r="I4269" s="8">
        <f>IF(OR(D4269="",E4269=""),"",E4269*(1+D4269/30))</f>
        <v/>
      </c>
      <c r="J4269">
        <f>IF(I4269="","",IF(I4269&gt;=MAXIFS($I$2:$I$5001,$B$2:$B$5001,B4269,$A$2:$A$5001,"&lt;="&amp;A4269),"PR",""))</f>
        <v/>
      </c>
    </row>
    <row r="4270">
      <c r="A4270" s="7" t="n"/>
      <c r="H4270" s="11">
        <f>IF(OR(D4270="",E4270=""),"",D4270*E4270)</f>
        <v/>
      </c>
      <c r="I4270" s="8">
        <f>IF(OR(D4270="",E4270=""),"",E4270*(1+D4270/30))</f>
        <v/>
      </c>
      <c r="J4270">
        <f>IF(I4270="","",IF(I4270&gt;=MAXIFS($I$2:$I$5001,$B$2:$B$5001,B4270,$A$2:$A$5001,"&lt;="&amp;A4270),"PR",""))</f>
        <v/>
      </c>
    </row>
    <row r="4271">
      <c r="A4271" s="7" t="n"/>
      <c r="H4271" s="11">
        <f>IF(OR(D4271="",E4271=""),"",D4271*E4271)</f>
        <v/>
      </c>
      <c r="I4271" s="8">
        <f>IF(OR(D4271="",E4271=""),"",E4271*(1+D4271/30))</f>
        <v/>
      </c>
      <c r="J4271">
        <f>IF(I4271="","",IF(I4271&gt;=MAXIFS($I$2:$I$5001,$B$2:$B$5001,B4271,$A$2:$A$5001,"&lt;="&amp;A4271),"PR",""))</f>
        <v/>
      </c>
    </row>
    <row r="4272">
      <c r="A4272" s="7" t="n"/>
      <c r="H4272" s="11">
        <f>IF(OR(D4272="",E4272=""),"",D4272*E4272)</f>
        <v/>
      </c>
      <c r="I4272" s="8">
        <f>IF(OR(D4272="",E4272=""),"",E4272*(1+D4272/30))</f>
        <v/>
      </c>
      <c r="J4272">
        <f>IF(I4272="","",IF(I4272&gt;=MAXIFS($I$2:$I$5001,$B$2:$B$5001,B4272,$A$2:$A$5001,"&lt;="&amp;A4272),"PR",""))</f>
        <v/>
      </c>
    </row>
    <row r="4273">
      <c r="A4273" s="7" t="n"/>
      <c r="H4273" s="11">
        <f>IF(OR(D4273="",E4273=""),"",D4273*E4273)</f>
        <v/>
      </c>
      <c r="I4273" s="8">
        <f>IF(OR(D4273="",E4273=""),"",E4273*(1+D4273/30))</f>
        <v/>
      </c>
      <c r="J4273">
        <f>IF(I4273="","",IF(I4273&gt;=MAXIFS($I$2:$I$5001,$B$2:$B$5001,B4273,$A$2:$A$5001,"&lt;="&amp;A4273),"PR",""))</f>
        <v/>
      </c>
    </row>
    <row r="4274">
      <c r="A4274" s="7" t="n"/>
      <c r="H4274" s="11">
        <f>IF(OR(D4274="",E4274=""),"",D4274*E4274)</f>
        <v/>
      </c>
      <c r="I4274" s="8">
        <f>IF(OR(D4274="",E4274=""),"",E4274*(1+D4274/30))</f>
        <v/>
      </c>
      <c r="J4274">
        <f>IF(I4274="","",IF(I4274&gt;=MAXIFS($I$2:$I$5001,$B$2:$B$5001,B4274,$A$2:$A$5001,"&lt;="&amp;A4274),"PR",""))</f>
        <v/>
      </c>
    </row>
    <row r="4275">
      <c r="A4275" s="7" t="n"/>
      <c r="H4275" s="11">
        <f>IF(OR(D4275="",E4275=""),"",D4275*E4275)</f>
        <v/>
      </c>
      <c r="I4275" s="8">
        <f>IF(OR(D4275="",E4275=""),"",E4275*(1+D4275/30))</f>
        <v/>
      </c>
      <c r="J4275">
        <f>IF(I4275="","",IF(I4275&gt;=MAXIFS($I$2:$I$5001,$B$2:$B$5001,B4275,$A$2:$A$5001,"&lt;="&amp;A4275),"PR",""))</f>
        <v/>
      </c>
    </row>
    <row r="4276">
      <c r="A4276" s="7" t="n"/>
      <c r="H4276" s="11">
        <f>IF(OR(D4276="",E4276=""),"",D4276*E4276)</f>
        <v/>
      </c>
      <c r="I4276" s="8">
        <f>IF(OR(D4276="",E4276=""),"",E4276*(1+D4276/30))</f>
        <v/>
      </c>
      <c r="J4276">
        <f>IF(I4276="","",IF(I4276&gt;=MAXIFS($I$2:$I$5001,$B$2:$B$5001,B4276,$A$2:$A$5001,"&lt;="&amp;A4276),"PR",""))</f>
        <v/>
      </c>
    </row>
    <row r="4277">
      <c r="A4277" s="7" t="n"/>
      <c r="H4277" s="11">
        <f>IF(OR(D4277="",E4277=""),"",D4277*E4277)</f>
        <v/>
      </c>
      <c r="I4277" s="8">
        <f>IF(OR(D4277="",E4277=""),"",E4277*(1+D4277/30))</f>
        <v/>
      </c>
      <c r="J4277">
        <f>IF(I4277="","",IF(I4277&gt;=MAXIFS($I$2:$I$5001,$B$2:$B$5001,B4277,$A$2:$A$5001,"&lt;="&amp;A4277),"PR",""))</f>
        <v/>
      </c>
    </row>
    <row r="4278">
      <c r="A4278" s="7" t="n"/>
      <c r="H4278" s="11">
        <f>IF(OR(D4278="",E4278=""),"",D4278*E4278)</f>
        <v/>
      </c>
      <c r="I4278" s="8">
        <f>IF(OR(D4278="",E4278=""),"",E4278*(1+D4278/30))</f>
        <v/>
      </c>
      <c r="J4278">
        <f>IF(I4278="","",IF(I4278&gt;=MAXIFS($I$2:$I$5001,$B$2:$B$5001,B4278,$A$2:$A$5001,"&lt;="&amp;A4278),"PR",""))</f>
        <v/>
      </c>
    </row>
    <row r="4279">
      <c r="A4279" s="7" t="n"/>
      <c r="H4279" s="11">
        <f>IF(OR(D4279="",E4279=""),"",D4279*E4279)</f>
        <v/>
      </c>
      <c r="I4279" s="8">
        <f>IF(OR(D4279="",E4279=""),"",E4279*(1+D4279/30))</f>
        <v/>
      </c>
      <c r="J4279">
        <f>IF(I4279="","",IF(I4279&gt;=MAXIFS($I$2:$I$5001,$B$2:$B$5001,B4279,$A$2:$A$5001,"&lt;="&amp;A4279),"PR",""))</f>
        <v/>
      </c>
    </row>
    <row r="4280">
      <c r="A4280" s="7" t="n"/>
      <c r="H4280" s="11">
        <f>IF(OR(D4280="",E4280=""),"",D4280*E4280)</f>
        <v/>
      </c>
      <c r="I4280" s="8">
        <f>IF(OR(D4280="",E4280=""),"",E4280*(1+D4280/30))</f>
        <v/>
      </c>
      <c r="J4280">
        <f>IF(I4280="","",IF(I4280&gt;=MAXIFS($I$2:$I$5001,$B$2:$B$5001,B4280,$A$2:$A$5001,"&lt;="&amp;A4280),"PR",""))</f>
        <v/>
      </c>
    </row>
    <row r="4281">
      <c r="A4281" s="7" t="n"/>
      <c r="H4281" s="11">
        <f>IF(OR(D4281="",E4281=""),"",D4281*E4281)</f>
        <v/>
      </c>
      <c r="I4281" s="8">
        <f>IF(OR(D4281="",E4281=""),"",E4281*(1+D4281/30))</f>
        <v/>
      </c>
      <c r="J4281">
        <f>IF(I4281="","",IF(I4281&gt;=MAXIFS($I$2:$I$5001,$B$2:$B$5001,B4281,$A$2:$A$5001,"&lt;="&amp;A4281),"PR",""))</f>
        <v/>
      </c>
    </row>
    <row r="4282">
      <c r="A4282" s="7" t="n"/>
      <c r="H4282" s="11">
        <f>IF(OR(D4282="",E4282=""),"",D4282*E4282)</f>
        <v/>
      </c>
      <c r="I4282" s="8">
        <f>IF(OR(D4282="",E4282=""),"",E4282*(1+D4282/30))</f>
        <v/>
      </c>
      <c r="J4282">
        <f>IF(I4282="","",IF(I4282&gt;=MAXIFS($I$2:$I$5001,$B$2:$B$5001,B4282,$A$2:$A$5001,"&lt;="&amp;A4282),"PR",""))</f>
        <v/>
      </c>
    </row>
    <row r="4283">
      <c r="A4283" s="7" t="n"/>
      <c r="H4283" s="11">
        <f>IF(OR(D4283="",E4283=""),"",D4283*E4283)</f>
        <v/>
      </c>
      <c r="I4283" s="8">
        <f>IF(OR(D4283="",E4283=""),"",E4283*(1+D4283/30))</f>
        <v/>
      </c>
      <c r="J4283">
        <f>IF(I4283="","",IF(I4283&gt;=MAXIFS($I$2:$I$5001,$B$2:$B$5001,B4283,$A$2:$A$5001,"&lt;="&amp;A4283),"PR",""))</f>
        <v/>
      </c>
    </row>
    <row r="4284">
      <c r="A4284" s="7" t="n"/>
      <c r="H4284" s="11">
        <f>IF(OR(D4284="",E4284=""),"",D4284*E4284)</f>
        <v/>
      </c>
      <c r="I4284" s="8">
        <f>IF(OR(D4284="",E4284=""),"",E4284*(1+D4284/30))</f>
        <v/>
      </c>
      <c r="J4284">
        <f>IF(I4284="","",IF(I4284&gt;=MAXIFS($I$2:$I$5001,$B$2:$B$5001,B4284,$A$2:$A$5001,"&lt;="&amp;A4284),"PR",""))</f>
        <v/>
      </c>
    </row>
    <row r="4285">
      <c r="A4285" s="7" t="n"/>
      <c r="H4285" s="11">
        <f>IF(OR(D4285="",E4285=""),"",D4285*E4285)</f>
        <v/>
      </c>
      <c r="I4285" s="8">
        <f>IF(OR(D4285="",E4285=""),"",E4285*(1+D4285/30))</f>
        <v/>
      </c>
      <c r="J4285">
        <f>IF(I4285="","",IF(I4285&gt;=MAXIFS($I$2:$I$5001,$B$2:$B$5001,B4285,$A$2:$A$5001,"&lt;="&amp;A4285),"PR",""))</f>
        <v/>
      </c>
    </row>
    <row r="4286">
      <c r="A4286" s="7" t="n"/>
      <c r="H4286" s="11">
        <f>IF(OR(D4286="",E4286=""),"",D4286*E4286)</f>
        <v/>
      </c>
      <c r="I4286" s="8">
        <f>IF(OR(D4286="",E4286=""),"",E4286*(1+D4286/30))</f>
        <v/>
      </c>
      <c r="J4286">
        <f>IF(I4286="","",IF(I4286&gt;=MAXIFS($I$2:$I$5001,$B$2:$B$5001,B4286,$A$2:$A$5001,"&lt;="&amp;A4286),"PR",""))</f>
        <v/>
      </c>
    </row>
    <row r="4287">
      <c r="A4287" s="7" t="n"/>
      <c r="H4287" s="11">
        <f>IF(OR(D4287="",E4287=""),"",D4287*E4287)</f>
        <v/>
      </c>
      <c r="I4287" s="8">
        <f>IF(OR(D4287="",E4287=""),"",E4287*(1+D4287/30))</f>
        <v/>
      </c>
      <c r="J4287">
        <f>IF(I4287="","",IF(I4287&gt;=MAXIFS($I$2:$I$5001,$B$2:$B$5001,B4287,$A$2:$A$5001,"&lt;="&amp;A4287),"PR",""))</f>
        <v/>
      </c>
    </row>
    <row r="4288">
      <c r="A4288" s="7" t="n"/>
      <c r="H4288" s="11">
        <f>IF(OR(D4288="",E4288=""),"",D4288*E4288)</f>
        <v/>
      </c>
      <c r="I4288" s="8">
        <f>IF(OR(D4288="",E4288=""),"",E4288*(1+D4288/30))</f>
        <v/>
      </c>
      <c r="J4288">
        <f>IF(I4288="","",IF(I4288&gt;=MAXIFS($I$2:$I$5001,$B$2:$B$5001,B4288,$A$2:$A$5001,"&lt;="&amp;A4288),"PR",""))</f>
        <v/>
      </c>
    </row>
    <row r="4289">
      <c r="A4289" s="7" t="n"/>
      <c r="H4289" s="11">
        <f>IF(OR(D4289="",E4289=""),"",D4289*E4289)</f>
        <v/>
      </c>
      <c r="I4289" s="8">
        <f>IF(OR(D4289="",E4289=""),"",E4289*(1+D4289/30))</f>
        <v/>
      </c>
      <c r="J4289">
        <f>IF(I4289="","",IF(I4289&gt;=MAXIFS($I$2:$I$5001,$B$2:$B$5001,B4289,$A$2:$A$5001,"&lt;="&amp;A4289),"PR",""))</f>
        <v/>
      </c>
    </row>
    <row r="4290">
      <c r="A4290" s="7" t="n"/>
      <c r="H4290" s="11">
        <f>IF(OR(D4290="",E4290=""),"",D4290*E4290)</f>
        <v/>
      </c>
      <c r="I4290" s="8">
        <f>IF(OR(D4290="",E4290=""),"",E4290*(1+D4290/30))</f>
        <v/>
      </c>
      <c r="J4290">
        <f>IF(I4290="","",IF(I4290&gt;=MAXIFS($I$2:$I$5001,$B$2:$B$5001,B4290,$A$2:$A$5001,"&lt;="&amp;A4290),"PR",""))</f>
        <v/>
      </c>
    </row>
    <row r="4291">
      <c r="A4291" s="7" t="n"/>
      <c r="H4291" s="11">
        <f>IF(OR(D4291="",E4291=""),"",D4291*E4291)</f>
        <v/>
      </c>
      <c r="I4291" s="8">
        <f>IF(OR(D4291="",E4291=""),"",E4291*(1+D4291/30))</f>
        <v/>
      </c>
      <c r="J4291">
        <f>IF(I4291="","",IF(I4291&gt;=MAXIFS($I$2:$I$5001,$B$2:$B$5001,B4291,$A$2:$A$5001,"&lt;="&amp;A4291),"PR",""))</f>
        <v/>
      </c>
    </row>
    <row r="4292">
      <c r="A4292" s="7" t="n"/>
      <c r="H4292" s="11">
        <f>IF(OR(D4292="",E4292=""),"",D4292*E4292)</f>
        <v/>
      </c>
      <c r="I4292" s="8">
        <f>IF(OR(D4292="",E4292=""),"",E4292*(1+D4292/30))</f>
        <v/>
      </c>
      <c r="J4292">
        <f>IF(I4292="","",IF(I4292&gt;=MAXIFS($I$2:$I$5001,$B$2:$B$5001,B4292,$A$2:$A$5001,"&lt;="&amp;A4292),"PR",""))</f>
        <v/>
      </c>
    </row>
    <row r="4293">
      <c r="A4293" s="7" t="n"/>
      <c r="H4293" s="11">
        <f>IF(OR(D4293="",E4293=""),"",D4293*E4293)</f>
        <v/>
      </c>
      <c r="I4293" s="8">
        <f>IF(OR(D4293="",E4293=""),"",E4293*(1+D4293/30))</f>
        <v/>
      </c>
      <c r="J4293">
        <f>IF(I4293="","",IF(I4293&gt;=MAXIFS($I$2:$I$5001,$B$2:$B$5001,B4293,$A$2:$A$5001,"&lt;="&amp;A4293),"PR",""))</f>
        <v/>
      </c>
    </row>
    <row r="4294">
      <c r="A4294" s="7" t="n"/>
      <c r="H4294" s="11">
        <f>IF(OR(D4294="",E4294=""),"",D4294*E4294)</f>
        <v/>
      </c>
      <c r="I4294" s="8">
        <f>IF(OR(D4294="",E4294=""),"",E4294*(1+D4294/30))</f>
        <v/>
      </c>
      <c r="J4294">
        <f>IF(I4294="","",IF(I4294&gt;=MAXIFS($I$2:$I$5001,$B$2:$B$5001,B4294,$A$2:$A$5001,"&lt;="&amp;A4294),"PR",""))</f>
        <v/>
      </c>
    </row>
    <row r="4295">
      <c r="A4295" s="7" t="n"/>
      <c r="H4295" s="11">
        <f>IF(OR(D4295="",E4295=""),"",D4295*E4295)</f>
        <v/>
      </c>
      <c r="I4295" s="8">
        <f>IF(OR(D4295="",E4295=""),"",E4295*(1+D4295/30))</f>
        <v/>
      </c>
      <c r="J4295">
        <f>IF(I4295="","",IF(I4295&gt;=MAXIFS($I$2:$I$5001,$B$2:$B$5001,B4295,$A$2:$A$5001,"&lt;="&amp;A4295),"PR",""))</f>
        <v/>
      </c>
    </row>
    <row r="4296">
      <c r="A4296" s="7" t="n"/>
      <c r="H4296" s="11">
        <f>IF(OR(D4296="",E4296=""),"",D4296*E4296)</f>
        <v/>
      </c>
      <c r="I4296" s="8">
        <f>IF(OR(D4296="",E4296=""),"",E4296*(1+D4296/30))</f>
        <v/>
      </c>
      <c r="J4296">
        <f>IF(I4296="","",IF(I4296&gt;=MAXIFS($I$2:$I$5001,$B$2:$B$5001,B4296,$A$2:$A$5001,"&lt;="&amp;A4296),"PR",""))</f>
        <v/>
      </c>
    </row>
    <row r="4297">
      <c r="A4297" s="7" t="n"/>
      <c r="H4297" s="11">
        <f>IF(OR(D4297="",E4297=""),"",D4297*E4297)</f>
        <v/>
      </c>
      <c r="I4297" s="8">
        <f>IF(OR(D4297="",E4297=""),"",E4297*(1+D4297/30))</f>
        <v/>
      </c>
      <c r="J4297">
        <f>IF(I4297="","",IF(I4297&gt;=MAXIFS($I$2:$I$5001,$B$2:$B$5001,B4297,$A$2:$A$5001,"&lt;="&amp;A4297),"PR",""))</f>
        <v/>
      </c>
    </row>
    <row r="4298">
      <c r="A4298" s="7" t="n"/>
      <c r="H4298" s="11">
        <f>IF(OR(D4298="",E4298=""),"",D4298*E4298)</f>
        <v/>
      </c>
      <c r="I4298" s="8">
        <f>IF(OR(D4298="",E4298=""),"",E4298*(1+D4298/30))</f>
        <v/>
      </c>
      <c r="J4298">
        <f>IF(I4298="","",IF(I4298&gt;=MAXIFS($I$2:$I$5001,$B$2:$B$5001,B4298,$A$2:$A$5001,"&lt;="&amp;A4298),"PR",""))</f>
        <v/>
      </c>
    </row>
    <row r="4299">
      <c r="A4299" s="7" t="n"/>
      <c r="H4299" s="11">
        <f>IF(OR(D4299="",E4299=""),"",D4299*E4299)</f>
        <v/>
      </c>
      <c r="I4299" s="8">
        <f>IF(OR(D4299="",E4299=""),"",E4299*(1+D4299/30))</f>
        <v/>
      </c>
      <c r="J4299">
        <f>IF(I4299="","",IF(I4299&gt;=MAXIFS($I$2:$I$5001,$B$2:$B$5001,B4299,$A$2:$A$5001,"&lt;="&amp;A4299),"PR",""))</f>
        <v/>
      </c>
    </row>
    <row r="4300">
      <c r="A4300" s="7" t="n"/>
      <c r="H4300" s="11">
        <f>IF(OR(D4300="",E4300=""),"",D4300*E4300)</f>
        <v/>
      </c>
      <c r="I4300" s="8">
        <f>IF(OR(D4300="",E4300=""),"",E4300*(1+D4300/30))</f>
        <v/>
      </c>
      <c r="J4300">
        <f>IF(I4300="","",IF(I4300&gt;=MAXIFS($I$2:$I$5001,$B$2:$B$5001,B4300,$A$2:$A$5001,"&lt;="&amp;A4300),"PR",""))</f>
        <v/>
      </c>
    </row>
    <row r="4301">
      <c r="A4301" s="7" t="n"/>
      <c r="H4301" s="11">
        <f>IF(OR(D4301="",E4301=""),"",D4301*E4301)</f>
        <v/>
      </c>
      <c r="I4301" s="8">
        <f>IF(OR(D4301="",E4301=""),"",E4301*(1+D4301/30))</f>
        <v/>
      </c>
      <c r="J4301">
        <f>IF(I4301="","",IF(I4301&gt;=MAXIFS($I$2:$I$5001,$B$2:$B$5001,B4301,$A$2:$A$5001,"&lt;="&amp;A4301),"PR",""))</f>
        <v/>
      </c>
    </row>
    <row r="4302">
      <c r="A4302" s="7" t="n"/>
      <c r="H4302" s="11">
        <f>IF(OR(D4302="",E4302=""),"",D4302*E4302)</f>
        <v/>
      </c>
      <c r="I4302" s="8">
        <f>IF(OR(D4302="",E4302=""),"",E4302*(1+D4302/30))</f>
        <v/>
      </c>
      <c r="J4302">
        <f>IF(I4302="","",IF(I4302&gt;=MAXIFS($I$2:$I$5001,$B$2:$B$5001,B4302,$A$2:$A$5001,"&lt;="&amp;A4302),"PR",""))</f>
        <v/>
      </c>
    </row>
    <row r="4303">
      <c r="A4303" s="7" t="n"/>
      <c r="H4303" s="11">
        <f>IF(OR(D4303="",E4303=""),"",D4303*E4303)</f>
        <v/>
      </c>
      <c r="I4303" s="8">
        <f>IF(OR(D4303="",E4303=""),"",E4303*(1+D4303/30))</f>
        <v/>
      </c>
      <c r="J4303">
        <f>IF(I4303="","",IF(I4303&gt;=MAXIFS($I$2:$I$5001,$B$2:$B$5001,B4303,$A$2:$A$5001,"&lt;="&amp;A4303),"PR",""))</f>
        <v/>
      </c>
    </row>
    <row r="4304">
      <c r="A4304" s="7" t="n"/>
      <c r="H4304" s="11">
        <f>IF(OR(D4304="",E4304=""),"",D4304*E4304)</f>
        <v/>
      </c>
      <c r="I4304" s="8">
        <f>IF(OR(D4304="",E4304=""),"",E4304*(1+D4304/30))</f>
        <v/>
      </c>
      <c r="J4304">
        <f>IF(I4304="","",IF(I4304&gt;=MAXIFS($I$2:$I$5001,$B$2:$B$5001,B4304,$A$2:$A$5001,"&lt;="&amp;A4304),"PR",""))</f>
        <v/>
      </c>
    </row>
    <row r="4305">
      <c r="A4305" s="7" t="n"/>
      <c r="H4305" s="11">
        <f>IF(OR(D4305="",E4305=""),"",D4305*E4305)</f>
        <v/>
      </c>
      <c r="I4305" s="8">
        <f>IF(OR(D4305="",E4305=""),"",E4305*(1+D4305/30))</f>
        <v/>
      </c>
      <c r="J4305">
        <f>IF(I4305="","",IF(I4305&gt;=MAXIFS($I$2:$I$5001,$B$2:$B$5001,B4305,$A$2:$A$5001,"&lt;="&amp;A4305),"PR",""))</f>
        <v/>
      </c>
    </row>
    <row r="4306">
      <c r="A4306" s="7" t="n"/>
      <c r="H4306" s="11">
        <f>IF(OR(D4306="",E4306=""),"",D4306*E4306)</f>
        <v/>
      </c>
      <c r="I4306" s="8">
        <f>IF(OR(D4306="",E4306=""),"",E4306*(1+D4306/30))</f>
        <v/>
      </c>
      <c r="J4306">
        <f>IF(I4306="","",IF(I4306&gt;=MAXIFS($I$2:$I$5001,$B$2:$B$5001,B4306,$A$2:$A$5001,"&lt;="&amp;A4306),"PR",""))</f>
        <v/>
      </c>
    </row>
    <row r="4307">
      <c r="A4307" s="7" t="n"/>
      <c r="H4307" s="11">
        <f>IF(OR(D4307="",E4307=""),"",D4307*E4307)</f>
        <v/>
      </c>
      <c r="I4307" s="8">
        <f>IF(OR(D4307="",E4307=""),"",E4307*(1+D4307/30))</f>
        <v/>
      </c>
      <c r="J4307">
        <f>IF(I4307="","",IF(I4307&gt;=MAXIFS($I$2:$I$5001,$B$2:$B$5001,B4307,$A$2:$A$5001,"&lt;="&amp;A4307),"PR",""))</f>
        <v/>
      </c>
    </row>
    <row r="4308">
      <c r="A4308" s="7" t="n"/>
      <c r="H4308" s="11">
        <f>IF(OR(D4308="",E4308=""),"",D4308*E4308)</f>
        <v/>
      </c>
      <c r="I4308" s="8">
        <f>IF(OR(D4308="",E4308=""),"",E4308*(1+D4308/30))</f>
        <v/>
      </c>
      <c r="J4308">
        <f>IF(I4308="","",IF(I4308&gt;=MAXIFS($I$2:$I$5001,$B$2:$B$5001,B4308,$A$2:$A$5001,"&lt;="&amp;A4308),"PR",""))</f>
        <v/>
      </c>
    </row>
    <row r="4309">
      <c r="A4309" s="7" t="n"/>
      <c r="H4309" s="11">
        <f>IF(OR(D4309="",E4309=""),"",D4309*E4309)</f>
        <v/>
      </c>
      <c r="I4309" s="8">
        <f>IF(OR(D4309="",E4309=""),"",E4309*(1+D4309/30))</f>
        <v/>
      </c>
      <c r="J4309">
        <f>IF(I4309="","",IF(I4309&gt;=MAXIFS($I$2:$I$5001,$B$2:$B$5001,B4309,$A$2:$A$5001,"&lt;="&amp;A4309),"PR",""))</f>
        <v/>
      </c>
    </row>
    <row r="4310">
      <c r="A4310" s="7" t="n"/>
      <c r="H4310" s="11">
        <f>IF(OR(D4310="",E4310=""),"",D4310*E4310)</f>
        <v/>
      </c>
      <c r="I4310" s="8">
        <f>IF(OR(D4310="",E4310=""),"",E4310*(1+D4310/30))</f>
        <v/>
      </c>
      <c r="J4310">
        <f>IF(I4310="","",IF(I4310&gt;=MAXIFS($I$2:$I$5001,$B$2:$B$5001,B4310,$A$2:$A$5001,"&lt;="&amp;A4310),"PR",""))</f>
        <v/>
      </c>
    </row>
    <row r="4311">
      <c r="A4311" s="7" t="n"/>
      <c r="H4311" s="11">
        <f>IF(OR(D4311="",E4311=""),"",D4311*E4311)</f>
        <v/>
      </c>
      <c r="I4311" s="8">
        <f>IF(OR(D4311="",E4311=""),"",E4311*(1+D4311/30))</f>
        <v/>
      </c>
      <c r="J4311">
        <f>IF(I4311="","",IF(I4311&gt;=MAXIFS($I$2:$I$5001,$B$2:$B$5001,B4311,$A$2:$A$5001,"&lt;="&amp;A4311),"PR",""))</f>
        <v/>
      </c>
    </row>
    <row r="4312">
      <c r="A4312" s="7" t="n"/>
      <c r="H4312" s="11">
        <f>IF(OR(D4312="",E4312=""),"",D4312*E4312)</f>
        <v/>
      </c>
      <c r="I4312" s="8">
        <f>IF(OR(D4312="",E4312=""),"",E4312*(1+D4312/30))</f>
        <v/>
      </c>
      <c r="J4312">
        <f>IF(I4312="","",IF(I4312&gt;=MAXIFS($I$2:$I$5001,$B$2:$B$5001,B4312,$A$2:$A$5001,"&lt;="&amp;A4312),"PR",""))</f>
        <v/>
      </c>
    </row>
    <row r="4313">
      <c r="A4313" s="7" t="n"/>
      <c r="H4313" s="11">
        <f>IF(OR(D4313="",E4313=""),"",D4313*E4313)</f>
        <v/>
      </c>
      <c r="I4313" s="8">
        <f>IF(OR(D4313="",E4313=""),"",E4313*(1+D4313/30))</f>
        <v/>
      </c>
      <c r="J4313">
        <f>IF(I4313="","",IF(I4313&gt;=MAXIFS($I$2:$I$5001,$B$2:$B$5001,B4313,$A$2:$A$5001,"&lt;="&amp;A4313),"PR",""))</f>
        <v/>
      </c>
    </row>
    <row r="4314">
      <c r="A4314" s="7" t="n"/>
      <c r="H4314" s="11">
        <f>IF(OR(D4314="",E4314=""),"",D4314*E4314)</f>
        <v/>
      </c>
      <c r="I4314" s="8">
        <f>IF(OR(D4314="",E4314=""),"",E4314*(1+D4314/30))</f>
        <v/>
      </c>
      <c r="J4314">
        <f>IF(I4314="","",IF(I4314&gt;=MAXIFS($I$2:$I$5001,$B$2:$B$5001,B4314,$A$2:$A$5001,"&lt;="&amp;A4314),"PR",""))</f>
        <v/>
      </c>
    </row>
    <row r="4315">
      <c r="A4315" s="7" t="n"/>
      <c r="H4315" s="11">
        <f>IF(OR(D4315="",E4315=""),"",D4315*E4315)</f>
        <v/>
      </c>
      <c r="I4315" s="8">
        <f>IF(OR(D4315="",E4315=""),"",E4315*(1+D4315/30))</f>
        <v/>
      </c>
      <c r="J4315">
        <f>IF(I4315="","",IF(I4315&gt;=MAXIFS($I$2:$I$5001,$B$2:$B$5001,B4315,$A$2:$A$5001,"&lt;="&amp;A4315),"PR",""))</f>
        <v/>
      </c>
    </row>
    <row r="4316">
      <c r="A4316" s="7" t="n"/>
      <c r="H4316" s="11">
        <f>IF(OR(D4316="",E4316=""),"",D4316*E4316)</f>
        <v/>
      </c>
      <c r="I4316" s="8">
        <f>IF(OR(D4316="",E4316=""),"",E4316*(1+D4316/30))</f>
        <v/>
      </c>
      <c r="J4316">
        <f>IF(I4316="","",IF(I4316&gt;=MAXIFS($I$2:$I$5001,$B$2:$B$5001,B4316,$A$2:$A$5001,"&lt;="&amp;A4316),"PR",""))</f>
        <v/>
      </c>
    </row>
    <row r="4317">
      <c r="A4317" s="7" t="n"/>
      <c r="H4317" s="11">
        <f>IF(OR(D4317="",E4317=""),"",D4317*E4317)</f>
        <v/>
      </c>
      <c r="I4317" s="8">
        <f>IF(OR(D4317="",E4317=""),"",E4317*(1+D4317/30))</f>
        <v/>
      </c>
      <c r="J4317">
        <f>IF(I4317="","",IF(I4317&gt;=MAXIFS($I$2:$I$5001,$B$2:$B$5001,B4317,$A$2:$A$5001,"&lt;="&amp;A4317),"PR",""))</f>
        <v/>
      </c>
    </row>
    <row r="4318">
      <c r="A4318" s="7" t="n"/>
      <c r="H4318" s="11">
        <f>IF(OR(D4318="",E4318=""),"",D4318*E4318)</f>
        <v/>
      </c>
      <c r="I4318" s="8">
        <f>IF(OR(D4318="",E4318=""),"",E4318*(1+D4318/30))</f>
        <v/>
      </c>
      <c r="J4318">
        <f>IF(I4318="","",IF(I4318&gt;=MAXIFS($I$2:$I$5001,$B$2:$B$5001,B4318,$A$2:$A$5001,"&lt;="&amp;A4318),"PR",""))</f>
        <v/>
      </c>
    </row>
    <row r="4319">
      <c r="A4319" s="7" t="n"/>
      <c r="H4319" s="11">
        <f>IF(OR(D4319="",E4319=""),"",D4319*E4319)</f>
        <v/>
      </c>
      <c r="I4319" s="8">
        <f>IF(OR(D4319="",E4319=""),"",E4319*(1+D4319/30))</f>
        <v/>
      </c>
      <c r="J4319">
        <f>IF(I4319="","",IF(I4319&gt;=MAXIFS($I$2:$I$5001,$B$2:$B$5001,B4319,$A$2:$A$5001,"&lt;="&amp;A4319),"PR",""))</f>
        <v/>
      </c>
    </row>
    <row r="4320">
      <c r="A4320" s="7" t="n"/>
      <c r="H4320" s="11">
        <f>IF(OR(D4320="",E4320=""),"",D4320*E4320)</f>
        <v/>
      </c>
      <c r="I4320" s="8">
        <f>IF(OR(D4320="",E4320=""),"",E4320*(1+D4320/30))</f>
        <v/>
      </c>
      <c r="J4320">
        <f>IF(I4320="","",IF(I4320&gt;=MAXIFS($I$2:$I$5001,$B$2:$B$5001,B4320,$A$2:$A$5001,"&lt;="&amp;A4320),"PR",""))</f>
        <v/>
      </c>
    </row>
    <row r="4321">
      <c r="A4321" s="7" t="n"/>
      <c r="H4321" s="11">
        <f>IF(OR(D4321="",E4321=""),"",D4321*E4321)</f>
        <v/>
      </c>
      <c r="I4321" s="8">
        <f>IF(OR(D4321="",E4321=""),"",E4321*(1+D4321/30))</f>
        <v/>
      </c>
      <c r="J4321">
        <f>IF(I4321="","",IF(I4321&gt;=MAXIFS($I$2:$I$5001,$B$2:$B$5001,B4321,$A$2:$A$5001,"&lt;="&amp;A4321),"PR",""))</f>
        <v/>
      </c>
    </row>
    <row r="4322">
      <c r="A4322" s="7" t="n"/>
      <c r="H4322" s="11">
        <f>IF(OR(D4322="",E4322=""),"",D4322*E4322)</f>
        <v/>
      </c>
      <c r="I4322" s="8">
        <f>IF(OR(D4322="",E4322=""),"",E4322*(1+D4322/30))</f>
        <v/>
      </c>
      <c r="J4322">
        <f>IF(I4322="","",IF(I4322&gt;=MAXIFS($I$2:$I$5001,$B$2:$B$5001,B4322,$A$2:$A$5001,"&lt;="&amp;A4322),"PR",""))</f>
        <v/>
      </c>
    </row>
    <row r="4323">
      <c r="A4323" s="7" t="n"/>
      <c r="H4323" s="11">
        <f>IF(OR(D4323="",E4323=""),"",D4323*E4323)</f>
        <v/>
      </c>
      <c r="I4323" s="8">
        <f>IF(OR(D4323="",E4323=""),"",E4323*(1+D4323/30))</f>
        <v/>
      </c>
      <c r="J4323">
        <f>IF(I4323="","",IF(I4323&gt;=MAXIFS($I$2:$I$5001,$B$2:$B$5001,B4323,$A$2:$A$5001,"&lt;="&amp;A4323),"PR",""))</f>
        <v/>
      </c>
    </row>
    <row r="4324">
      <c r="A4324" s="7" t="n"/>
      <c r="H4324" s="11">
        <f>IF(OR(D4324="",E4324=""),"",D4324*E4324)</f>
        <v/>
      </c>
      <c r="I4324" s="8">
        <f>IF(OR(D4324="",E4324=""),"",E4324*(1+D4324/30))</f>
        <v/>
      </c>
      <c r="J4324">
        <f>IF(I4324="","",IF(I4324&gt;=MAXIFS($I$2:$I$5001,$B$2:$B$5001,B4324,$A$2:$A$5001,"&lt;="&amp;A4324),"PR",""))</f>
        <v/>
      </c>
    </row>
    <row r="4325">
      <c r="A4325" s="7" t="n"/>
      <c r="H4325" s="11">
        <f>IF(OR(D4325="",E4325=""),"",D4325*E4325)</f>
        <v/>
      </c>
      <c r="I4325" s="8">
        <f>IF(OR(D4325="",E4325=""),"",E4325*(1+D4325/30))</f>
        <v/>
      </c>
      <c r="J4325">
        <f>IF(I4325="","",IF(I4325&gt;=MAXIFS($I$2:$I$5001,$B$2:$B$5001,B4325,$A$2:$A$5001,"&lt;="&amp;A4325),"PR",""))</f>
        <v/>
      </c>
    </row>
    <row r="4326">
      <c r="A4326" s="7" t="n"/>
      <c r="H4326" s="11">
        <f>IF(OR(D4326="",E4326=""),"",D4326*E4326)</f>
        <v/>
      </c>
      <c r="I4326" s="8">
        <f>IF(OR(D4326="",E4326=""),"",E4326*(1+D4326/30))</f>
        <v/>
      </c>
      <c r="J4326">
        <f>IF(I4326="","",IF(I4326&gt;=MAXIFS($I$2:$I$5001,$B$2:$B$5001,B4326,$A$2:$A$5001,"&lt;="&amp;A4326),"PR",""))</f>
        <v/>
      </c>
    </row>
    <row r="4327">
      <c r="A4327" s="7" t="n"/>
      <c r="H4327" s="11">
        <f>IF(OR(D4327="",E4327=""),"",D4327*E4327)</f>
        <v/>
      </c>
      <c r="I4327" s="8">
        <f>IF(OR(D4327="",E4327=""),"",E4327*(1+D4327/30))</f>
        <v/>
      </c>
      <c r="J4327">
        <f>IF(I4327="","",IF(I4327&gt;=MAXIFS($I$2:$I$5001,$B$2:$B$5001,B4327,$A$2:$A$5001,"&lt;="&amp;A4327),"PR",""))</f>
        <v/>
      </c>
    </row>
    <row r="4328">
      <c r="A4328" s="7" t="n"/>
      <c r="H4328" s="11">
        <f>IF(OR(D4328="",E4328=""),"",D4328*E4328)</f>
        <v/>
      </c>
      <c r="I4328" s="8">
        <f>IF(OR(D4328="",E4328=""),"",E4328*(1+D4328/30))</f>
        <v/>
      </c>
      <c r="J4328">
        <f>IF(I4328="","",IF(I4328&gt;=MAXIFS($I$2:$I$5001,$B$2:$B$5001,B4328,$A$2:$A$5001,"&lt;="&amp;A4328),"PR",""))</f>
        <v/>
      </c>
    </row>
    <row r="4329">
      <c r="A4329" s="7" t="n"/>
      <c r="H4329" s="11">
        <f>IF(OR(D4329="",E4329=""),"",D4329*E4329)</f>
        <v/>
      </c>
      <c r="I4329" s="8">
        <f>IF(OR(D4329="",E4329=""),"",E4329*(1+D4329/30))</f>
        <v/>
      </c>
      <c r="J4329">
        <f>IF(I4329="","",IF(I4329&gt;=MAXIFS($I$2:$I$5001,$B$2:$B$5001,B4329,$A$2:$A$5001,"&lt;="&amp;A4329),"PR",""))</f>
        <v/>
      </c>
    </row>
    <row r="4330">
      <c r="A4330" s="7" t="n"/>
      <c r="H4330" s="11">
        <f>IF(OR(D4330="",E4330=""),"",D4330*E4330)</f>
        <v/>
      </c>
      <c r="I4330" s="8">
        <f>IF(OR(D4330="",E4330=""),"",E4330*(1+D4330/30))</f>
        <v/>
      </c>
      <c r="J4330">
        <f>IF(I4330="","",IF(I4330&gt;=MAXIFS($I$2:$I$5001,$B$2:$B$5001,B4330,$A$2:$A$5001,"&lt;="&amp;A4330),"PR",""))</f>
        <v/>
      </c>
    </row>
    <row r="4331">
      <c r="A4331" s="7" t="n"/>
      <c r="H4331" s="11">
        <f>IF(OR(D4331="",E4331=""),"",D4331*E4331)</f>
        <v/>
      </c>
      <c r="I4331" s="8">
        <f>IF(OR(D4331="",E4331=""),"",E4331*(1+D4331/30))</f>
        <v/>
      </c>
      <c r="J4331">
        <f>IF(I4331="","",IF(I4331&gt;=MAXIFS($I$2:$I$5001,$B$2:$B$5001,B4331,$A$2:$A$5001,"&lt;="&amp;A4331),"PR",""))</f>
        <v/>
      </c>
    </row>
    <row r="4332">
      <c r="A4332" s="7" t="n"/>
      <c r="H4332" s="11">
        <f>IF(OR(D4332="",E4332=""),"",D4332*E4332)</f>
        <v/>
      </c>
      <c r="I4332" s="8">
        <f>IF(OR(D4332="",E4332=""),"",E4332*(1+D4332/30))</f>
        <v/>
      </c>
      <c r="J4332">
        <f>IF(I4332="","",IF(I4332&gt;=MAXIFS($I$2:$I$5001,$B$2:$B$5001,B4332,$A$2:$A$5001,"&lt;="&amp;A4332),"PR",""))</f>
        <v/>
      </c>
    </row>
    <row r="4333">
      <c r="A4333" s="7" t="n"/>
      <c r="H4333" s="11">
        <f>IF(OR(D4333="",E4333=""),"",D4333*E4333)</f>
        <v/>
      </c>
      <c r="I4333" s="8">
        <f>IF(OR(D4333="",E4333=""),"",E4333*(1+D4333/30))</f>
        <v/>
      </c>
      <c r="J4333">
        <f>IF(I4333="","",IF(I4333&gt;=MAXIFS($I$2:$I$5001,$B$2:$B$5001,B4333,$A$2:$A$5001,"&lt;="&amp;A4333),"PR",""))</f>
        <v/>
      </c>
    </row>
    <row r="4334">
      <c r="A4334" s="7" t="n"/>
      <c r="H4334" s="11">
        <f>IF(OR(D4334="",E4334=""),"",D4334*E4334)</f>
        <v/>
      </c>
      <c r="I4334" s="8">
        <f>IF(OR(D4334="",E4334=""),"",E4334*(1+D4334/30))</f>
        <v/>
      </c>
      <c r="J4334">
        <f>IF(I4334="","",IF(I4334&gt;=MAXIFS($I$2:$I$5001,$B$2:$B$5001,B4334,$A$2:$A$5001,"&lt;="&amp;A4334),"PR",""))</f>
        <v/>
      </c>
    </row>
    <row r="4335">
      <c r="A4335" s="7" t="n"/>
      <c r="H4335" s="11">
        <f>IF(OR(D4335="",E4335=""),"",D4335*E4335)</f>
        <v/>
      </c>
      <c r="I4335" s="8">
        <f>IF(OR(D4335="",E4335=""),"",E4335*(1+D4335/30))</f>
        <v/>
      </c>
      <c r="J4335">
        <f>IF(I4335="","",IF(I4335&gt;=MAXIFS($I$2:$I$5001,$B$2:$B$5001,B4335,$A$2:$A$5001,"&lt;="&amp;A4335),"PR",""))</f>
        <v/>
      </c>
    </row>
    <row r="4336">
      <c r="A4336" s="7" t="n"/>
      <c r="H4336" s="11">
        <f>IF(OR(D4336="",E4336=""),"",D4336*E4336)</f>
        <v/>
      </c>
      <c r="I4336" s="8">
        <f>IF(OR(D4336="",E4336=""),"",E4336*(1+D4336/30))</f>
        <v/>
      </c>
      <c r="J4336">
        <f>IF(I4336="","",IF(I4336&gt;=MAXIFS($I$2:$I$5001,$B$2:$B$5001,B4336,$A$2:$A$5001,"&lt;="&amp;A4336),"PR",""))</f>
        <v/>
      </c>
    </row>
    <row r="4337">
      <c r="A4337" s="7" t="n"/>
      <c r="H4337" s="11">
        <f>IF(OR(D4337="",E4337=""),"",D4337*E4337)</f>
        <v/>
      </c>
      <c r="I4337" s="8">
        <f>IF(OR(D4337="",E4337=""),"",E4337*(1+D4337/30))</f>
        <v/>
      </c>
      <c r="J4337">
        <f>IF(I4337="","",IF(I4337&gt;=MAXIFS($I$2:$I$5001,$B$2:$B$5001,B4337,$A$2:$A$5001,"&lt;="&amp;A4337),"PR",""))</f>
        <v/>
      </c>
    </row>
    <row r="4338">
      <c r="A4338" s="7" t="n"/>
      <c r="H4338" s="11">
        <f>IF(OR(D4338="",E4338=""),"",D4338*E4338)</f>
        <v/>
      </c>
      <c r="I4338" s="8">
        <f>IF(OR(D4338="",E4338=""),"",E4338*(1+D4338/30))</f>
        <v/>
      </c>
      <c r="J4338">
        <f>IF(I4338="","",IF(I4338&gt;=MAXIFS($I$2:$I$5001,$B$2:$B$5001,B4338,$A$2:$A$5001,"&lt;="&amp;A4338),"PR",""))</f>
        <v/>
      </c>
    </row>
    <row r="4339">
      <c r="A4339" s="7" t="n"/>
      <c r="H4339" s="11">
        <f>IF(OR(D4339="",E4339=""),"",D4339*E4339)</f>
        <v/>
      </c>
      <c r="I4339" s="8">
        <f>IF(OR(D4339="",E4339=""),"",E4339*(1+D4339/30))</f>
        <v/>
      </c>
      <c r="J4339">
        <f>IF(I4339="","",IF(I4339&gt;=MAXIFS($I$2:$I$5001,$B$2:$B$5001,B4339,$A$2:$A$5001,"&lt;="&amp;A4339),"PR",""))</f>
        <v/>
      </c>
    </row>
    <row r="4340">
      <c r="A4340" s="7" t="n"/>
      <c r="H4340" s="11">
        <f>IF(OR(D4340="",E4340=""),"",D4340*E4340)</f>
        <v/>
      </c>
      <c r="I4340" s="8">
        <f>IF(OR(D4340="",E4340=""),"",E4340*(1+D4340/30))</f>
        <v/>
      </c>
      <c r="J4340">
        <f>IF(I4340="","",IF(I4340&gt;=MAXIFS($I$2:$I$5001,$B$2:$B$5001,B4340,$A$2:$A$5001,"&lt;="&amp;A4340),"PR",""))</f>
        <v/>
      </c>
    </row>
    <row r="4341">
      <c r="A4341" s="7" t="n"/>
      <c r="H4341" s="11">
        <f>IF(OR(D4341="",E4341=""),"",D4341*E4341)</f>
        <v/>
      </c>
      <c r="I4341" s="8">
        <f>IF(OR(D4341="",E4341=""),"",E4341*(1+D4341/30))</f>
        <v/>
      </c>
      <c r="J4341">
        <f>IF(I4341="","",IF(I4341&gt;=MAXIFS($I$2:$I$5001,$B$2:$B$5001,B4341,$A$2:$A$5001,"&lt;="&amp;A4341),"PR",""))</f>
        <v/>
      </c>
    </row>
    <row r="4342">
      <c r="A4342" s="7" t="n"/>
      <c r="H4342" s="11">
        <f>IF(OR(D4342="",E4342=""),"",D4342*E4342)</f>
        <v/>
      </c>
      <c r="I4342" s="8">
        <f>IF(OR(D4342="",E4342=""),"",E4342*(1+D4342/30))</f>
        <v/>
      </c>
      <c r="J4342">
        <f>IF(I4342="","",IF(I4342&gt;=MAXIFS($I$2:$I$5001,$B$2:$B$5001,B4342,$A$2:$A$5001,"&lt;="&amp;A4342),"PR",""))</f>
        <v/>
      </c>
    </row>
    <row r="4343">
      <c r="A4343" s="7" t="n"/>
      <c r="H4343" s="11">
        <f>IF(OR(D4343="",E4343=""),"",D4343*E4343)</f>
        <v/>
      </c>
      <c r="I4343" s="8">
        <f>IF(OR(D4343="",E4343=""),"",E4343*(1+D4343/30))</f>
        <v/>
      </c>
      <c r="J4343">
        <f>IF(I4343="","",IF(I4343&gt;=MAXIFS($I$2:$I$5001,$B$2:$B$5001,B4343,$A$2:$A$5001,"&lt;="&amp;A4343),"PR",""))</f>
        <v/>
      </c>
    </row>
    <row r="4344">
      <c r="A4344" s="7" t="n"/>
      <c r="H4344" s="11">
        <f>IF(OR(D4344="",E4344=""),"",D4344*E4344)</f>
        <v/>
      </c>
      <c r="I4344" s="8">
        <f>IF(OR(D4344="",E4344=""),"",E4344*(1+D4344/30))</f>
        <v/>
      </c>
      <c r="J4344">
        <f>IF(I4344="","",IF(I4344&gt;=MAXIFS($I$2:$I$5001,$B$2:$B$5001,B4344,$A$2:$A$5001,"&lt;="&amp;A4344),"PR",""))</f>
        <v/>
      </c>
    </row>
    <row r="4345">
      <c r="A4345" s="7" t="n"/>
      <c r="H4345" s="11">
        <f>IF(OR(D4345="",E4345=""),"",D4345*E4345)</f>
        <v/>
      </c>
      <c r="I4345" s="8">
        <f>IF(OR(D4345="",E4345=""),"",E4345*(1+D4345/30))</f>
        <v/>
      </c>
      <c r="J4345">
        <f>IF(I4345="","",IF(I4345&gt;=MAXIFS($I$2:$I$5001,$B$2:$B$5001,B4345,$A$2:$A$5001,"&lt;="&amp;A4345),"PR",""))</f>
        <v/>
      </c>
    </row>
    <row r="4346">
      <c r="A4346" s="7" t="n"/>
      <c r="H4346" s="11">
        <f>IF(OR(D4346="",E4346=""),"",D4346*E4346)</f>
        <v/>
      </c>
      <c r="I4346" s="8">
        <f>IF(OR(D4346="",E4346=""),"",E4346*(1+D4346/30))</f>
        <v/>
      </c>
      <c r="J4346">
        <f>IF(I4346="","",IF(I4346&gt;=MAXIFS($I$2:$I$5001,$B$2:$B$5001,B4346,$A$2:$A$5001,"&lt;="&amp;A4346),"PR",""))</f>
        <v/>
      </c>
    </row>
    <row r="4347">
      <c r="A4347" s="7" t="n"/>
      <c r="H4347" s="11">
        <f>IF(OR(D4347="",E4347=""),"",D4347*E4347)</f>
        <v/>
      </c>
      <c r="I4347" s="8">
        <f>IF(OR(D4347="",E4347=""),"",E4347*(1+D4347/30))</f>
        <v/>
      </c>
      <c r="J4347">
        <f>IF(I4347="","",IF(I4347&gt;=MAXIFS($I$2:$I$5001,$B$2:$B$5001,B4347,$A$2:$A$5001,"&lt;="&amp;A4347),"PR",""))</f>
        <v/>
      </c>
    </row>
    <row r="4348">
      <c r="A4348" s="7" t="n"/>
      <c r="H4348" s="11">
        <f>IF(OR(D4348="",E4348=""),"",D4348*E4348)</f>
        <v/>
      </c>
      <c r="I4348" s="8">
        <f>IF(OR(D4348="",E4348=""),"",E4348*(1+D4348/30))</f>
        <v/>
      </c>
      <c r="J4348">
        <f>IF(I4348="","",IF(I4348&gt;=MAXIFS($I$2:$I$5001,$B$2:$B$5001,B4348,$A$2:$A$5001,"&lt;="&amp;A4348),"PR",""))</f>
        <v/>
      </c>
    </row>
    <row r="4349">
      <c r="A4349" s="7" t="n"/>
      <c r="H4349" s="11">
        <f>IF(OR(D4349="",E4349=""),"",D4349*E4349)</f>
        <v/>
      </c>
      <c r="I4349" s="8">
        <f>IF(OR(D4349="",E4349=""),"",E4349*(1+D4349/30))</f>
        <v/>
      </c>
      <c r="J4349">
        <f>IF(I4349="","",IF(I4349&gt;=MAXIFS($I$2:$I$5001,$B$2:$B$5001,B4349,$A$2:$A$5001,"&lt;="&amp;A4349),"PR",""))</f>
        <v/>
      </c>
    </row>
    <row r="4350">
      <c r="A4350" s="7" t="n"/>
      <c r="H4350" s="11">
        <f>IF(OR(D4350="",E4350=""),"",D4350*E4350)</f>
        <v/>
      </c>
      <c r="I4350" s="8">
        <f>IF(OR(D4350="",E4350=""),"",E4350*(1+D4350/30))</f>
        <v/>
      </c>
      <c r="J4350">
        <f>IF(I4350="","",IF(I4350&gt;=MAXIFS($I$2:$I$5001,$B$2:$B$5001,B4350,$A$2:$A$5001,"&lt;="&amp;A4350),"PR",""))</f>
        <v/>
      </c>
    </row>
    <row r="4351">
      <c r="A4351" s="7" t="n"/>
      <c r="H4351" s="11">
        <f>IF(OR(D4351="",E4351=""),"",D4351*E4351)</f>
        <v/>
      </c>
      <c r="I4351" s="8">
        <f>IF(OR(D4351="",E4351=""),"",E4351*(1+D4351/30))</f>
        <v/>
      </c>
      <c r="J4351">
        <f>IF(I4351="","",IF(I4351&gt;=MAXIFS($I$2:$I$5001,$B$2:$B$5001,B4351,$A$2:$A$5001,"&lt;="&amp;A4351),"PR",""))</f>
        <v/>
      </c>
    </row>
    <row r="4352">
      <c r="A4352" s="7" t="n"/>
      <c r="H4352" s="11">
        <f>IF(OR(D4352="",E4352=""),"",D4352*E4352)</f>
        <v/>
      </c>
      <c r="I4352" s="8">
        <f>IF(OR(D4352="",E4352=""),"",E4352*(1+D4352/30))</f>
        <v/>
      </c>
      <c r="J4352">
        <f>IF(I4352="","",IF(I4352&gt;=MAXIFS($I$2:$I$5001,$B$2:$B$5001,B4352,$A$2:$A$5001,"&lt;="&amp;A4352),"PR",""))</f>
        <v/>
      </c>
    </row>
    <row r="4353">
      <c r="A4353" s="7" t="n"/>
      <c r="H4353" s="11">
        <f>IF(OR(D4353="",E4353=""),"",D4353*E4353)</f>
        <v/>
      </c>
      <c r="I4353" s="8">
        <f>IF(OR(D4353="",E4353=""),"",E4353*(1+D4353/30))</f>
        <v/>
      </c>
      <c r="J4353">
        <f>IF(I4353="","",IF(I4353&gt;=MAXIFS($I$2:$I$5001,$B$2:$B$5001,B4353,$A$2:$A$5001,"&lt;="&amp;A4353),"PR",""))</f>
        <v/>
      </c>
    </row>
    <row r="4354">
      <c r="A4354" s="7" t="n"/>
      <c r="H4354" s="11">
        <f>IF(OR(D4354="",E4354=""),"",D4354*E4354)</f>
        <v/>
      </c>
      <c r="I4354" s="8">
        <f>IF(OR(D4354="",E4354=""),"",E4354*(1+D4354/30))</f>
        <v/>
      </c>
      <c r="J4354">
        <f>IF(I4354="","",IF(I4354&gt;=MAXIFS($I$2:$I$5001,$B$2:$B$5001,B4354,$A$2:$A$5001,"&lt;="&amp;A4354),"PR",""))</f>
        <v/>
      </c>
    </row>
    <row r="4355">
      <c r="A4355" s="7" t="n"/>
      <c r="H4355" s="11">
        <f>IF(OR(D4355="",E4355=""),"",D4355*E4355)</f>
        <v/>
      </c>
      <c r="I4355" s="8">
        <f>IF(OR(D4355="",E4355=""),"",E4355*(1+D4355/30))</f>
        <v/>
      </c>
      <c r="J4355">
        <f>IF(I4355="","",IF(I4355&gt;=MAXIFS($I$2:$I$5001,$B$2:$B$5001,B4355,$A$2:$A$5001,"&lt;="&amp;A4355),"PR",""))</f>
        <v/>
      </c>
    </row>
    <row r="4356">
      <c r="A4356" s="7" t="n"/>
      <c r="H4356" s="11">
        <f>IF(OR(D4356="",E4356=""),"",D4356*E4356)</f>
        <v/>
      </c>
      <c r="I4356" s="8">
        <f>IF(OR(D4356="",E4356=""),"",E4356*(1+D4356/30))</f>
        <v/>
      </c>
      <c r="J4356">
        <f>IF(I4356="","",IF(I4356&gt;=MAXIFS($I$2:$I$5001,$B$2:$B$5001,B4356,$A$2:$A$5001,"&lt;="&amp;A4356),"PR",""))</f>
        <v/>
      </c>
    </row>
    <row r="4357">
      <c r="A4357" s="7" t="n"/>
      <c r="H4357" s="11">
        <f>IF(OR(D4357="",E4357=""),"",D4357*E4357)</f>
        <v/>
      </c>
      <c r="I4357" s="8">
        <f>IF(OR(D4357="",E4357=""),"",E4357*(1+D4357/30))</f>
        <v/>
      </c>
      <c r="J4357">
        <f>IF(I4357="","",IF(I4357&gt;=MAXIFS($I$2:$I$5001,$B$2:$B$5001,B4357,$A$2:$A$5001,"&lt;="&amp;A4357),"PR",""))</f>
        <v/>
      </c>
    </row>
    <row r="4358">
      <c r="A4358" s="7" t="n"/>
      <c r="H4358" s="11">
        <f>IF(OR(D4358="",E4358=""),"",D4358*E4358)</f>
        <v/>
      </c>
      <c r="I4358" s="8">
        <f>IF(OR(D4358="",E4358=""),"",E4358*(1+D4358/30))</f>
        <v/>
      </c>
      <c r="J4358">
        <f>IF(I4358="","",IF(I4358&gt;=MAXIFS($I$2:$I$5001,$B$2:$B$5001,B4358,$A$2:$A$5001,"&lt;="&amp;A4358),"PR",""))</f>
        <v/>
      </c>
    </row>
    <row r="4359">
      <c r="A4359" s="7" t="n"/>
      <c r="H4359" s="11">
        <f>IF(OR(D4359="",E4359=""),"",D4359*E4359)</f>
        <v/>
      </c>
      <c r="I4359" s="8">
        <f>IF(OR(D4359="",E4359=""),"",E4359*(1+D4359/30))</f>
        <v/>
      </c>
      <c r="J4359">
        <f>IF(I4359="","",IF(I4359&gt;=MAXIFS($I$2:$I$5001,$B$2:$B$5001,B4359,$A$2:$A$5001,"&lt;="&amp;A4359),"PR",""))</f>
        <v/>
      </c>
    </row>
    <row r="4360">
      <c r="A4360" s="7" t="n"/>
      <c r="H4360" s="11">
        <f>IF(OR(D4360="",E4360=""),"",D4360*E4360)</f>
        <v/>
      </c>
      <c r="I4360" s="8">
        <f>IF(OR(D4360="",E4360=""),"",E4360*(1+D4360/30))</f>
        <v/>
      </c>
      <c r="J4360">
        <f>IF(I4360="","",IF(I4360&gt;=MAXIFS($I$2:$I$5001,$B$2:$B$5001,B4360,$A$2:$A$5001,"&lt;="&amp;A4360),"PR",""))</f>
        <v/>
      </c>
    </row>
    <row r="4361">
      <c r="A4361" s="7" t="n"/>
      <c r="H4361" s="11">
        <f>IF(OR(D4361="",E4361=""),"",D4361*E4361)</f>
        <v/>
      </c>
      <c r="I4361" s="8">
        <f>IF(OR(D4361="",E4361=""),"",E4361*(1+D4361/30))</f>
        <v/>
      </c>
      <c r="J4361">
        <f>IF(I4361="","",IF(I4361&gt;=MAXIFS($I$2:$I$5001,$B$2:$B$5001,B4361,$A$2:$A$5001,"&lt;="&amp;A4361),"PR",""))</f>
        <v/>
      </c>
    </row>
    <row r="4362">
      <c r="A4362" s="7" t="n"/>
      <c r="H4362" s="11">
        <f>IF(OR(D4362="",E4362=""),"",D4362*E4362)</f>
        <v/>
      </c>
      <c r="I4362" s="8">
        <f>IF(OR(D4362="",E4362=""),"",E4362*(1+D4362/30))</f>
        <v/>
      </c>
      <c r="J4362">
        <f>IF(I4362="","",IF(I4362&gt;=MAXIFS($I$2:$I$5001,$B$2:$B$5001,B4362,$A$2:$A$5001,"&lt;="&amp;A4362),"PR",""))</f>
        <v/>
      </c>
    </row>
    <row r="4363">
      <c r="A4363" s="7" t="n"/>
      <c r="H4363" s="11">
        <f>IF(OR(D4363="",E4363=""),"",D4363*E4363)</f>
        <v/>
      </c>
      <c r="I4363" s="8">
        <f>IF(OR(D4363="",E4363=""),"",E4363*(1+D4363/30))</f>
        <v/>
      </c>
      <c r="J4363">
        <f>IF(I4363="","",IF(I4363&gt;=MAXIFS($I$2:$I$5001,$B$2:$B$5001,B4363,$A$2:$A$5001,"&lt;="&amp;A4363),"PR",""))</f>
        <v/>
      </c>
    </row>
    <row r="4364">
      <c r="A4364" s="7" t="n"/>
      <c r="H4364" s="11">
        <f>IF(OR(D4364="",E4364=""),"",D4364*E4364)</f>
        <v/>
      </c>
      <c r="I4364" s="8">
        <f>IF(OR(D4364="",E4364=""),"",E4364*(1+D4364/30))</f>
        <v/>
      </c>
      <c r="J4364">
        <f>IF(I4364="","",IF(I4364&gt;=MAXIFS($I$2:$I$5001,$B$2:$B$5001,B4364,$A$2:$A$5001,"&lt;="&amp;A4364),"PR",""))</f>
        <v/>
      </c>
    </row>
    <row r="4365">
      <c r="A4365" s="7" t="n"/>
      <c r="H4365" s="11">
        <f>IF(OR(D4365="",E4365=""),"",D4365*E4365)</f>
        <v/>
      </c>
      <c r="I4365" s="8">
        <f>IF(OR(D4365="",E4365=""),"",E4365*(1+D4365/30))</f>
        <v/>
      </c>
      <c r="J4365">
        <f>IF(I4365="","",IF(I4365&gt;=MAXIFS($I$2:$I$5001,$B$2:$B$5001,B4365,$A$2:$A$5001,"&lt;="&amp;A4365),"PR",""))</f>
        <v/>
      </c>
    </row>
    <row r="4366">
      <c r="A4366" s="7" t="n"/>
      <c r="H4366" s="11">
        <f>IF(OR(D4366="",E4366=""),"",D4366*E4366)</f>
        <v/>
      </c>
      <c r="I4366" s="8">
        <f>IF(OR(D4366="",E4366=""),"",E4366*(1+D4366/30))</f>
        <v/>
      </c>
      <c r="J4366">
        <f>IF(I4366="","",IF(I4366&gt;=MAXIFS($I$2:$I$5001,$B$2:$B$5001,B4366,$A$2:$A$5001,"&lt;="&amp;A4366),"PR",""))</f>
        <v/>
      </c>
    </row>
    <row r="4367">
      <c r="A4367" s="7" t="n"/>
      <c r="H4367" s="11">
        <f>IF(OR(D4367="",E4367=""),"",D4367*E4367)</f>
        <v/>
      </c>
      <c r="I4367" s="8">
        <f>IF(OR(D4367="",E4367=""),"",E4367*(1+D4367/30))</f>
        <v/>
      </c>
      <c r="J4367">
        <f>IF(I4367="","",IF(I4367&gt;=MAXIFS($I$2:$I$5001,$B$2:$B$5001,B4367,$A$2:$A$5001,"&lt;="&amp;A4367),"PR",""))</f>
        <v/>
      </c>
    </row>
    <row r="4368">
      <c r="A4368" s="7" t="n"/>
      <c r="H4368" s="11">
        <f>IF(OR(D4368="",E4368=""),"",D4368*E4368)</f>
        <v/>
      </c>
      <c r="I4368" s="8">
        <f>IF(OR(D4368="",E4368=""),"",E4368*(1+D4368/30))</f>
        <v/>
      </c>
      <c r="J4368">
        <f>IF(I4368="","",IF(I4368&gt;=MAXIFS($I$2:$I$5001,$B$2:$B$5001,B4368,$A$2:$A$5001,"&lt;="&amp;A4368),"PR",""))</f>
        <v/>
      </c>
    </row>
    <row r="4369">
      <c r="A4369" s="7" t="n"/>
      <c r="H4369" s="11">
        <f>IF(OR(D4369="",E4369=""),"",D4369*E4369)</f>
        <v/>
      </c>
      <c r="I4369" s="8">
        <f>IF(OR(D4369="",E4369=""),"",E4369*(1+D4369/30))</f>
        <v/>
      </c>
      <c r="J4369">
        <f>IF(I4369="","",IF(I4369&gt;=MAXIFS($I$2:$I$5001,$B$2:$B$5001,B4369,$A$2:$A$5001,"&lt;="&amp;A4369),"PR",""))</f>
        <v/>
      </c>
    </row>
    <row r="4370">
      <c r="A4370" s="7" t="n"/>
      <c r="H4370" s="11">
        <f>IF(OR(D4370="",E4370=""),"",D4370*E4370)</f>
        <v/>
      </c>
      <c r="I4370" s="8">
        <f>IF(OR(D4370="",E4370=""),"",E4370*(1+D4370/30))</f>
        <v/>
      </c>
      <c r="J4370">
        <f>IF(I4370="","",IF(I4370&gt;=MAXIFS($I$2:$I$5001,$B$2:$B$5001,B4370,$A$2:$A$5001,"&lt;="&amp;A4370),"PR",""))</f>
        <v/>
      </c>
    </row>
    <row r="4371">
      <c r="A4371" s="7" t="n"/>
      <c r="H4371" s="11">
        <f>IF(OR(D4371="",E4371=""),"",D4371*E4371)</f>
        <v/>
      </c>
      <c r="I4371" s="8">
        <f>IF(OR(D4371="",E4371=""),"",E4371*(1+D4371/30))</f>
        <v/>
      </c>
      <c r="J4371">
        <f>IF(I4371="","",IF(I4371&gt;=MAXIFS($I$2:$I$5001,$B$2:$B$5001,B4371,$A$2:$A$5001,"&lt;="&amp;A4371),"PR",""))</f>
        <v/>
      </c>
    </row>
    <row r="4372">
      <c r="A4372" s="7" t="n"/>
      <c r="H4372" s="11">
        <f>IF(OR(D4372="",E4372=""),"",D4372*E4372)</f>
        <v/>
      </c>
      <c r="I4372" s="8">
        <f>IF(OR(D4372="",E4372=""),"",E4372*(1+D4372/30))</f>
        <v/>
      </c>
      <c r="J4372">
        <f>IF(I4372="","",IF(I4372&gt;=MAXIFS($I$2:$I$5001,$B$2:$B$5001,B4372,$A$2:$A$5001,"&lt;="&amp;A4372),"PR",""))</f>
        <v/>
      </c>
    </row>
    <row r="4373">
      <c r="A4373" s="7" t="n"/>
      <c r="H4373" s="11">
        <f>IF(OR(D4373="",E4373=""),"",D4373*E4373)</f>
        <v/>
      </c>
      <c r="I4373" s="8">
        <f>IF(OR(D4373="",E4373=""),"",E4373*(1+D4373/30))</f>
        <v/>
      </c>
      <c r="J4373">
        <f>IF(I4373="","",IF(I4373&gt;=MAXIFS($I$2:$I$5001,$B$2:$B$5001,B4373,$A$2:$A$5001,"&lt;="&amp;A4373),"PR",""))</f>
        <v/>
      </c>
    </row>
    <row r="4374">
      <c r="A4374" s="7" t="n"/>
      <c r="H4374" s="11">
        <f>IF(OR(D4374="",E4374=""),"",D4374*E4374)</f>
        <v/>
      </c>
      <c r="I4374" s="8">
        <f>IF(OR(D4374="",E4374=""),"",E4374*(1+D4374/30))</f>
        <v/>
      </c>
      <c r="J4374">
        <f>IF(I4374="","",IF(I4374&gt;=MAXIFS($I$2:$I$5001,$B$2:$B$5001,B4374,$A$2:$A$5001,"&lt;="&amp;A4374),"PR",""))</f>
        <v/>
      </c>
    </row>
    <row r="4375">
      <c r="A4375" s="7" t="n"/>
      <c r="H4375" s="11">
        <f>IF(OR(D4375="",E4375=""),"",D4375*E4375)</f>
        <v/>
      </c>
      <c r="I4375" s="8">
        <f>IF(OR(D4375="",E4375=""),"",E4375*(1+D4375/30))</f>
        <v/>
      </c>
      <c r="J4375">
        <f>IF(I4375="","",IF(I4375&gt;=MAXIFS($I$2:$I$5001,$B$2:$B$5001,B4375,$A$2:$A$5001,"&lt;="&amp;A4375),"PR",""))</f>
        <v/>
      </c>
    </row>
    <row r="4376">
      <c r="A4376" s="7" t="n"/>
      <c r="H4376" s="11">
        <f>IF(OR(D4376="",E4376=""),"",D4376*E4376)</f>
        <v/>
      </c>
      <c r="I4376" s="8">
        <f>IF(OR(D4376="",E4376=""),"",E4376*(1+D4376/30))</f>
        <v/>
      </c>
      <c r="J4376">
        <f>IF(I4376="","",IF(I4376&gt;=MAXIFS($I$2:$I$5001,$B$2:$B$5001,B4376,$A$2:$A$5001,"&lt;="&amp;A4376),"PR",""))</f>
        <v/>
      </c>
    </row>
    <row r="4377">
      <c r="A4377" s="7" t="n"/>
      <c r="H4377" s="11">
        <f>IF(OR(D4377="",E4377=""),"",D4377*E4377)</f>
        <v/>
      </c>
      <c r="I4377" s="8">
        <f>IF(OR(D4377="",E4377=""),"",E4377*(1+D4377/30))</f>
        <v/>
      </c>
      <c r="J4377">
        <f>IF(I4377="","",IF(I4377&gt;=MAXIFS($I$2:$I$5001,$B$2:$B$5001,B4377,$A$2:$A$5001,"&lt;="&amp;A4377),"PR",""))</f>
        <v/>
      </c>
    </row>
    <row r="4378">
      <c r="A4378" s="7" t="n"/>
      <c r="H4378" s="11">
        <f>IF(OR(D4378="",E4378=""),"",D4378*E4378)</f>
        <v/>
      </c>
      <c r="I4378" s="8">
        <f>IF(OR(D4378="",E4378=""),"",E4378*(1+D4378/30))</f>
        <v/>
      </c>
      <c r="J4378">
        <f>IF(I4378="","",IF(I4378&gt;=MAXIFS($I$2:$I$5001,$B$2:$B$5001,B4378,$A$2:$A$5001,"&lt;="&amp;A4378),"PR",""))</f>
        <v/>
      </c>
    </row>
    <row r="4379">
      <c r="A4379" s="7" t="n"/>
      <c r="H4379" s="11">
        <f>IF(OR(D4379="",E4379=""),"",D4379*E4379)</f>
        <v/>
      </c>
      <c r="I4379" s="8">
        <f>IF(OR(D4379="",E4379=""),"",E4379*(1+D4379/30))</f>
        <v/>
      </c>
      <c r="J4379">
        <f>IF(I4379="","",IF(I4379&gt;=MAXIFS($I$2:$I$5001,$B$2:$B$5001,B4379,$A$2:$A$5001,"&lt;="&amp;A4379),"PR",""))</f>
        <v/>
      </c>
    </row>
    <row r="4380">
      <c r="A4380" s="7" t="n"/>
      <c r="H4380" s="11">
        <f>IF(OR(D4380="",E4380=""),"",D4380*E4380)</f>
        <v/>
      </c>
      <c r="I4380" s="8">
        <f>IF(OR(D4380="",E4380=""),"",E4380*(1+D4380/30))</f>
        <v/>
      </c>
      <c r="J4380">
        <f>IF(I4380="","",IF(I4380&gt;=MAXIFS($I$2:$I$5001,$B$2:$B$5001,B4380,$A$2:$A$5001,"&lt;="&amp;A4380),"PR",""))</f>
        <v/>
      </c>
    </row>
    <row r="4381">
      <c r="A4381" s="7" t="n"/>
      <c r="H4381" s="11">
        <f>IF(OR(D4381="",E4381=""),"",D4381*E4381)</f>
        <v/>
      </c>
      <c r="I4381" s="8">
        <f>IF(OR(D4381="",E4381=""),"",E4381*(1+D4381/30))</f>
        <v/>
      </c>
      <c r="J4381">
        <f>IF(I4381="","",IF(I4381&gt;=MAXIFS($I$2:$I$5001,$B$2:$B$5001,B4381,$A$2:$A$5001,"&lt;="&amp;A4381),"PR",""))</f>
        <v/>
      </c>
    </row>
    <row r="4382">
      <c r="A4382" s="7" t="n"/>
      <c r="H4382" s="11">
        <f>IF(OR(D4382="",E4382=""),"",D4382*E4382)</f>
        <v/>
      </c>
      <c r="I4382" s="8">
        <f>IF(OR(D4382="",E4382=""),"",E4382*(1+D4382/30))</f>
        <v/>
      </c>
      <c r="J4382">
        <f>IF(I4382="","",IF(I4382&gt;=MAXIFS($I$2:$I$5001,$B$2:$B$5001,B4382,$A$2:$A$5001,"&lt;="&amp;A4382),"PR",""))</f>
        <v/>
      </c>
    </row>
    <row r="4383">
      <c r="A4383" s="7" t="n"/>
      <c r="H4383" s="11">
        <f>IF(OR(D4383="",E4383=""),"",D4383*E4383)</f>
        <v/>
      </c>
      <c r="I4383" s="8">
        <f>IF(OR(D4383="",E4383=""),"",E4383*(1+D4383/30))</f>
        <v/>
      </c>
      <c r="J4383">
        <f>IF(I4383="","",IF(I4383&gt;=MAXIFS($I$2:$I$5001,$B$2:$B$5001,B4383,$A$2:$A$5001,"&lt;="&amp;A4383),"PR",""))</f>
        <v/>
      </c>
    </row>
    <row r="4384">
      <c r="A4384" s="7" t="n"/>
      <c r="H4384" s="11">
        <f>IF(OR(D4384="",E4384=""),"",D4384*E4384)</f>
        <v/>
      </c>
      <c r="I4384" s="8">
        <f>IF(OR(D4384="",E4384=""),"",E4384*(1+D4384/30))</f>
        <v/>
      </c>
      <c r="J4384">
        <f>IF(I4384="","",IF(I4384&gt;=MAXIFS($I$2:$I$5001,$B$2:$B$5001,B4384,$A$2:$A$5001,"&lt;="&amp;A4384),"PR",""))</f>
        <v/>
      </c>
    </row>
    <row r="4385">
      <c r="A4385" s="7" t="n"/>
      <c r="H4385" s="11">
        <f>IF(OR(D4385="",E4385=""),"",D4385*E4385)</f>
        <v/>
      </c>
      <c r="I4385" s="8">
        <f>IF(OR(D4385="",E4385=""),"",E4385*(1+D4385/30))</f>
        <v/>
      </c>
      <c r="J4385">
        <f>IF(I4385="","",IF(I4385&gt;=MAXIFS($I$2:$I$5001,$B$2:$B$5001,B4385,$A$2:$A$5001,"&lt;="&amp;A4385),"PR",""))</f>
        <v/>
      </c>
    </row>
    <row r="4386">
      <c r="A4386" s="7" t="n"/>
      <c r="H4386" s="11">
        <f>IF(OR(D4386="",E4386=""),"",D4386*E4386)</f>
        <v/>
      </c>
      <c r="I4386" s="8">
        <f>IF(OR(D4386="",E4386=""),"",E4386*(1+D4386/30))</f>
        <v/>
      </c>
      <c r="J4386">
        <f>IF(I4386="","",IF(I4386&gt;=MAXIFS($I$2:$I$5001,$B$2:$B$5001,B4386,$A$2:$A$5001,"&lt;="&amp;A4386),"PR",""))</f>
        <v/>
      </c>
    </row>
    <row r="4387">
      <c r="A4387" s="7" t="n"/>
      <c r="H4387" s="11">
        <f>IF(OR(D4387="",E4387=""),"",D4387*E4387)</f>
        <v/>
      </c>
      <c r="I4387" s="8">
        <f>IF(OR(D4387="",E4387=""),"",E4387*(1+D4387/30))</f>
        <v/>
      </c>
      <c r="J4387">
        <f>IF(I4387="","",IF(I4387&gt;=MAXIFS($I$2:$I$5001,$B$2:$B$5001,B4387,$A$2:$A$5001,"&lt;="&amp;A4387),"PR",""))</f>
        <v/>
      </c>
    </row>
    <row r="4388">
      <c r="A4388" s="7" t="n"/>
      <c r="H4388" s="11">
        <f>IF(OR(D4388="",E4388=""),"",D4388*E4388)</f>
        <v/>
      </c>
      <c r="I4388" s="8">
        <f>IF(OR(D4388="",E4388=""),"",E4388*(1+D4388/30))</f>
        <v/>
      </c>
      <c r="J4388">
        <f>IF(I4388="","",IF(I4388&gt;=MAXIFS($I$2:$I$5001,$B$2:$B$5001,B4388,$A$2:$A$5001,"&lt;="&amp;A4388),"PR",""))</f>
        <v/>
      </c>
    </row>
    <row r="4389">
      <c r="A4389" s="7" t="n"/>
      <c r="H4389" s="11">
        <f>IF(OR(D4389="",E4389=""),"",D4389*E4389)</f>
        <v/>
      </c>
      <c r="I4389" s="8">
        <f>IF(OR(D4389="",E4389=""),"",E4389*(1+D4389/30))</f>
        <v/>
      </c>
      <c r="J4389">
        <f>IF(I4389="","",IF(I4389&gt;=MAXIFS($I$2:$I$5001,$B$2:$B$5001,B4389,$A$2:$A$5001,"&lt;="&amp;A4389),"PR",""))</f>
        <v/>
      </c>
    </row>
    <row r="4390">
      <c r="A4390" s="7" t="n"/>
      <c r="H4390" s="11">
        <f>IF(OR(D4390="",E4390=""),"",D4390*E4390)</f>
        <v/>
      </c>
      <c r="I4390" s="8">
        <f>IF(OR(D4390="",E4390=""),"",E4390*(1+D4390/30))</f>
        <v/>
      </c>
      <c r="J4390">
        <f>IF(I4390="","",IF(I4390&gt;=MAXIFS($I$2:$I$5001,$B$2:$B$5001,B4390,$A$2:$A$5001,"&lt;="&amp;A4390),"PR",""))</f>
        <v/>
      </c>
    </row>
    <row r="4391">
      <c r="A4391" s="7" t="n"/>
      <c r="H4391" s="11">
        <f>IF(OR(D4391="",E4391=""),"",D4391*E4391)</f>
        <v/>
      </c>
      <c r="I4391" s="8">
        <f>IF(OR(D4391="",E4391=""),"",E4391*(1+D4391/30))</f>
        <v/>
      </c>
      <c r="J4391">
        <f>IF(I4391="","",IF(I4391&gt;=MAXIFS($I$2:$I$5001,$B$2:$B$5001,B4391,$A$2:$A$5001,"&lt;="&amp;A4391),"PR",""))</f>
        <v/>
      </c>
    </row>
    <row r="4392">
      <c r="A4392" s="7" t="n"/>
      <c r="H4392" s="11">
        <f>IF(OR(D4392="",E4392=""),"",D4392*E4392)</f>
        <v/>
      </c>
      <c r="I4392" s="8">
        <f>IF(OR(D4392="",E4392=""),"",E4392*(1+D4392/30))</f>
        <v/>
      </c>
      <c r="J4392">
        <f>IF(I4392="","",IF(I4392&gt;=MAXIFS($I$2:$I$5001,$B$2:$B$5001,B4392,$A$2:$A$5001,"&lt;="&amp;A4392),"PR",""))</f>
        <v/>
      </c>
    </row>
    <row r="4393">
      <c r="A4393" s="7" t="n"/>
      <c r="H4393" s="11">
        <f>IF(OR(D4393="",E4393=""),"",D4393*E4393)</f>
        <v/>
      </c>
      <c r="I4393" s="8">
        <f>IF(OR(D4393="",E4393=""),"",E4393*(1+D4393/30))</f>
        <v/>
      </c>
      <c r="J4393">
        <f>IF(I4393="","",IF(I4393&gt;=MAXIFS($I$2:$I$5001,$B$2:$B$5001,B4393,$A$2:$A$5001,"&lt;="&amp;A4393),"PR",""))</f>
        <v/>
      </c>
    </row>
    <row r="4394">
      <c r="A4394" s="7" t="n"/>
      <c r="H4394" s="11">
        <f>IF(OR(D4394="",E4394=""),"",D4394*E4394)</f>
        <v/>
      </c>
      <c r="I4394" s="8">
        <f>IF(OR(D4394="",E4394=""),"",E4394*(1+D4394/30))</f>
        <v/>
      </c>
      <c r="J4394">
        <f>IF(I4394="","",IF(I4394&gt;=MAXIFS($I$2:$I$5001,$B$2:$B$5001,B4394,$A$2:$A$5001,"&lt;="&amp;A4394),"PR",""))</f>
        <v/>
      </c>
    </row>
    <row r="4395">
      <c r="A4395" s="7" t="n"/>
      <c r="H4395" s="11">
        <f>IF(OR(D4395="",E4395=""),"",D4395*E4395)</f>
        <v/>
      </c>
      <c r="I4395" s="8">
        <f>IF(OR(D4395="",E4395=""),"",E4395*(1+D4395/30))</f>
        <v/>
      </c>
      <c r="J4395">
        <f>IF(I4395="","",IF(I4395&gt;=MAXIFS($I$2:$I$5001,$B$2:$B$5001,B4395,$A$2:$A$5001,"&lt;="&amp;A4395),"PR",""))</f>
        <v/>
      </c>
    </row>
    <row r="4396">
      <c r="A4396" s="7" t="n"/>
      <c r="H4396" s="11">
        <f>IF(OR(D4396="",E4396=""),"",D4396*E4396)</f>
        <v/>
      </c>
      <c r="I4396" s="8">
        <f>IF(OR(D4396="",E4396=""),"",E4396*(1+D4396/30))</f>
        <v/>
      </c>
      <c r="J4396">
        <f>IF(I4396="","",IF(I4396&gt;=MAXIFS($I$2:$I$5001,$B$2:$B$5001,B4396,$A$2:$A$5001,"&lt;="&amp;A4396),"PR",""))</f>
        <v/>
      </c>
    </row>
    <row r="4397">
      <c r="A4397" s="7" t="n"/>
      <c r="H4397" s="11">
        <f>IF(OR(D4397="",E4397=""),"",D4397*E4397)</f>
        <v/>
      </c>
      <c r="I4397" s="8">
        <f>IF(OR(D4397="",E4397=""),"",E4397*(1+D4397/30))</f>
        <v/>
      </c>
      <c r="J4397">
        <f>IF(I4397="","",IF(I4397&gt;=MAXIFS($I$2:$I$5001,$B$2:$B$5001,B4397,$A$2:$A$5001,"&lt;="&amp;A4397),"PR",""))</f>
        <v/>
      </c>
    </row>
    <row r="4398">
      <c r="A4398" s="7" t="n"/>
      <c r="H4398" s="11">
        <f>IF(OR(D4398="",E4398=""),"",D4398*E4398)</f>
        <v/>
      </c>
      <c r="I4398" s="8">
        <f>IF(OR(D4398="",E4398=""),"",E4398*(1+D4398/30))</f>
        <v/>
      </c>
      <c r="J4398">
        <f>IF(I4398="","",IF(I4398&gt;=MAXIFS($I$2:$I$5001,$B$2:$B$5001,B4398,$A$2:$A$5001,"&lt;="&amp;A4398),"PR",""))</f>
        <v/>
      </c>
    </row>
    <row r="4399">
      <c r="A4399" s="7" t="n"/>
      <c r="H4399" s="11">
        <f>IF(OR(D4399="",E4399=""),"",D4399*E4399)</f>
        <v/>
      </c>
      <c r="I4399" s="8">
        <f>IF(OR(D4399="",E4399=""),"",E4399*(1+D4399/30))</f>
        <v/>
      </c>
      <c r="J4399">
        <f>IF(I4399="","",IF(I4399&gt;=MAXIFS($I$2:$I$5001,$B$2:$B$5001,B4399,$A$2:$A$5001,"&lt;="&amp;A4399),"PR",""))</f>
        <v/>
      </c>
    </row>
    <row r="4400">
      <c r="A4400" s="7" t="n"/>
      <c r="H4400" s="11">
        <f>IF(OR(D4400="",E4400=""),"",D4400*E4400)</f>
        <v/>
      </c>
      <c r="I4400" s="8">
        <f>IF(OR(D4400="",E4400=""),"",E4400*(1+D4400/30))</f>
        <v/>
      </c>
      <c r="J4400">
        <f>IF(I4400="","",IF(I4400&gt;=MAXIFS($I$2:$I$5001,$B$2:$B$5001,B4400,$A$2:$A$5001,"&lt;="&amp;A4400),"PR",""))</f>
        <v/>
      </c>
    </row>
    <row r="4401">
      <c r="A4401" s="7" t="n"/>
      <c r="H4401" s="11">
        <f>IF(OR(D4401="",E4401=""),"",D4401*E4401)</f>
        <v/>
      </c>
      <c r="I4401" s="8">
        <f>IF(OR(D4401="",E4401=""),"",E4401*(1+D4401/30))</f>
        <v/>
      </c>
      <c r="J4401">
        <f>IF(I4401="","",IF(I4401&gt;=MAXIFS($I$2:$I$5001,$B$2:$B$5001,B4401,$A$2:$A$5001,"&lt;="&amp;A4401),"PR",""))</f>
        <v/>
      </c>
    </row>
    <row r="4402">
      <c r="A4402" s="7" t="n"/>
      <c r="H4402" s="11">
        <f>IF(OR(D4402="",E4402=""),"",D4402*E4402)</f>
        <v/>
      </c>
      <c r="I4402" s="8">
        <f>IF(OR(D4402="",E4402=""),"",E4402*(1+D4402/30))</f>
        <v/>
      </c>
      <c r="J4402">
        <f>IF(I4402="","",IF(I4402&gt;=MAXIFS($I$2:$I$5001,$B$2:$B$5001,B4402,$A$2:$A$5001,"&lt;="&amp;A4402),"PR",""))</f>
        <v/>
      </c>
    </row>
    <row r="4403">
      <c r="A4403" s="7" t="n"/>
      <c r="H4403" s="11">
        <f>IF(OR(D4403="",E4403=""),"",D4403*E4403)</f>
        <v/>
      </c>
      <c r="I4403" s="8">
        <f>IF(OR(D4403="",E4403=""),"",E4403*(1+D4403/30))</f>
        <v/>
      </c>
      <c r="J4403">
        <f>IF(I4403="","",IF(I4403&gt;=MAXIFS($I$2:$I$5001,$B$2:$B$5001,B4403,$A$2:$A$5001,"&lt;="&amp;A4403),"PR",""))</f>
        <v/>
      </c>
    </row>
    <row r="4404">
      <c r="A4404" s="7" t="n"/>
      <c r="H4404" s="11">
        <f>IF(OR(D4404="",E4404=""),"",D4404*E4404)</f>
        <v/>
      </c>
      <c r="I4404" s="8">
        <f>IF(OR(D4404="",E4404=""),"",E4404*(1+D4404/30))</f>
        <v/>
      </c>
      <c r="J4404">
        <f>IF(I4404="","",IF(I4404&gt;=MAXIFS($I$2:$I$5001,$B$2:$B$5001,B4404,$A$2:$A$5001,"&lt;="&amp;A4404),"PR",""))</f>
        <v/>
      </c>
    </row>
    <row r="4405">
      <c r="A4405" s="7" t="n"/>
      <c r="H4405" s="11">
        <f>IF(OR(D4405="",E4405=""),"",D4405*E4405)</f>
        <v/>
      </c>
      <c r="I4405" s="8">
        <f>IF(OR(D4405="",E4405=""),"",E4405*(1+D4405/30))</f>
        <v/>
      </c>
      <c r="J4405">
        <f>IF(I4405="","",IF(I4405&gt;=MAXIFS($I$2:$I$5001,$B$2:$B$5001,B4405,$A$2:$A$5001,"&lt;="&amp;A4405),"PR",""))</f>
        <v/>
      </c>
    </row>
    <row r="4406">
      <c r="A4406" s="7" t="n"/>
      <c r="H4406" s="11">
        <f>IF(OR(D4406="",E4406=""),"",D4406*E4406)</f>
        <v/>
      </c>
      <c r="I4406" s="8">
        <f>IF(OR(D4406="",E4406=""),"",E4406*(1+D4406/30))</f>
        <v/>
      </c>
      <c r="J4406">
        <f>IF(I4406="","",IF(I4406&gt;=MAXIFS($I$2:$I$5001,$B$2:$B$5001,B4406,$A$2:$A$5001,"&lt;="&amp;A4406),"PR",""))</f>
        <v/>
      </c>
    </row>
    <row r="4407">
      <c r="A4407" s="7" t="n"/>
      <c r="H4407" s="11">
        <f>IF(OR(D4407="",E4407=""),"",D4407*E4407)</f>
        <v/>
      </c>
      <c r="I4407" s="8">
        <f>IF(OR(D4407="",E4407=""),"",E4407*(1+D4407/30))</f>
        <v/>
      </c>
      <c r="J4407">
        <f>IF(I4407="","",IF(I4407&gt;=MAXIFS($I$2:$I$5001,$B$2:$B$5001,B4407,$A$2:$A$5001,"&lt;="&amp;A4407),"PR",""))</f>
        <v/>
      </c>
    </row>
    <row r="4408">
      <c r="A4408" s="7" t="n"/>
      <c r="H4408" s="11">
        <f>IF(OR(D4408="",E4408=""),"",D4408*E4408)</f>
        <v/>
      </c>
      <c r="I4408" s="8">
        <f>IF(OR(D4408="",E4408=""),"",E4408*(1+D4408/30))</f>
        <v/>
      </c>
      <c r="J4408">
        <f>IF(I4408="","",IF(I4408&gt;=MAXIFS($I$2:$I$5001,$B$2:$B$5001,B4408,$A$2:$A$5001,"&lt;="&amp;A4408),"PR",""))</f>
        <v/>
      </c>
    </row>
    <row r="4409">
      <c r="A4409" s="7" t="n"/>
      <c r="H4409" s="11">
        <f>IF(OR(D4409="",E4409=""),"",D4409*E4409)</f>
        <v/>
      </c>
      <c r="I4409" s="8">
        <f>IF(OR(D4409="",E4409=""),"",E4409*(1+D4409/30))</f>
        <v/>
      </c>
      <c r="J4409">
        <f>IF(I4409="","",IF(I4409&gt;=MAXIFS($I$2:$I$5001,$B$2:$B$5001,B4409,$A$2:$A$5001,"&lt;="&amp;A4409),"PR",""))</f>
        <v/>
      </c>
    </row>
    <row r="4410">
      <c r="A4410" s="7" t="n"/>
      <c r="H4410" s="11">
        <f>IF(OR(D4410="",E4410=""),"",D4410*E4410)</f>
        <v/>
      </c>
      <c r="I4410" s="8">
        <f>IF(OR(D4410="",E4410=""),"",E4410*(1+D4410/30))</f>
        <v/>
      </c>
      <c r="J4410">
        <f>IF(I4410="","",IF(I4410&gt;=MAXIFS($I$2:$I$5001,$B$2:$B$5001,B4410,$A$2:$A$5001,"&lt;="&amp;A4410),"PR",""))</f>
        <v/>
      </c>
    </row>
    <row r="4411">
      <c r="A4411" s="7" t="n"/>
      <c r="H4411" s="11">
        <f>IF(OR(D4411="",E4411=""),"",D4411*E4411)</f>
        <v/>
      </c>
      <c r="I4411" s="8">
        <f>IF(OR(D4411="",E4411=""),"",E4411*(1+D4411/30))</f>
        <v/>
      </c>
      <c r="J4411">
        <f>IF(I4411="","",IF(I4411&gt;=MAXIFS($I$2:$I$5001,$B$2:$B$5001,B4411,$A$2:$A$5001,"&lt;="&amp;A4411),"PR",""))</f>
        <v/>
      </c>
    </row>
    <row r="4412">
      <c r="A4412" s="7" t="n"/>
      <c r="H4412" s="11">
        <f>IF(OR(D4412="",E4412=""),"",D4412*E4412)</f>
        <v/>
      </c>
      <c r="I4412" s="8">
        <f>IF(OR(D4412="",E4412=""),"",E4412*(1+D4412/30))</f>
        <v/>
      </c>
      <c r="J4412">
        <f>IF(I4412="","",IF(I4412&gt;=MAXIFS($I$2:$I$5001,$B$2:$B$5001,B4412,$A$2:$A$5001,"&lt;="&amp;A4412),"PR",""))</f>
        <v/>
      </c>
    </row>
    <row r="4413">
      <c r="A4413" s="7" t="n"/>
      <c r="H4413" s="11">
        <f>IF(OR(D4413="",E4413=""),"",D4413*E4413)</f>
        <v/>
      </c>
      <c r="I4413" s="8">
        <f>IF(OR(D4413="",E4413=""),"",E4413*(1+D4413/30))</f>
        <v/>
      </c>
      <c r="J4413">
        <f>IF(I4413="","",IF(I4413&gt;=MAXIFS($I$2:$I$5001,$B$2:$B$5001,B4413,$A$2:$A$5001,"&lt;="&amp;A4413),"PR",""))</f>
        <v/>
      </c>
    </row>
    <row r="4414">
      <c r="A4414" s="7" t="n"/>
      <c r="H4414" s="11">
        <f>IF(OR(D4414="",E4414=""),"",D4414*E4414)</f>
        <v/>
      </c>
      <c r="I4414" s="8">
        <f>IF(OR(D4414="",E4414=""),"",E4414*(1+D4414/30))</f>
        <v/>
      </c>
      <c r="J4414">
        <f>IF(I4414="","",IF(I4414&gt;=MAXIFS($I$2:$I$5001,$B$2:$B$5001,B4414,$A$2:$A$5001,"&lt;="&amp;A4414),"PR",""))</f>
        <v/>
      </c>
    </row>
    <row r="4415">
      <c r="A4415" s="7" t="n"/>
      <c r="H4415" s="11">
        <f>IF(OR(D4415="",E4415=""),"",D4415*E4415)</f>
        <v/>
      </c>
      <c r="I4415" s="8">
        <f>IF(OR(D4415="",E4415=""),"",E4415*(1+D4415/30))</f>
        <v/>
      </c>
      <c r="J4415">
        <f>IF(I4415="","",IF(I4415&gt;=MAXIFS($I$2:$I$5001,$B$2:$B$5001,B4415,$A$2:$A$5001,"&lt;="&amp;A4415),"PR",""))</f>
        <v/>
      </c>
    </row>
    <row r="4416">
      <c r="A4416" s="7" t="n"/>
      <c r="H4416" s="11">
        <f>IF(OR(D4416="",E4416=""),"",D4416*E4416)</f>
        <v/>
      </c>
      <c r="I4416" s="8">
        <f>IF(OR(D4416="",E4416=""),"",E4416*(1+D4416/30))</f>
        <v/>
      </c>
      <c r="J4416">
        <f>IF(I4416="","",IF(I4416&gt;=MAXIFS($I$2:$I$5001,$B$2:$B$5001,B4416,$A$2:$A$5001,"&lt;="&amp;A4416),"PR",""))</f>
        <v/>
      </c>
    </row>
    <row r="4417">
      <c r="A4417" s="7" t="n"/>
      <c r="H4417" s="11">
        <f>IF(OR(D4417="",E4417=""),"",D4417*E4417)</f>
        <v/>
      </c>
      <c r="I4417" s="8">
        <f>IF(OR(D4417="",E4417=""),"",E4417*(1+D4417/30))</f>
        <v/>
      </c>
      <c r="J4417">
        <f>IF(I4417="","",IF(I4417&gt;=MAXIFS($I$2:$I$5001,$B$2:$B$5001,B4417,$A$2:$A$5001,"&lt;="&amp;A4417),"PR",""))</f>
        <v/>
      </c>
    </row>
    <row r="4418">
      <c r="A4418" s="7" t="n"/>
      <c r="H4418" s="11">
        <f>IF(OR(D4418="",E4418=""),"",D4418*E4418)</f>
        <v/>
      </c>
      <c r="I4418" s="8">
        <f>IF(OR(D4418="",E4418=""),"",E4418*(1+D4418/30))</f>
        <v/>
      </c>
      <c r="J4418">
        <f>IF(I4418="","",IF(I4418&gt;=MAXIFS($I$2:$I$5001,$B$2:$B$5001,B4418,$A$2:$A$5001,"&lt;="&amp;A4418),"PR",""))</f>
        <v/>
      </c>
    </row>
    <row r="4419">
      <c r="A4419" s="7" t="n"/>
      <c r="H4419" s="11">
        <f>IF(OR(D4419="",E4419=""),"",D4419*E4419)</f>
        <v/>
      </c>
      <c r="I4419" s="8">
        <f>IF(OR(D4419="",E4419=""),"",E4419*(1+D4419/30))</f>
        <v/>
      </c>
      <c r="J4419">
        <f>IF(I4419="","",IF(I4419&gt;=MAXIFS($I$2:$I$5001,$B$2:$B$5001,B4419,$A$2:$A$5001,"&lt;="&amp;A4419),"PR",""))</f>
        <v/>
      </c>
    </row>
    <row r="4420">
      <c r="A4420" s="7" t="n"/>
      <c r="H4420" s="11">
        <f>IF(OR(D4420="",E4420=""),"",D4420*E4420)</f>
        <v/>
      </c>
      <c r="I4420" s="8">
        <f>IF(OR(D4420="",E4420=""),"",E4420*(1+D4420/30))</f>
        <v/>
      </c>
      <c r="J4420">
        <f>IF(I4420="","",IF(I4420&gt;=MAXIFS($I$2:$I$5001,$B$2:$B$5001,B4420,$A$2:$A$5001,"&lt;="&amp;A4420),"PR",""))</f>
        <v/>
      </c>
    </row>
    <row r="4421">
      <c r="A4421" s="7" t="n"/>
      <c r="H4421" s="11">
        <f>IF(OR(D4421="",E4421=""),"",D4421*E4421)</f>
        <v/>
      </c>
      <c r="I4421" s="8">
        <f>IF(OR(D4421="",E4421=""),"",E4421*(1+D4421/30))</f>
        <v/>
      </c>
      <c r="J4421">
        <f>IF(I4421="","",IF(I4421&gt;=MAXIFS($I$2:$I$5001,$B$2:$B$5001,B4421,$A$2:$A$5001,"&lt;="&amp;A4421),"PR",""))</f>
        <v/>
      </c>
    </row>
    <row r="4422">
      <c r="A4422" s="7" t="n"/>
      <c r="H4422" s="11">
        <f>IF(OR(D4422="",E4422=""),"",D4422*E4422)</f>
        <v/>
      </c>
      <c r="I4422" s="8">
        <f>IF(OR(D4422="",E4422=""),"",E4422*(1+D4422/30))</f>
        <v/>
      </c>
      <c r="J4422">
        <f>IF(I4422="","",IF(I4422&gt;=MAXIFS($I$2:$I$5001,$B$2:$B$5001,B4422,$A$2:$A$5001,"&lt;="&amp;A4422),"PR",""))</f>
        <v/>
      </c>
    </row>
    <row r="4423">
      <c r="A4423" s="7" t="n"/>
      <c r="H4423" s="11">
        <f>IF(OR(D4423="",E4423=""),"",D4423*E4423)</f>
        <v/>
      </c>
      <c r="I4423" s="8">
        <f>IF(OR(D4423="",E4423=""),"",E4423*(1+D4423/30))</f>
        <v/>
      </c>
      <c r="J4423">
        <f>IF(I4423="","",IF(I4423&gt;=MAXIFS($I$2:$I$5001,$B$2:$B$5001,B4423,$A$2:$A$5001,"&lt;="&amp;A4423),"PR",""))</f>
        <v/>
      </c>
    </row>
    <row r="4424">
      <c r="A4424" s="7" t="n"/>
      <c r="H4424" s="11">
        <f>IF(OR(D4424="",E4424=""),"",D4424*E4424)</f>
        <v/>
      </c>
      <c r="I4424" s="8">
        <f>IF(OR(D4424="",E4424=""),"",E4424*(1+D4424/30))</f>
        <v/>
      </c>
      <c r="J4424">
        <f>IF(I4424="","",IF(I4424&gt;=MAXIFS($I$2:$I$5001,$B$2:$B$5001,B4424,$A$2:$A$5001,"&lt;="&amp;A4424),"PR",""))</f>
        <v/>
      </c>
    </row>
    <row r="4425">
      <c r="A4425" s="7" t="n"/>
      <c r="H4425" s="11">
        <f>IF(OR(D4425="",E4425=""),"",D4425*E4425)</f>
        <v/>
      </c>
      <c r="I4425" s="8">
        <f>IF(OR(D4425="",E4425=""),"",E4425*(1+D4425/30))</f>
        <v/>
      </c>
      <c r="J4425">
        <f>IF(I4425="","",IF(I4425&gt;=MAXIFS($I$2:$I$5001,$B$2:$B$5001,B4425,$A$2:$A$5001,"&lt;="&amp;A4425),"PR",""))</f>
        <v/>
      </c>
    </row>
    <row r="4426">
      <c r="A4426" s="7" t="n"/>
      <c r="H4426" s="11">
        <f>IF(OR(D4426="",E4426=""),"",D4426*E4426)</f>
        <v/>
      </c>
      <c r="I4426" s="8">
        <f>IF(OR(D4426="",E4426=""),"",E4426*(1+D4426/30))</f>
        <v/>
      </c>
      <c r="J4426">
        <f>IF(I4426="","",IF(I4426&gt;=MAXIFS($I$2:$I$5001,$B$2:$B$5001,B4426,$A$2:$A$5001,"&lt;="&amp;A4426),"PR",""))</f>
        <v/>
      </c>
    </row>
    <row r="4427">
      <c r="A4427" s="7" t="n"/>
      <c r="H4427" s="11">
        <f>IF(OR(D4427="",E4427=""),"",D4427*E4427)</f>
        <v/>
      </c>
      <c r="I4427" s="8">
        <f>IF(OR(D4427="",E4427=""),"",E4427*(1+D4427/30))</f>
        <v/>
      </c>
      <c r="J4427">
        <f>IF(I4427="","",IF(I4427&gt;=MAXIFS($I$2:$I$5001,$B$2:$B$5001,B4427,$A$2:$A$5001,"&lt;="&amp;A4427),"PR",""))</f>
        <v/>
      </c>
    </row>
    <row r="4428">
      <c r="A4428" s="7" t="n"/>
      <c r="H4428" s="11">
        <f>IF(OR(D4428="",E4428=""),"",D4428*E4428)</f>
        <v/>
      </c>
      <c r="I4428" s="8">
        <f>IF(OR(D4428="",E4428=""),"",E4428*(1+D4428/30))</f>
        <v/>
      </c>
      <c r="J4428">
        <f>IF(I4428="","",IF(I4428&gt;=MAXIFS($I$2:$I$5001,$B$2:$B$5001,B4428,$A$2:$A$5001,"&lt;="&amp;A4428),"PR",""))</f>
        <v/>
      </c>
    </row>
    <row r="4429">
      <c r="A4429" s="7" t="n"/>
      <c r="H4429" s="11">
        <f>IF(OR(D4429="",E4429=""),"",D4429*E4429)</f>
        <v/>
      </c>
      <c r="I4429" s="8">
        <f>IF(OR(D4429="",E4429=""),"",E4429*(1+D4429/30))</f>
        <v/>
      </c>
      <c r="J4429">
        <f>IF(I4429="","",IF(I4429&gt;=MAXIFS($I$2:$I$5001,$B$2:$B$5001,B4429,$A$2:$A$5001,"&lt;="&amp;A4429),"PR",""))</f>
        <v/>
      </c>
    </row>
    <row r="4430">
      <c r="A4430" s="7" t="n"/>
      <c r="H4430" s="11">
        <f>IF(OR(D4430="",E4430=""),"",D4430*E4430)</f>
        <v/>
      </c>
      <c r="I4430" s="8">
        <f>IF(OR(D4430="",E4430=""),"",E4430*(1+D4430/30))</f>
        <v/>
      </c>
      <c r="J4430">
        <f>IF(I4430="","",IF(I4430&gt;=MAXIFS($I$2:$I$5001,$B$2:$B$5001,B4430,$A$2:$A$5001,"&lt;="&amp;A4430),"PR",""))</f>
        <v/>
      </c>
    </row>
    <row r="4431">
      <c r="A4431" s="7" t="n"/>
      <c r="H4431" s="11">
        <f>IF(OR(D4431="",E4431=""),"",D4431*E4431)</f>
        <v/>
      </c>
      <c r="I4431" s="8">
        <f>IF(OR(D4431="",E4431=""),"",E4431*(1+D4431/30))</f>
        <v/>
      </c>
      <c r="J4431">
        <f>IF(I4431="","",IF(I4431&gt;=MAXIFS($I$2:$I$5001,$B$2:$B$5001,B4431,$A$2:$A$5001,"&lt;="&amp;A4431),"PR",""))</f>
        <v/>
      </c>
    </row>
    <row r="4432">
      <c r="A4432" s="7" t="n"/>
      <c r="H4432" s="11">
        <f>IF(OR(D4432="",E4432=""),"",D4432*E4432)</f>
        <v/>
      </c>
      <c r="I4432" s="8">
        <f>IF(OR(D4432="",E4432=""),"",E4432*(1+D4432/30))</f>
        <v/>
      </c>
      <c r="J4432">
        <f>IF(I4432="","",IF(I4432&gt;=MAXIFS($I$2:$I$5001,$B$2:$B$5001,B4432,$A$2:$A$5001,"&lt;="&amp;A4432),"PR",""))</f>
        <v/>
      </c>
    </row>
    <row r="4433">
      <c r="A4433" s="7" t="n"/>
      <c r="H4433" s="11">
        <f>IF(OR(D4433="",E4433=""),"",D4433*E4433)</f>
        <v/>
      </c>
      <c r="I4433" s="8">
        <f>IF(OR(D4433="",E4433=""),"",E4433*(1+D4433/30))</f>
        <v/>
      </c>
      <c r="J4433">
        <f>IF(I4433="","",IF(I4433&gt;=MAXIFS($I$2:$I$5001,$B$2:$B$5001,B4433,$A$2:$A$5001,"&lt;="&amp;A4433),"PR",""))</f>
        <v/>
      </c>
    </row>
    <row r="4434">
      <c r="A4434" s="7" t="n"/>
      <c r="H4434" s="11">
        <f>IF(OR(D4434="",E4434=""),"",D4434*E4434)</f>
        <v/>
      </c>
      <c r="I4434" s="8">
        <f>IF(OR(D4434="",E4434=""),"",E4434*(1+D4434/30))</f>
        <v/>
      </c>
      <c r="J4434">
        <f>IF(I4434="","",IF(I4434&gt;=MAXIFS($I$2:$I$5001,$B$2:$B$5001,B4434,$A$2:$A$5001,"&lt;="&amp;A4434),"PR",""))</f>
        <v/>
      </c>
    </row>
    <row r="4435">
      <c r="A4435" s="7" t="n"/>
      <c r="H4435" s="11">
        <f>IF(OR(D4435="",E4435=""),"",D4435*E4435)</f>
        <v/>
      </c>
      <c r="I4435" s="8">
        <f>IF(OR(D4435="",E4435=""),"",E4435*(1+D4435/30))</f>
        <v/>
      </c>
      <c r="J4435">
        <f>IF(I4435="","",IF(I4435&gt;=MAXIFS($I$2:$I$5001,$B$2:$B$5001,B4435,$A$2:$A$5001,"&lt;="&amp;A4435),"PR",""))</f>
        <v/>
      </c>
    </row>
    <row r="4436">
      <c r="A4436" s="7" t="n"/>
      <c r="H4436" s="11">
        <f>IF(OR(D4436="",E4436=""),"",D4436*E4436)</f>
        <v/>
      </c>
      <c r="I4436" s="8">
        <f>IF(OR(D4436="",E4436=""),"",E4436*(1+D4436/30))</f>
        <v/>
      </c>
      <c r="J4436">
        <f>IF(I4436="","",IF(I4436&gt;=MAXIFS($I$2:$I$5001,$B$2:$B$5001,B4436,$A$2:$A$5001,"&lt;="&amp;A4436),"PR",""))</f>
        <v/>
      </c>
    </row>
    <row r="4437">
      <c r="A4437" s="7" t="n"/>
      <c r="H4437" s="11">
        <f>IF(OR(D4437="",E4437=""),"",D4437*E4437)</f>
        <v/>
      </c>
      <c r="I4437" s="8">
        <f>IF(OR(D4437="",E4437=""),"",E4437*(1+D4437/30))</f>
        <v/>
      </c>
      <c r="J4437">
        <f>IF(I4437="","",IF(I4437&gt;=MAXIFS($I$2:$I$5001,$B$2:$B$5001,B4437,$A$2:$A$5001,"&lt;="&amp;A4437),"PR",""))</f>
        <v/>
      </c>
    </row>
    <row r="4438">
      <c r="A4438" s="7" t="n"/>
      <c r="H4438" s="11">
        <f>IF(OR(D4438="",E4438=""),"",D4438*E4438)</f>
        <v/>
      </c>
      <c r="I4438" s="8">
        <f>IF(OR(D4438="",E4438=""),"",E4438*(1+D4438/30))</f>
        <v/>
      </c>
      <c r="J4438">
        <f>IF(I4438="","",IF(I4438&gt;=MAXIFS($I$2:$I$5001,$B$2:$B$5001,B4438,$A$2:$A$5001,"&lt;="&amp;A4438),"PR",""))</f>
        <v/>
      </c>
    </row>
    <row r="4439">
      <c r="A4439" s="7" t="n"/>
      <c r="H4439" s="11">
        <f>IF(OR(D4439="",E4439=""),"",D4439*E4439)</f>
        <v/>
      </c>
      <c r="I4439" s="8">
        <f>IF(OR(D4439="",E4439=""),"",E4439*(1+D4439/30))</f>
        <v/>
      </c>
      <c r="J4439">
        <f>IF(I4439="","",IF(I4439&gt;=MAXIFS($I$2:$I$5001,$B$2:$B$5001,B4439,$A$2:$A$5001,"&lt;="&amp;A4439),"PR",""))</f>
        <v/>
      </c>
    </row>
    <row r="4440">
      <c r="A4440" s="7" t="n"/>
      <c r="H4440" s="11">
        <f>IF(OR(D4440="",E4440=""),"",D4440*E4440)</f>
        <v/>
      </c>
      <c r="I4440" s="8">
        <f>IF(OR(D4440="",E4440=""),"",E4440*(1+D4440/30))</f>
        <v/>
      </c>
      <c r="J4440">
        <f>IF(I4440="","",IF(I4440&gt;=MAXIFS($I$2:$I$5001,$B$2:$B$5001,B4440,$A$2:$A$5001,"&lt;="&amp;A4440),"PR",""))</f>
        <v/>
      </c>
    </row>
    <row r="4441">
      <c r="A4441" s="7" t="n"/>
      <c r="H4441" s="11">
        <f>IF(OR(D4441="",E4441=""),"",D4441*E4441)</f>
        <v/>
      </c>
      <c r="I4441" s="8">
        <f>IF(OR(D4441="",E4441=""),"",E4441*(1+D4441/30))</f>
        <v/>
      </c>
      <c r="J4441">
        <f>IF(I4441="","",IF(I4441&gt;=MAXIFS($I$2:$I$5001,$B$2:$B$5001,B4441,$A$2:$A$5001,"&lt;="&amp;A4441),"PR",""))</f>
        <v/>
      </c>
    </row>
    <row r="4442">
      <c r="A4442" s="7" t="n"/>
      <c r="H4442" s="11">
        <f>IF(OR(D4442="",E4442=""),"",D4442*E4442)</f>
        <v/>
      </c>
      <c r="I4442" s="8">
        <f>IF(OR(D4442="",E4442=""),"",E4442*(1+D4442/30))</f>
        <v/>
      </c>
      <c r="J4442">
        <f>IF(I4442="","",IF(I4442&gt;=MAXIFS($I$2:$I$5001,$B$2:$B$5001,B4442,$A$2:$A$5001,"&lt;="&amp;A4442),"PR",""))</f>
        <v/>
      </c>
    </row>
    <row r="4443">
      <c r="A4443" s="7" t="n"/>
      <c r="H4443" s="11">
        <f>IF(OR(D4443="",E4443=""),"",D4443*E4443)</f>
        <v/>
      </c>
      <c r="I4443" s="8">
        <f>IF(OR(D4443="",E4443=""),"",E4443*(1+D4443/30))</f>
        <v/>
      </c>
      <c r="J4443">
        <f>IF(I4443="","",IF(I4443&gt;=MAXIFS($I$2:$I$5001,$B$2:$B$5001,B4443,$A$2:$A$5001,"&lt;="&amp;A4443),"PR",""))</f>
        <v/>
      </c>
    </row>
    <row r="4444">
      <c r="A4444" s="7" t="n"/>
      <c r="H4444" s="11">
        <f>IF(OR(D4444="",E4444=""),"",D4444*E4444)</f>
        <v/>
      </c>
      <c r="I4444" s="8">
        <f>IF(OR(D4444="",E4444=""),"",E4444*(1+D4444/30))</f>
        <v/>
      </c>
      <c r="J4444">
        <f>IF(I4444="","",IF(I4444&gt;=MAXIFS($I$2:$I$5001,$B$2:$B$5001,B4444,$A$2:$A$5001,"&lt;="&amp;A4444),"PR",""))</f>
        <v/>
      </c>
    </row>
    <row r="4445">
      <c r="A4445" s="7" t="n"/>
      <c r="H4445" s="11">
        <f>IF(OR(D4445="",E4445=""),"",D4445*E4445)</f>
        <v/>
      </c>
      <c r="I4445" s="8">
        <f>IF(OR(D4445="",E4445=""),"",E4445*(1+D4445/30))</f>
        <v/>
      </c>
      <c r="J4445">
        <f>IF(I4445="","",IF(I4445&gt;=MAXIFS($I$2:$I$5001,$B$2:$B$5001,B4445,$A$2:$A$5001,"&lt;="&amp;A4445),"PR",""))</f>
        <v/>
      </c>
    </row>
    <row r="4446">
      <c r="A4446" s="7" t="n"/>
      <c r="H4446" s="11">
        <f>IF(OR(D4446="",E4446=""),"",D4446*E4446)</f>
        <v/>
      </c>
      <c r="I4446" s="8">
        <f>IF(OR(D4446="",E4446=""),"",E4446*(1+D4446/30))</f>
        <v/>
      </c>
      <c r="J4446">
        <f>IF(I4446="","",IF(I4446&gt;=MAXIFS($I$2:$I$5001,$B$2:$B$5001,B4446,$A$2:$A$5001,"&lt;="&amp;A4446),"PR",""))</f>
        <v/>
      </c>
    </row>
    <row r="4447">
      <c r="A4447" s="7" t="n"/>
      <c r="H4447" s="11">
        <f>IF(OR(D4447="",E4447=""),"",D4447*E4447)</f>
        <v/>
      </c>
      <c r="I4447" s="8">
        <f>IF(OR(D4447="",E4447=""),"",E4447*(1+D4447/30))</f>
        <v/>
      </c>
      <c r="J4447">
        <f>IF(I4447="","",IF(I4447&gt;=MAXIFS($I$2:$I$5001,$B$2:$B$5001,B4447,$A$2:$A$5001,"&lt;="&amp;A4447),"PR",""))</f>
        <v/>
      </c>
    </row>
    <row r="4448">
      <c r="A4448" s="7" t="n"/>
      <c r="H4448" s="11">
        <f>IF(OR(D4448="",E4448=""),"",D4448*E4448)</f>
        <v/>
      </c>
      <c r="I4448" s="8">
        <f>IF(OR(D4448="",E4448=""),"",E4448*(1+D4448/30))</f>
        <v/>
      </c>
      <c r="J4448">
        <f>IF(I4448="","",IF(I4448&gt;=MAXIFS($I$2:$I$5001,$B$2:$B$5001,B4448,$A$2:$A$5001,"&lt;="&amp;A4448),"PR",""))</f>
        <v/>
      </c>
    </row>
    <row r="4449">
      <c r="A4449" s="7" t="n"/>
      <c r="H4449" s="11">
        <f>IF(OR(D4449="",E4449=""),"",D4449*E4449)</f>
        <v/>
      </c>
      <c r="I4449" s="8">
        <f>IF(OR(D4449="",E4449=""),"",E4449*(1+D4449/30))</f>
        <v/>
      </c>
      <c r="J4449">
        <f>IF(I4449="","",IF(I4449&gt;=MAXIFS($I$2:$I$5001,$B$2:$B$5001,B4449,$A$2:$A$5001,"&lt;="&amp;A4449),"PR",""))</f>
        <v/>
      </c>
    </row>
    <row r="4450">
      <c r="A4450" s="7" t="n"/>
      <c r="H4450" s="11">
        <f>IF(OR(D4450="",E4450=""),"",D4450*E4450)</f>
        <v/>
      </c>
      <c r="I4450" s="8">
        <f>IF(OR(D4450="",E4450=""),"",E4450*(1+D4450/30))</f>
        <v/>
      </c>
      <c r="J4450">
        <f>IF(I4450="","",IF(I4450&gt;=MAXIFS($I$2:$I$5001,$B$2:$B$5001,B4450,$A$2:$A$5001,"&lt;="&amp;A4450),"PR",""))</f>
        <v/>
      </c>
    </row>
    <row r="4451">
      <c r="A4451" s="7" t="n"/>
      <c r="H4451" s="11">
        <f>IF(OR(D4451="",E4451=""),"",D4451*E4451)</f>
        <v/>
      </c>
      <c r="I4451" s="8">
        <f>IF(OR(D4451="",E4451=""),"",E4451*(1+D4451/30))</f>
        <v/>
      </c>
      <c r="J4451">
        <f>IF(I4451="","",IF(I4451&gt;=MAXIFS($I$2:$I$5001,$B$2:$B$5001,B4451,$A$2:$A$5001,"&lt;="&amp;A4451),"PR",""))</f>
        <v/>
      </c>
    </row>
    <row r="4452">
      <c r="A4452" s="7" t="n"/>
      <c r="H4452" s="11">
        <f>IF(OR(D4452="",E4452=""),"",D4452*E4452)</f>
        <v/>
      </c>
      <c r="I4452" s="8">
        <f>IF(OR(D4452="",E4452=""),"",E4452*(1+D4452/30))</f>
        <v/>
      </c>
      <c r="J4452">
        <f>IF(I4452="","",IF(I4452&gt;=MAXIFS($I$2:$I$5001,$B$2:$B$5001,B4452,$A$2:$A$5001,"&lt;="&amp;A4452),"PR",""))</f>
        <v/>
      </c>
    </row>
    <row r="4453">
      <c r="A4453" s="7" t="n"/>
      <c r="H4453" s="11">
        <f>IF(OR(D4453="",E4453=""),"",D4453*E4453)</f>
        <v/>
      </c>
      <c r="I4453" s="8">
        <f>IF(OR(D4453="",E4453=""),"",E4453*(1+D4453/30))</f>
        <v/>
      </c>
      <c r="J4453">
        <f>IF(I4453="","",IF(I4453&gt;=MAXIFS($I$2:$I$5001,$B$2:$B$5001,B4453,$A$2:$A$5001,"&lt;="&amp;A4453),"PR",""))</f>
        <v/>
      </c>
    </row>
    <row r="4454">
      <c r="A4454" s="7" t="n"/>
      <c r="H4454" s="11">
        <f>IF(OR(D4454="",E4454=""),"",D4454*E4454)</f>
        <v/>
      </c>
      <c r="I4454" s="8">
        <f>IF(OR(D4454="",E4454=""),"",E4454*(1+D4454/30))</f>
        <v/>
      </c>
      <c r="J4454">
        <f>IF(I4454="","",IF(I4454&gt;=MAXIFS($I$2:$I$5001,$B$2:$B$5001,B4454,$A$2:$A$5001,"&lt;="&amp;A4454),"PR",""))</f>
        <v/>
      </c>
    </row>
    <row r="4455">
      <c r="A4455" s="7" t="n"/>
      <c r="H4455" s="11">
        <f>IF(OR(D4455="",E4455=""),"",D4455*E4455)</f>
        <v/>
      </c>
      <c r="I4455" s="8">
        <f>IF(OR(D4455="",E4455=""),"",E4455*(1+D4455/30))</f>
        <v/>
      </c>
      <c r="J4455">
        <f>IF(I4455="","",IF(I4455&gt;=MAXIFS($I$2:$I$5001,$B$2:$B$5001,B4455,$A$2:$A$5001,"&lt;="&amp;A4455),"PR",""))</f>
        <v/>
      </c>
    </row>
    <row r="4456">
      <c r="A4456" s="7" t="n"/>
      <c r="H4456" s="11">
        <f>IF(OR(D4456="",E4456=""),"",D4456*E4456)</f>
        <v/>
      </c>
      <c r="I4456" s="8">
        <f>IF(OR(D4456="",E4456=""),"",E4456*(1+D4456/30))</f>
        <v/>
      </c>
      <c r="J4456">
        <f>IF(I4456="","",IF(I4456&gt;=MAXIFS($I$2:$I$5001,$B$2:$B$5001,B4456,$A$2:$A$5001,"&lt;="&amp;A4456),"PR",""))</f>
        <v/>
      </c>
    </row>
    <row r="4457">
      <c r="A4457" s="7" t="n"/>
      <c r="H4457" s="11">
        <f>IF(OR(D4457="",E4457=""),"",D4457*E4457)</f>
        <v/>
      </c>
      <c r="I4457" s="8">
        <f>IF(OR(D4457="",E4457=""),"",E4457*(1+D4457/30))</f>
        <v/>
      </c>
      <c r="J4457">
        <f>IF(I4457="","",IF(I4457&gt;=MAXIFS($I$2:$I$5001,$B$2:$B$5001,B4457,$A$2:$A$5001,"&lt;="&amp;A4457),"PR",""))</f>
        <v/>
      </c>
    </row>
    <row r="4458">
      <c r="A4458" s="7" t="n"/>
      <c r="H4458" s="11">
        <f>IF(OR(D4458="",E4458=""),"",D4458*E4458)</f>
        <v/>
      </c>
      <c r="I4458" s="8">
        <f>IF(OR(D4458="",E4458=""),"",E4458*(1+D4458/30))</f>
        <v/>
      </c>
      <c r="J4458">
        <f>IF(I4458="","",IF(I4458&gt;=MAXIFS($I$2:$I$5001,$B$2:$B$5001,B4458,$A$2:$A$5001,"&lt;="&amp;A4458),"PR",""))</f>
        <v/>
      </c>
    </row>
    <row r="4459">
      <c r="A4459" s="7" t="n"/>
      <c r="H4459" s="11">
        <f>IF(OR(D4459="",E4459=""),"",D4459*E4459)</f>
        <v/>
      </c>
      <c r="I4459" s="8">
        <f>IF(OR(D4459="",E4459=""),"",E4459*(1+D4459/30))</f>
        <v/>
      </c>
      <c r="J4459">
        <f>IF(I4459="","",IF(I4459&gt;=MAXIFS($I$2:$I$5001,$B$2:$B$5001,B4459,$A$2:$A$5001,"&lt;="&amp;A4459),"PR",""))</f>
        <v/>
      </c>
    </row>
    <row r="4460">
      <c r="A4460" s="7" t="n"/>
      <c r="H4460" s="11">
        <f>IF(OR(D4460="",E4460=""),"",D4460*E4460)</f>
        <v/>
      </c>
      <c r="I4460" s="8">
        <f>IF(OR(D4460="",E4460=""),"",E4460*(1+D4460/30))</f>
        <v/>
      </c>
      <c r="J4460">
        <f>IF(I4460="","",IF(I4460&gt;=MAXIFS($I$2:$I$5001,$B$2:$B$5001,B4460,$A$2:$A$5001,"&lt;="&amp;A4460),"PR",""))</f>
        <v/>
      </c>
    </row>
    <row r="4461">
      <c r="A4461" s="7" t="n"/>
      <c r="H4461" s="11">
        <f>IF(OR(D4461="",E4461=""),"",D4461*E4461)</f>
        <v/>
      </c>
      <c r="I4461" s="8">
        <f>IF(OR(D4461="",E4461=""),"",E4461*(1+D4461/30))</f>
        <v/>
      </c>
      <c r="J4461">
        <f>IF(I4461="","",IF(I4461&gt;=MAXIFS($I$2:$I$5001,$B$2:$B$5001,B4461,$A$2:$A$5001,"&lt;="&amp;A4461),"PR",""))</f>
        <v/>
      </c>
    </row>
    <row r="4462">
      <c r="A4462" s="7" t="n"/>
      <c r="H4462" s="11">
        <f>IF(OR(D4462="",E4462=""),"",D4462*E4462)</f>
        <v/>
      </c>
      <c r="I4462" s="8">
        <f>IF(OR(D4462="",E4462=""),"",E4462*(1+D4462/30))</f>
        <v/>
      </c>
      <c r="J4462">
        <f>IF(I4462="","",IF(I4462&gt;=MAXIFS($I$2:$I$5001,$B$2:$B$5001,B4462,$A$2:$A$5001,"&lt;="&amp;A4462),"PR",""))</f>
        <v/>
      </c>
    </row>
    <row r="4463">
      <c r="A4463" s="7" t="n"/>
      <c r="H4463" s="11">
        <f>IF(OR(D4463="",E4463=""),"",D4463*E4463)</f>
        <v/>
      </c>
      <c r="I4463" s="8">
        <f>IF(OR(D4463="",E4463=""),"",E4463*(1+D4463/30))</f>
        <v/>
      </c>
      <c r="J4463">
        <f>IF(I4463="","",IF(I4463&gt;=MAXIFS($I$2:$I$5001,$B$2:$B$5001,B4463,$A$2:$A$5001,"&lt;="&amp;A4463),"PR",""))</f>
        <v/>
      </c>
    </row>
    <row r="4464">
      <c r="A4464" s="7" t="n"/>
      <c r="H4464" s="11">
        <f>IF(OR(D4464="",E4464=""),"",D4464*E4464)</f>
        <v/>
      </c>
      <c r="I4464" s="8">
        <f>IF(OR(D4464="",E4464=""),"",E4464*(1+D4464/30))</f>
        <v/>
      </c>
      <c r="J4464">
        <f>IF(I4464="","",IF(I4464&gt;=MAXIFS($I$2:$I$5001,$B$2:$B$5001,B4464,$A$2:$A$5001,"&lt;="&amp;A4464),"PR",""))</f>
        <v/>
      </c>
    </row>
    <row r="4465">
      <c r="A4465" s="7" t="n"/>
      <c r="H4465" s="11">
        <f>IF(OR(D4465="",E4465=""),"",D4465*E4465)</f>
        <v/>
      </c>
      <c r="I4465" s="8">
        <f>IF(OR(D4465="",E4465=""),"",E4465*(1+D4465/30))</f>
        <v/>
      </c>
      <c r="J4465">
        <f>IF(I4465="","",IF(I4465&gt;=MAXIFS($I$2:$I$5001,$B$2:$B$5001,B4465,$A$2:$A$5001,"&lt;="&amp;A4465),"PR",""))</f>
        <v/>
      </c>
    </row>
    <row r="4466">
      <c r="A4466" s="7" t="n"/>
      <c r="H4466" s="11">
        <f>IF(OR(D4466="",E4466=""),"",D4466*E4466)</f>
        <v/>
      </c>
      <c r="I4466" s="8">
        <f>IF(OR(D4466="",E4466=""),"",E4466*(1+D4466/30))</f>
        <v/>
      </c>
      <c r="J4466">
        <f>IF(I4466="","",IF(I4466&gt;=MAXIFS($I$2:$I$5001,$B$2:$B$5001,B4466,$A$2:$A$5001,"&lt;="&amp;A4466),"PR",""))</f>
        <v/>
      </c>
    </row>
    <row r="4467">
      <c r="A4467" s="7" t="n"/>
      <c r="H4467" s="11">
        <f>IF(OR(D4467="",E4467=""),"",D4467*E4467)</f>
        <v/>
      </c>
      <c r="I4467" s="8">
        <f>IF(OR(D4467="",E4467=""),"",E4467*(1+D4467/30))</f>
        <v/>
      </c>
      <c r="J4467">
        <f>IF(I4467="","",IF(I4467&gt;=MAXIFS($I$2:$I$5001,$B$2:$B$5001,B4467,$A$2:$A$5001,"&lt;="&amp;A4467),"PR",""))</f>
        <v/>
      </c>
    </row>
    <row r="4468">
      <c r="A4468" s="7" t="n"/>
      <c r="H4468" s="11">
        <f>IF(OR(D4468="",E4468=""),"",D4468*E4468)</f>
        <v/>
      </c>
      <c r="I4468" s="8">
        <f>IF(OR(D4468="",E4468=""),"",E4468*(1+D4468/30))</f>
        <v/>
      </c>
      <c r="J4468">
        <f>IF(I4468="","",IF(I4468&gt;=MAXIFS($I$2:$I$5001,$B$2:$B$5001,B4468,$A$2:$A$5001,"&lt;="&amp;A4468),"PR",""))</f>
        <v/>
      </c>
    </row>
    <row r="4469">
      <c r="A4469" s="7" t="n"/>
      <c r="H4469" s="11">
        <f>IF(OR(D4469="",E4469=""),"",D4469*E4469)</f>
        <v/>
      </c>
      <c r="I4469" s="8">
        <f>IF(OR(D4469="",E4469=""),"",E4469*(1+D4469/30))</f>
        <v/>
      </c>
      <c r="J4469">
        <f>IF(I4469="","",IF(I4469&gt;=MAXIFS($I$2:$I$5001,$B$2:$B$5001,B4469,$A$2:$A$5001,"&lt;="&amp;A4469),"PR",""))</f>
        <v/>
      </c>
    </row>
    <row r="4470">
      <c r="A4470" s="7" t="n"/>
      <c r="H4470" s="11">
        <f>IF(OR(D4470="",E4470=""),"",D4470*E4470)</f>
        <v/>
      </c>
      <c r="I4470" s="8">
        <f>IF(OR(D4470="",E4470=""),"",E4470*(1+D4470/30))</f>
        <v/>
      </c>
      <c r="J4470">
        <f>IF(I4470="","",IF(I4470&gt;=MAXIFS($I$2:$I$5001,$B$2:$B$5001,B4470,$A$2:$A$5001,"&lt;="&amp;A4470),"PR",""))</f>
        <v/>
      </c>
    </row>
    <row r="4471">
      <c r="A4471" s="7" t="n"/>
      <c r="H4471" s="11">
        <f>IF(OR(D4471="",E4471=""),"",D4471*E4471)</f>
        <v/>
      </c>
      <c r="I4471" s="8">
        <f>IF(OR(D4471="",E4471=""),"",E4471*(1+D4471/30))</f>
        <v/>
      </c>
      <c r="J4471">
        <f>IF(I4471="","",IF(I4471&gt;=MAXIFS($I$2:$I$5001,$B$2:$B$5001,B4471,$A$2:$A$5001,"&lt;="&amp;A4471),"PR",""))</f>
        <v/>
      </c>
    </row>
    <row r="4472">
      <c r="A4472" s="7" t="n"/>
      <c r="H4472" s="11">
        <f>IF(OR(D4472="",E4472=""),"",D4472*E4472)</f>
        <v/>
      </c>
      <c r="I4472" s="8">
        <f>IF(OR(D4472="",E4472=""),"",E4472*(1+D4472/30))</f>
        <v/>
      </c>
      <c r="J4472">
        <f>IF(I4472="","",IF(I4472&gt;=MAXIFS($I$2:$I$5001,$B$2:$B$5001,B4472,$A$2:$A$5001,"&lt;="&amp;A4472),"PR",""))</f>
        <v/>
      </c>
    </row>
    <row r="4473">
      <c r="A4473" s="7" t="n"/>
      <c r="H4473" s="11">
        <f>IF(OR(D4473="",E4473=""),"",D4473*E4473)</f>
        <v/>
      </c>
      <c r="I4473" s="8">
        <f>IF(OR(D4473="",E4473=""),"",E4473*(1+D4473/30))</f>
        <v/>
      </c>
      <c r="J4473">
        <f>IF(I4473="","",IF(I4473&gt;=MAXIFS($I$2:$I$5001,$B$2:$B$5001,B4473,$A$2:$A$5001,"&lt;="&amp;A4473),"PR",""))</f>
        <v/>
      </c>
    </row>
    <row r="4474">
      <c r="A4474" s="7" t="n"/>
      <c r="H4474" s="11">
        <f>IF(OR(D4474="",E4474=""),"",D4474*E4474)</f>
        <v/>
      </c>
      <c r="I4474" s="8">
        <f>IF(OR(D4474="",E4474=""),"",E4474*(1+D4474/30))</f>
        <v/>
      </c>
      <c r="J4474">
        <f>IF(I4474="","",IF(I4474&gt;=MAXIFS($I$2:$I$5001,$B$2:$B$5001,B4474,$A$2:$A$5001,"&lt;="&amp;A4474),"PR",""))</f>
        <v/>
      </c>
    </row>
    <row r="4475">
      <c r="A4475" s="7" t="n"/>
      <c r="H4475" s="11">
        <f>IF(OR(D4475="",E4475=""),"",D4475*E4475)</f>
        <v/>
      </c>
      <c r="I4475" s="8">
        <f>IF(OR(D4475="",E4475=""),"",E4475*(1+D4475/30))</f>
        <v/>
      </c>
      <c r="J4475">
        <f>IF(I4475="","",IF(I4475&gt;=MAXIFS($I$2:$I$5001,$B$2:$B$5001,B4475,$A$2:$A$5001,"&lt;="&amp;A4475),"PR",""))</f>
        <v/>
      </c>
    </row>
    <row r="4476">
      <c r="A4476" s="7" t="n"/>
      <c r="H4476" s="11">
        <f>IF(OR(D4476="",E4476=""),"",D4476*E4476)</f>
        <v/>
      </c>
      <c r="I4476" s="8">
        <f>IF(OR(D4476="",E4476=""),"",E4476*(1+D4476/30))</f>
        <v/>
      </c>
      <c r="J4476">
        <f>IF(I4476="","",IF(I4476&gt;=MAXIFS($I$2:$I$5001,$B$2:$B$5001,B4476,$A$2:$A$5001,"&lt;="&amp;A4476),"PR",""))</f>
        <v/>
      </c>
    </row>
    <row r="4477">
      <c r="A4477" s="7" t="n"/>
      <c r="H4477" s="11">
        <f>IF(OR(D4477="",E4477=""),"",D4477*E4477)</f>
        <v/>
      </c>
      <c r="I4477" s="8">
        <f>IF(OR(D4477="",E4477=""),"",E4477*(1+D4477/30))</f>
        <v/>
      </c>
      <c r="J4477">
        <f>IF(I4477="","",IF(I4477&gt;=MAXIFS($I$2:$I$5001,$B$2:$B$5001,B4477,$A$2:$A$5001,"&lt;="&amp;A4477),"PR",""))</f>
        <v/>
      </c>
    </row>
    <row r="4478">
      <c r="A4478" s="7" t="n"/>
      <c r="H4478" s="11">
        <f>IF(OR(D4478="",E4478=""),"",D4478*E4478)</f>
        <v/>
      </c>
      <c r="I4478" s="8">
        <f>IF(OR(D4478="",E4478=""),"",E4478*(1+D4478/30))</f>
        <v/>
      </c>
      <c r="J4478">
        <f>IF(I4478="","",IF(I4478&gt;=MAXIFS($I$2:$I$5001,$B$2:$B$5001,B4478,$A$2:$A$5001,"&lt;="&amp;A4478),"PR",""))</f>
        <v/>
      </c>
    </row>
    <row r="4479">
      <c r="A4479" s="7" t="n"/>
      <c r="H4479" s="11">
        <f>IF(OR(D4479="",E4479=""),"",D4479*E4479)</f>
        <v/>
      </c>
      <c r="I4479" s="8">
        <f>IF(OR(D4479="",E4479=""),"",E4479*(1+D4479/30))</f>
        <v/>
      </c>
      <c r="J4479">
        <f>IF(I4479="","",IF(I4479&gt;=MAXIFS($I$2:$I$5001,$B$2:$B$5001,B4479,$A$2:$A$5001,"&lt;="&amp;A4479),"PR",""))</f>
        <v/>
      </c>
    </row>
    <row r="4480">
      <c r="A4480" s="7" t="n"/>
      <c r="H4480" s="11">
        <f>IF(OR(D4480="",E4480=""),"",D4480*E4480)</f>
        <v/>
      </c>
      <c r="I4480" s="8">
        <f>IF(OR(D4480="",E4480=""),"",E4480*(1+D4480/30))</f>
        <v/>
      </c>
      <c r="J4480">
        <f>IF(I4480="","",IF(I4480&gt;=MAXIFS($I$2:$I$5001,$B$2:$B$5001,B4480,$A$2:$A$5001,"&lt;="&amp;A4480),"PR",""))</f>
        <v/>
      </c>
    </row>
    <row r="4481">
      <c r="A4481" s="7" t="n"/>
      <c r="H4481" s="11">
        <f>IF(OR(D4481="",E4481=""),"",D4481*E4481)</f>
        <v/>
      </c>
      <c r="I4481" s="8">
        <f>IF(OR(D4481="",E4481=""),"",E4481*(1+D4481/30))</f>
        <v/>
      </c>
      <c r="J4481">
        <f>IF(I4481="","",IF(I4481&gt;=MAXIFS($I$2:$I$5001,$B$2:$B$5001,B4481,$A$2:$A$5001,"&lt;="&amp;A4481),"PR",""))</f>
        <v/>
      </c>
    </row>
    <row r="4482">
      <c r="A4482" s="7" t="n"/>
      <c r="H4482" s="11">
        <f>IF(OR(D4482="",E4482=""),"",D4482*E4482)</f>
        <v/>
      </c>
      <c r="I4482" s="8">
        <f>IF(OR(D4482="",E4482=""),"",E4482*(1+D4482/30))</f>
        <v/>
      </c>
      <c r="J4482">
        <f>IF(I4482="","",IF(I4482&gt;=MAXIFS($I$2:$I$5001,$B$2:$B$5001,B4482,$A$2:$A$5001,"&lt;="&amp;A4482),"PR",""))</f>
        <v/>
      </c>
    </row>
    <row r="4483">
      <c r="A4483" s="7" t="n"/>
      <c r="H4483" s="11">
        <f>IF(OR(D4483="",E4483=""),"",D4483*E4483)</f>
        <v/>
      </c>
      <c r="I4483" s="8">
        <f>IF(OR(D4483="",E4483=""),"",E4483*(1+D4483/30))</f>
        <v/>
      </c>
      <c r="J4483">
        <f>IF(I4483="","",IF(I4483&gt;=MAXIFS($I$2:$I$5001,$B$2:$B$5001,B4483,$A$2:$A$5001,"&lt;="&amp;A4483),"PR",""))</f>
        <v/>
      </c>
    </row>
    <row r="4484">
      <c r="A4484" s="7" t="n"/>
      <c r="H4484" s="11">
        <f>IF(OR(D4484="",E4484=""),"",D4484*E4484)</f>
        <v/>
      </c>
      <c r="I4484" s="8">
        <f>IF(OR(D4484="",E4484=""),"",E4484*(1+D4484/30))</f>
        <v/>
      </c>
      <c r="J4484">
        <f>IF(I4484="","",IF(I4484&gt;=MAXIFS($I$2:$I$5001,$B$2:$B$5001,B4484,$A$2:$A$5001,"&lt;="&amp;A4484),"PR",""))</f>
        <v/>
      </c>
    </row>
    <row r="4485">
      <c r="A4485" s="7" t="n"/>
      <c r="H4485" s="11">
        <f>IF(OR(D4485="",E4485=""),"",D4485*E4485)</f>
        <v/>
      </c>
      <c r="I4485" s="8">
        <f>IF(OR(D4485="",E4485=""),"",E4485*(1+D4485/30))</f>
        <v/>
      </c>
      <c r="J4485">
        <f>IF(I4485="","",IF(I4485&gt;=MAXIFS($I$2:$I$5001,$B$2:$B$5001,B4485,$A$2:$A$5001,"&lt;="&amp;A4485),"PR",""))</f>
        <v/>
      </c>
    </row>
    <row r="4486">
      <c r="A4486" s="7" t="n"/>
      <c r="H4486" s="11">
        <f>IF(OR(D4486="",E4486=""),"",D4486*E4486)</f>
        <v/>
      </c>
      <c r="I4486" s="8">
        <f>IF(OR(D4486="",E4486=""),"",E4486*(1+D4486/30))</f>
        <v/>
      </c>
      <c r="J4486">
        <f>IF(I4486="","",IF(I4486&gt;=MAXIFS($I$2:$I$5001,$B$2:$B$5001,B4486,$A$2:$A$5001,"&lt;="&amp;A4486),"PR",""))</f>
        <v/>
      </c>
    </row>
    <row r="4487">
      <c r="A4487" s="7" t="n"/>
      <c r="H4487" s="11">
        <f>IF(OR(D4487="",E4487=""),"",D4487*E4487)</f>
        <v/>
      </c>
      <c r="I4487" s="8">
        <f>IF(OR(D4487="",E4487=""),"",E4487*(1+D4487/30))</f>
        <v/>
      </c>
      <c r="J4487">
        <f>IF(I4487="","",IF(I4487&gt;=MAXIFS($I$2:$I$5001,$B$2:$B$5001,B4487,$A$2:$A$5001,"&lt;="&amp;A4487),"PR",""))</f>
        <v/>
      </c>
    </row>
    <row r="4488">
      <c r="A4488" s="7" t="n"/>
      <c r="H4488" s="11">
        <f>IF(OR(D4488="",E4488=""),"",D4488*E4488)</f>
        <v/>
      </c>
      <c r="I4488" s="8">
        <f>IF(OR(D4488="",E4488=""),"",E4488*(1+D4488/30))</f>
        <v/>
      </c>
      <c r="J4488">
        <f>IF(I4488="","",IF(I4488&gt;=MAXIFS($I$2:$I$5001,$B$2:$B$5001,B4488,$A$2:$A$5001,"&lt;="&amp;A4488),"PR",""))</f>
        <v/>
      </c>
    </row>
    <row r="4489">
      <c r="A4489" s="7" t="n"/>
      <c r="H4489" s="11">
        <f>IF(OR(D4489="",E4489=""),"",D4489*E4489)</f>
        <v/>
      </c>
      <c r="I4489" s="8">
        <f>IF(OR(D4489="",E4489=""),"",E4489*(1+D4489/30))</f>
        <v/>
      </c>
      <c r="J4489">
        <f>IF(I4489="","",IF(I4489&gt;=MAXIFS($I$2:$I$5001,$B$2:$B$5001,B4489,$A$2:$A$5001,"&lt;="&amp;A4489),"PR",""))</f>
        <v/>
      </c>
    </row>
    <row r="4490">
      <c r="A4490" s="7" t="n"/>
      <c r="H4490" s="11">
        <f>IF(OR(D4490="",E4490=""),"",D4490*E4490)</f>
        <v/>
      </c>
      <c r="I4490" s="8">
        <f>IF(OR(D4490="",E4490=""),"",E4490*(1+D4490/30))</f>
        <v/>
      </c>
      <c r="J4490">
        <f>IF(I4490="","",IF(I4490&gt;=MAXIFS($I$2:$I$5001,$B$2:$B$5001,B4490,$A$2:$A$5001,"&lt;="&amp;A4490),"PR",""))</f>
        <v/>
      </c>
    </row>
    <row r="4491">
      <c r="A4491" s="7" t="n"/>
      <c r="H4491" s="11">
        <f>IF(OR(D4491="",E4491=""),"",D4491*E4491)</f>
        <v/>
      </c>
      <c r="I4491" s="8">
        <f>IF(OR(D4491="",E4491=""),"",E4491*(1+D4491/30))</f>
        <v/>
      </c>
      <c r="J4491">
        <f>IF(I4491="","",IF(I4491&gt;=MAXIFS($I$2:$I$5001,$B$2:$B$5001,B4491,$A$2:$A$5001,"&lt;="&amp;A4491),"PR",""))</f>
        <v/>
      </c>
    </row>
    <row r="4492">
      <c r="A4492" s="7" t="n"/>
      <c r="H4492" s="11">
        <f>IF(OR(D4492="",E4492=""),"",D4492*E4492)</f>
        <v/>
      </c>
      <c r="I4492" s="8">
        <f>IF(OR(D4492="",E4492=""),"",E4492*(1+D4492/30))</f>
        <v/>
      </c>
      <c r="J4492">
        <f>IF(I4492="","",IF(I4492&gt;=MAXIFS($I$2:$I$5001,$B$2:$B$5001,B4492,$A$2:$A$5001,"&lt;="&amp;A4492),"PR",""))</f>
        <v/>
      </c>
    </row>
    <row r="4493">
      <c r="A4493" s="7" t="n"/>
      <c r="H4493" s="11">
        <f>IF(OR(D4493="",E4493=""),"",D4493*E4493)</f>
        <v/>
      </c>
      <c r="I4493" s="8">
        <f>IF(OR(D4493="",E4493=""),"",E4493*(1+D4493/30))</f>
        <v/>
      </c>
      <c r="J4493">
        <f>IF(I4493="","",IF(I4493&gt;=MAXIFS($I$2:$I$5001,$B$2:$B$5001,B4493,$A$2:$A$5001,"&lt;="&amp;A4493),"PR",""))</f>
        <v/>
      </c>
    </row>
    <row r="4494">
      <c r="A4494" s="7" t="n"/>
      <c r="H4494" s="11">
        <f>IF(OR(D4494="",E4494=""),"",D4494*E4494)</f>
        <v/>
      </c>
      <c r="I4494" s="8">
        <f>IF(OR(D4494="",E4494=""),"",E4494*(1+D4494/30))</f>
        <v/>
      </c>
      <c r="J4494">
        <f>IF(I4494="","",IF(I4494&gt;=MAXIFS($I$2:$I$5001,$B$2:$B$5001,B4494,$A$2:$A$5001,"&lt;="&amp;A4494),"PR",""))</f>
        <v/>
      </c>
    </row>
    <row r="4495">
      <c r="A4495" s="7" t="n"/>
      <c r="H4495" s="11">
        <f>IF(OR(D4495="",E4495=""),"",D4495*E4495)</f>
        <v/>
      </c>
      <c r="I4495" s="8">
        <f>IF(OR(D4495="",E4495=""),"",E4495*(1+D4495/30))</f>
        <v/>
      </c>
      <c r="J4495">
        <f>IF(I4495="","",IF(I4495&gt;=MAXIFS($I$2:$I$5001,$B$2:$B$5001,B4495,$A$2:$A$5001,"&lt;="&amp;A4495),"PR",""))</f>
        <v/>
      </c>
    </row>
    <row r="4496">
      <c r="A4496" s="7" t="n"/>
      <c r="H4496" s="11">
        <f>IF(OR(D4496="",E4496=""),"",D4496*E4496)</f>
        <v/>
      </c>
      <c r="I4496" s="8">
        <f>IF(OR(D4496="",E4496=""),"",E4496*(1+D4496/30))</f>
        <v/>
      </c>
      <c r="J4496">
        <f>IF(I4496="","",IF(I4496&gt;=MAXIFS($I$2:$I$5001,$B$2:$B$5001,B4496,$A$2:$A$5001,"&lt;="&amp;A4496),"PR",""))</f>
        <v/>
      </c>
    </row>
    <row r="4497">
      <c r="A4497" s="7" t="n"/>
      <c r="H4497" s="11">
        <f>IF(OR(D4497="",E4497=""),"",D4497*E4497)</f>
        <v/>
      </c>
      <c r="I4497" s="8">
        <f>IF(OR(D4497="",E4497=""),"",E4497*(1+D4497/30))</f>
        <v/>
      </c>
      <c r="J4497">
        <f>IF(I4497="","",IF(I4497&gt;=MAXIFS($I$2:$I$5001,$B$2:$B$5001,B4497,$A$2:$A$5001,"&lt;="&amp;A4497),"PR",""))</f>
        <v/>
      </c>
    </row>
    <row r="4498">
      <c r="A4498" s="7" t="n"/>
      <c r="H4498" s="11">
        <f>IF(OR(D4498="",E4498=""),"",D4498*E4498)</f>
        <v/>
      </c>
      <c r="I4498" s="8">
        <f>IF(OR(D4498="",E4498=""),"",E4498*(1+D4498/30))</f>
        <v/>
      </c>
      <c r="J4498">
        <f>IF(I4498="","",IF(I4498&gt;=MAXIFS($I$2:$I$5001,$B$2:$B$5001,B4498,$A$2:$A$5001,"&lt;="&amp;A4498),"PR",""))</f>
        <v/>
      </c>
    </row>
    <row r="4499">
      <c r="A4499" s="7" t="n"/>
      <c r="H4499" s="11">
        <f>IF(OR(D4499="",E4499=""),"",D4499*E4499)</f>
        <v/>
      </c>
      <c r="I4499" s="8">
        <f>IF(OR(D4499="",E4499=""),"",E4499*(1+D4499/30))</f>
        <v/>
      </c>
      <c r="J4499">
        <f>IF(I4499="","",IF(I4499&gt;=MAXIFS($I$2:$I$5001,$B$2:$B$5001,B4499,$A$2:$A$5001,"&lt;="&amp;A4499),"PR",""))</f>
        <v/>
      </c>
    </row>
    <row r="4500">
      <c r="A4500" s="7" t="n"/>
      <c r="H4500" s="11">
        <f>IF(OR(D4500="",E4500=""),"",D4500*E4500)</f>
        <v/>
      </c>
      <c r="I4500" s="8">
        <f>IF(OR(D4500="",E4500=""),"",E4500*(1+D4500/30))</f>
        <v/>
      </c>
      <c r="J4500">
        <f>IF(I4500="","",IF(I4500&gt;=MAXIFS($I$2:$I$5001,$B$2:$B$5001,B4500,$A$2:$A$5001,"&lt;="&amp;A4500),"PR",""))</f>
        <v/>
      </c>
    </row>
    <row r="4501">
      <c r="A4501" s="7" t="n"/>
      <c r="H4501" s="11">
        <f>IF(OR(D4501="",E4501=""),"",D4501*E4501)</f>
        <v/>
      </c>
      <c r="I4501" s="8">
        <f>IF(OR(D4501="",E4501=""),"",E4501*(1+D4501/30))</f>
        <v/>
      </c>
      <c r="J4501">
        <f>IF(I4501="","",IF(I4501&gt;=MAXIFS($I$2:$I$5001,$B$2:$B$5001,B4501,$A$2:$A$5001,"&lt;="&amp;A4501),"PR",""))</f>
        <v/>
      </c>
    </row>
    <row r="4502">
      <c r="A4502" s="7" t="n"/>
      <c r="H4502" s="11">
        <f>IF(OR(D4502="",E4502=""),"",D4502*E4502)</f>
        <v/>
      </c>
      <c r="I4502" s="8">
        <f>IF(OR(D4502="",E4502=""),"",E4502*(1+D4502/30))</f>
        <v/>
      </c>
      <c r="J4502">
        <f>IF(I4502="","",IF(I4502&gt;=MAXIFS($I$2:$I$5001,$B$2:$B$5001,B4502,$A$2:$A$5001,"&lt;="&amp;A4502),"PR",""))</f>
        <v/>
      </c>
    </row>
    <row r="4503">
      <c r="A4503" s="7" t="n"/>
      <c r="H4503" s="11">
        <f>IF(OR(D4503="",E4503=""),"",D4503*E4503)</f>
        <v/>
      </c>
      <c r="I4503" s="8">
        <f>IF(OR(D4503="",E4503=""),"",E4503*(1+D4503/30))</f>
        <v/>
      </c>
      <c r="J4503">
        <f>IF(I4503="","",IF(I4503&gt;=MAXIFS($I$2:$I$5001,$B$2:$B$5001,B4503,$A$2:$A$5001,"&lt;="&amp;A4503),"PR",""))</f>
        <v/>
      </c>
    </row>
    <row r="4504">
      <c r="A4504" s="7" t="n"/>
      <c r="H4504" s="11">
        <f>IF(OR(D4504="",E4504=""),"",D4504*E4504)</f>
        <v/>
      </c>
      <c r="I4504" s="8">
        <f>IF(OR(D4504="",E4504=""),"",E4504*(1+D4504/30))</f>
        <v/>
      </c>
      <c r="J4504">
        <f>IF(I4504="","",IF(I4504&gt;=MAXIFS($I$2:$I$5001,$B$2:$B$5001,B4504,$A$2:$A$5001,"&lt;="&amp;A4504),"PR",""))</f>
        <v/>
      </c>
    </row>
    <row r="4505">
      <c r="A4505" s="7" t="n"/>
      <c r="H4505" s="11">
        <f>IF(OR(D4505="",E4505=""),"",D4505*E4505)</f>
        <v/>
      </c>
      <c r="I4505" s="8">
        <f>IF(OR(D4505="",E4505=""),"",E4505*(1+D4505/30))</f>
        <v/>
      </c>
      <c r="J4505">
        <f>IF(I4505="","",IF(I4505&gt;=MAXIFS($I$2:$I$5001,$B$2:$B$5001,B4505,$A$2:$A$5001,"&lt;="&amp;A4505),"PR",""))</f>
        <v/>
      </c>
    </row>
    <row r="4506">
      <c r="A4506" s="7" t="n"/>
      <c r="H4506" s="11">
        <f>IF(OR(D4506="",E4506=""),"",D4506*E4506)</f>
        <v/>
      </c>
      <c r="I4506" s="8">
        <f>IF(OR(D4506="",E4506=""),"",E4506*(1+D4506/30))</f>
        <v/>
      </c>
      <c r="J4506">
        <f>IF(I4506="","",IF(I4506&gt;=MAXIFS($I$2:$I$5001,$B$2:$B$5001,B4506,$A$2:$A$5001,"&lt;="&amp;A4506),"PR",""))</f>
        <v/>
      </c>
    </row>
    <row r="4507">
      <c r="A4507" s="7" t="n"/>
      <c r="H4507" s="11">
        <f>IF(OR(D4507="",E4507=""),"",D4507*E4507)</f>
        <v/>
      </c>
      <c r="I4507" s="8">
        <f>IF(OR(D4507="",E4507=""),"",E4507*(1+D4507/30))</f>
        <v/>
      </c>
      <c r="J4507">
        <f>IF(I4507="","",IF(I4507&gt;=MAXIFS($I$2:$I$5001,$B$2:$B$5001,B4507,$A$2:$A$5001,"&lt;="&amp;A4507),"PR",""))</f>
        <v/>
      </c>
    </row>
    <row r="4508">
      <c r="A4508" s="7" t="n"/>
      <c r="H4508" s="11">
        <f>IF(OR(D4508="",E4508=""),"",D4508*E4508)</f>
        <v/>
      </c>
      <c r="I4508" s="8">
        <f>IF(OR(D4508="",E4508=""),"",E4508*(1+D4508/30))</f>
        <v/>
      </c>
      <c r="J4508">
        <f>IF(I4508="","",IF(I4508&gt;=MAXIFS($I$2:$I$5001,$B$2:$B$5001,B4508,$A$2:$A$5001,"&lt;="&amp;A4508),"PR",""))</f>
        <v/>
      </c>
    </row>
    <row r="4509">
      <c r="A4509" s="7" t="n"/>
      <c r="H4509" s="11">
        <f>IF(OR(D4509="",E4509=""),"",D4509*E4509)</f>
        <v/>
      </c>
      <c r="I4509" s="8">
        <f>IF(OR(D4509="",E4509=""),"",E4509*(1+D4509/30))</f>
        <v/>
      </c>
      <c r="J4509">
        <f>IF(I4509="","",IF(I4509&gt;=MAXIFS($I$2:$I$5001,$B$2:$B$5001,B4509,$A$2:$A$5001,"&lt;="&amp;A4509),"PR",""))</f>
        <v/>
      </c>
    </row>
    <row r="4510">
      <c r="A4510" s="7" t="n"/>
      <c r="H4510" s="11">
        <f>IF(OR(D4510="",E4510=""),"",D4510*E4510)</f>
        <v/>
      </c>
      <c r="I4510" s="8">
        <f>IF(OR(D4510="",E4510=""),"",E4510*(1+D4510/30))</f>
        <v/>
      </c>
      <c r="J4510">
        <f>IF(I4510="","",IF(I4510&gt;=MAXIFS($I$2:$I$5001,$B$2:$B$5001,B4510,$A$2:$A$5001,"&lt;="&amp;A4510),"PR",""))</f>
        <v/>
      </c>
    </row>
    <row r="4511">
      <c r="A4511" s="7" t="n"/>
      <c r="H4511" s="11">
        <f>IF(OR(D4511="",E4511=""),"",D4511*E4511)</f>
        <v/>
      </c>
      <c r="I4511" s="8">
        <f>IF(OR(D4511="",E4511=""),"",E4511*(1+D4511/30))</f>
        <v/>
      </c>
      <c r="J4511">
        <f>IF(I4511="","",IF(I4511&gt;=MAXIFS($I$2:$I$5001,$B$2:$B$5001,B4511,$A$2:$A$5001,"&lt;="&amp;A4511),"PR",""))</f>
        <v/>
      </c>
    </row>
    <row r="4512">
      <c r="A4512" s="7" t="n"/>
      <c r="H4512" s="11">
        <f>IF(OR(D4512="",E4512=""),"",D4512*E4512)</f>
        <v/>
      </c>
      <c r="I4512" s="8">
        <f>IF(OR(D4512="",E4512=""),"",E4512*(1+D4512/30))</f>
        <v/>
      </c>
      <c r="J4512">
        <f>IF(I4512="","",IF(I4512&gt;=MAXIFS($I$2:$I$5001,$B$2:$B$5001,B4512,$A$2:$A$5001,"&lt;="&amp;A4512),"PR",""))</f>
        <v/>
      </c>
    </row>
    <row r="4513">
      <c r="A4513" s="7" t="n"/>
      <c r="H4513" s="11">
        <f>IF(OR(D4513="",E4513=""),"",D4513*E4513)</f>
        <v/>
      </c>
      <c r="I4513" s="8">
        <f>IF(OR(D4513="",E4513=""),"",E4513*(1+D4513/30))</f>
        <v/>
      </c>
      <c r="J4513">
        <f>IF(I4513="","",IF(I4513&gt;=MAXIFS($I$2:$I$5001,$B$2:$B$5001,B4513,$A$2:$A$5001,"&lt;="&amp;A4513),"PR",""))</f>
        <v/>
      </c>
    </row>
    <row r="4514">
      <c r="A4514" s="7" t="n"/>
      <c r="H4514" s="11">
        <f>IF(OR(D4514="",E4514=""),"",D4514*E4514)</f>
        <v/>
      </c>
      <c r="I4514" s="8">
        <f>IF(OR(D4514="",E4514=""),"",E4514*(1+D4514/30))</f>
        <v/>
      </c>
      <c r="J4514">
        <f>IF(I4514="","",IF(I4514&gt;=MAXIFS($I$2:$I$5001,$B$2:$B$5001,B4514,$A$2:$A$5001,"&lt;="&amp;A4514),"PR",""))</f>
        <v/>
      </c>
    </row>
    <row r="4515">
      <c r="A4515" s="7" t="n"/>
      <c r="H4515" s="11">
        <f>IF(OR(D4515="",E4515=""),"",D4515*E4515)</f>
        <v/>
      </c>
      <c r="I4515" s="8">
        <f>IF(OR(D4515="",E4515=""),"",E4515*(1+D4515/30))</f>
        <v/>
      </c>
      <c r="J4515">
        <f>IF(I4515="","",IF(I4515&gt;=MAXIFS($I$2:$I$5001,$B$2:$B$5001,B4515,$A$2:$A$5001,"&lt;="&amp;A4515),"PR",""))</f>
        <v/>
      </c>
    </row>
    <row r="4516">
      <c r="A4516" s="7" t="n"/>
      <c r="H4516" s="11">
        <f>IF(OR(D4516="",E4516=""),"",D4516*E4516)</f>
        <v/>
      </c>
      <c r="I4516" s="8">
        <f>IF(OR(D4516="",E4516=""),"",E4516*(1+D4516/30))</f>
        <v/>
      </c>
      <c r="J4516">
        <f>IF(I4516="","",IF(I4516&gt;=MAXIFS($I$2:$I$5001,$B$2:$B$5001,B4516,$A$2:$A$5001,"&lt;="&amp;A4516),"PR",""))</f>
        <v/>
      </c>
    </row>
    <row r="4517">
      <c r="A4517" s="7" t="n"/>
      <c r="H4517" s="11">
        <f>IF(OR(D4517="",E4517=""),"",D4517*E4517)</f>
        <v/>
      </c>
      <c r="I4517" s="8">
        <f>IF(OR(D4517="",E4517=""),"",E4517*(1+D4517/30))</f>
        <v/>
      </c>
      <c r="J4517">
        <f>IF(I4517="","",IF(I4517&gt;=MAXIFS($I$2:$I$5001,$B$2:$B$5001,B4517,$A$2:$A$5001,"&lt;="&amp;A4517),"PR",""))</f>
        <v/>
      </c>
    </row>
    <row r="4518">
      <c r="A4518" s="7" t="n"/>
      <c r="H4518" s="11">
        <f>IF(OR(D4518="",E4518=""),"",D4518*E4518)</f>
        <v/>
      </c>
      <c r="I4518" s="8">
        <f>IF(OR(D4518="",E4518=""),"",E4518*(1+D4518/30))</f>
        <v/>
      </c>
      <c r="J4518">
        <f>IF(I4518="","",IF(I4518&gt;=MAXIFS($I$2:$I$5001,$B$2:$B$5001,B4518,$A$2:$A$5001,"&lt;="&amp;A4518),"PR",""))</f>
        <v/>
      </c>
    </row>
    <row r="4519">
      <c r="A4519" s="7" t="n"/>
      <c r="H4519" s="11">
        <f>IF(OR(D4519="",E4519=""),"",D4519*E4519)</f>
        <v/>
      </c>
      <c r="I4519" s="8">
        <f>IF(OR(D4519="",E4519=""),"",E4519*(1+D4519/30))</f>
        <v/>
      </c>
      <c r="J4519">
        <f>IF(I4519="","",IF(I4519&gt;=MAXIFS($I$2:$I$5001,$B$2:$B$5001,B4519,$A$2:$A$5001,"&lt;="&amp;A4519),"PR",""))</f>
        <v/>
      </c>
    </row>
    <row r="4520">
      <c r="A4520" s="7" t="n"/>
      <c r="H4520" s="11">
        <f>IF(OR(D4520="",E4520=""),"",D4520*E4520)</f>
        <v/>
      </c>
      <c r="I4520" s="8">
        <f>IF(OR(D4520="",E4520=""),"",E4520*(1+D4520/30))</f>
        <v/>
      </c>
      <c r="J4520">
        <f>IF(I4520="","",IF(I4520&gt;=MAXIFS($I$2:$I$5001,$B$2:$B$5001,B4520,$A$2:$A$5001,"&lt;="&amp;A4520),"PR",""))</f>
        <v/>
      </c>
    </row>
    <row r="4521">
      <c r="A4521" s="7" t="n"/>
      <c r="H4521" s="11">
        <f>IF(OR(D4521="",E4521=""),"",D4521*E4521)</f>
        <v/>
      </c>
      <c r="I4521" s="8">
        <f>IF(OR(D4521="",E4521=""),"",E4521*(1+D4521/30))</f>
        <v/>
      </c>
      <c r="J4521">
        <f>IF(I4521="","",IF(I4521&gt;=MAXIFS($I$2:$I$5001,$B$2:$B$5001,B4521,$A$2:$A$5001,"&lt;="&amp;A4521),"PR",""))</f>
        <v/>
      </c>
    </row>
    <row r="4522">
      <c r="A4522" s="7" t="n"/>
      <c r="H4522" s="11">
        <f>IF(OR(D4522="",E4522=""),"",D4522*E4522)</f>
        <v/>
      </c>
      <c r="I4522" s="8">
        <f>IF(OR(D4522="",E4522=""),"",E4522*(1+D4522/30))</f>
        <v/>
      </c>
      <c r="J4522">
        <f>IF(I4522="","",IF(I4522&gt;=MAXIFS($I$2:$I$5001,$B$2:$B$5001,B4522,$A$2:$A$5001,"&lt;="&amp;A4522),"PR",""))</f>
        <v/>
      </c>
    </row>
    <row r="4523">
      <c r="A4523" s="7" t="n"/>
      <c r="H4523" s="11">
        <f>IF(OR(D4523="",E4523=""),"",D4523*E4523)</f>
        <v/>
      </c>
      <c r="I4523" s="8">
        <f>IF(OR(D4523="",E4523=""),"",E4523*(1+D4523/30))</f>
        <v/>
      </c>
      <c r="J4523">
        <f>IF(I4523="","",IF(I4523&gt;=MAXIFS($I$2:$I$5001,$B$2:$B$5001,B4523,$A$2:$A$5001,"&lt;="&amp;A4523),"PR",""))</f>
        <v/>
      </c>
    </row>
    <row r="4524">
      <c r="A4524" s="7" t="n"/>
      <c r="H4524" s="11">
        <f>IF(OR(D4524="",E4524=""),"",D4524*E4524)</f>
        <v/>
      </c>
      <c r="I4524" s="8">
        <f>IF(OR(D4524="",E4524=""),"",E4524*(1+D4524/30))</f>
        <v/>
      </c>
      <c r="J4524">
        <f>IF(I4524="","",IF(I4524&gt;=MAXIFS($I$2:$I$5001,$B$2:$B$5001,B4524,$A$2:$A$5001,"&lt;="&amp;A4524),"PR",""))</f>
        <v/>
      </c>
    </row>
    <row r="4525">
      <c r="A4525" s="7" t="n"/>
      <c r="H4525" s="11">
        <f>IF(OR(D4525="",E4525=""),"",D4525*E4525)</f>
        <v/>
      </c>
      <c r="I4525" s="8">
        <f>IF(OR(D4525="",E4525=""),"",E4525*(1+D4525/30))</f>
        <v/>
      </c>
      <c r="J4525">
        <f>IF(I4525="","",IF(I4525&gt;=MAXIFS($I$2:$I$5001,$B$2:$B$5001,B4525,$A$2:$A$5001,"&lt;="&amp;A4525),"PR",""))</f>
        <v/>
      </c>
    </row>
    <row r="4526">
      <c r="A4526" s="7" t="n"/>
      <c r="H4526" s="11">
        <f>IF(OR(D4526="",E4526=""),"",D4526*E4526)</f>
        <v/>
      </c>
      <c r="I4526" s="8">
        <f>IF(OR(D4526="",E4526=""),"",E4526*(1+D4526/30))</f>
        <v/>
      </c>
      <c r="J4526">
        <f>IF(I4526="","",IF(I4526&gt;=MAXIFS($I$2:$I$5001,$B$2:$B$5001,B4526,$A$2:$A$5001,"&lt;="&amp;A4526),"PR",""))</f>
        <v/>
      </c>
    </row>
    <row r="4527">
      <c r="A4527" s="7" t="n"/>
      <c r="H4527" s="11">
        <f>IF(OR(D4527="",E4527=""),"",D4527*E4527)</f>
        <v/>
      </c>
      <c r="I4527" s="8">
        <f>IF(OR(D4527="",E4527=""),"",E4527*(1+D4527/30))</f>
        <v/>
      </c>
      <c r="J4527">
        <f>IF(I4527="","",IF(I4527&gt;=MAXIFS($I$2:$I$5001,$B$2:$B$5001,B4527,$A$2:$A$5001,"&lt;="&amp;A4527),"PR",""))</f>
        <v/>
      </c>
    </row>
    <row r="4528">
      <c r="A4528" s="7" t="n"/>
      <c r="H4528" s="11">
        <f>IF(OR(D4528="",E4528=""),"",D4528*E4528)</f>
        <v/>
      </c>
      <c r="I4528" s="8">
        <f>IF(OR(D4528="",E4528=""),"",E4528*(1+D4528/30))</f>
        <v/>
      </c>
      <c r="J4528">
        <f>IF(I4528="","",IF(I4528&gt;=MAXIFS($I$2:$I$5001,$B$2:$B$5001,B4528,$A$2:$A$5001,"&lt;="&amp;A4528),"PR",""))</f>
        <v/>
      </c>
    </row>
    <row r="4529">
      <c r="A4529" s="7" t="n"/>
      <c r="H4529" s="11">
        <f>IF(OR(D4529="",E4529=""),"",D4529*E4529)</f>
        <v/>
      </c>
      <c r="I4529" s="8">
        <f>IF(OR(D4529="",E4529=""),"",E4529*(1+D4529/30))</f>
        <v/>
      </c>
      <c r="J4529">
        <f>IF(I4529="","",IF(I4529&gt;=MAXIFS($I$2:$I$5001,$B$2:$B$5001,B4529,$A$2:$A$5001,"&lt;="&amp;A4529),"PR",""))</f>
        <v/>
      </c>
    </row>
    <row r="4530">
      <c r="A4530" s="7" t="n"/>
      <c r="H4530" s="11">
        <f>IF(OR(D4530="",E4530=""),"",D4530*E4530)</f>
        <v/>
      </c>
      <c r="I4530" s="8">
        <f>IF(OR(D4530="",E4530=""),"",E4530*(1+D4530/30))</f>
        <v/>
      </c>
      <c r="J4530">
        <f>IF(I4530="","",IF(I4530&gt;=MAXIFS($I$2:$I$5001,$B$2:$B$5001,B4530,$A$2:$A$5001,"&lt;="&amp;A4530),"PR",""))</f>
        <v/>
      </c>
    </row>
    <row r="4531">
      <c r="A4531" s="7" t="n"/>
      <c r="H4531" s="11">
        <f>IF(OR(D4531="",E4531=""),"",D4531*E4531)</f>
        <v/>
      </c>
      <c r="I4531" s="8">
        <f>IF(OR(D4531="",E4531=""),"",E4531*(1+D4531/30))</f>
        <v/>
      </c>
      <c r="J4531">
        <f>IF(I4531="","",IF(I4531&gt;=MAXIFS($I$2:$I$5001,$B$2:$B$5001,B4531,$A$2:$A$5001,"&lt;="&amp;A4531),"PR",""))</f>
        <v/>
      </c>
    </row>
    <row r="4532">
      <c r="A4532" s="7" t="n"/>
      <c r="H4532" s="11">
        <f>IF(OR(D4532="",E4532=""),"",D4532*E4532)</f>
        <v/>
      </c>
      <c r="I4532" s="8">
        <f>IF(OR(D4532="",E4532=""),"",E4532*(1+D4532/30))</f>
        <v/>
      </c>
      <c r="J4532">
        <f>IF(I4532="","",IF(I4532&gt;=MAXIFS($I$2:$I$5001,$B$2:$B$5001,B4532,$A$2:$A$5001,"&lt;="&amp;A4532),"PR",""))</f>
        <v/>
      </c>
    </row>
    <row r="4533">
      <c r="A4533" s="7" t="n"/>
      <c r="H4533" s="11">
        <f>IF(OR(D4533="",E4533=""),"",D4533*E4533)</f>
        <v/>
      </c>
      <c r="I4533" s="8">
        <f>IF(OR(D4533="",E4533=""),"",E4533*(1+D4533/30))</f>
        <v/>
      </c>
      <c r="J4533">
        <f>IF(I4533="","",IF(I4533&gt;=MAXIFS($I$2:$I$5001,$B$2:$B$5001,B4533,$A$2:$A$5001,"&lt;="&amp;A4533),"PR",""))</f>
        <v/>
      </c>
    </row>
    <row r="4534">
      <c r="A4534" s="7" t="n"/>
      <c r="H4534" s="11">
        <f>IF(OR(D4534="",E4534=""),"",D4534*E4534)</f>
        <v/>
      </c>
      <c r="I4534" s="8">
        <f>IF(OR(D4534="",E4534=""),"",E4534*(1+D4534/30))</f>
        <v/>
      </c>
      <c r="J4534">
        <f>IF(I4534="","",IF(I4534&gt;=MAXIFS($I$2:$I$5001,$B$2:$B$5001,B4534,$A$2:$A$5001,"&lt;="&amp;A4534),"PR",""))</f>
        <v/>
      </c>
    </row>
    <row r="4535">
      <c r="A4535" s="7" t="n"/>
      <c r="H4535" s="11">
        <f>IF(OR(D4535="",E4535=""),"",D4535*E4535)</f>
        <v/>
      </c>
      <c r="I4535" s="8">
        <f>IF(OR(D4535="",E4535=""),"",E4535*(1+D4535/30))</f>
        <v/>
      </c>
      <c r="J4535">
        <f>IF(I4535="","",IF(I4535&gt;=MAXIFS($I$2:$I$5001,$B$2:$B$5001,B4535,$A$2:$A$5001,"&lt;="&amp;A4535),"PR",""))</f>
        <v/>
      </c>
    </row>
    <row r="4536">
      <c r="A4536" s="7" t="n"/>
      <c r="H4536" s="11">
        <f>IF(OR(D4536="",E4536=""),"",D4536*E4536)</f>
        <v/>
      </c>
      <c r="I4536" s="8">
        <f>IF(OR(D4536="",E4536=""),"",E4536*(1+D4536/30))</f>
        <v/>
      </c>
      <c r="J4536">
        <f>IF(I4536="","",IF(I4536&gt;=MAXIFS($I$2:$I$5001,$B$2:$B$5001,B4536,$A$2:$A$5001,"&lt;="&amp;A4536),"PR",""))</f>
        <v/>
      </c>
    </row>
    <row r="4537">
      <c r="A4537" s="7" t="n"/>
      <c r="H4537" s="11">
        <f>IF(OR(D4537="",E4537=""),"",D4537*E4537)</f>
        <v/>
      </c>
      <c r="I4537" s="8">
        <f>IF(OR(D4537="",E4537=""),"",E4537*(1+D4537/30))</f>
        <v/>
      </c>
      <c r="J4537">
        <f>IF(I4537="","",IF(I4537&gt;=MAXIFS($I$2:$I$5001,$B$2:$B$5001,B4537,$A$2:$A$5001,"&lt;="&amp;A4537),"PR",""))</f>
        <v/>
      </c>
    </row>
    <row r="4538">
      <c r="A4538" s="7" t="n"/>
      <c r="H4538" s="11">
        <f>IF(OR(D4538="",E4538=""),"",D4538*E4538)</f>
        <v/>
      </c>
      <c r="I4538" s="8">
        <f>IF(OR(D4538="",E4538=""),"",E4538*(1+D4538/30))</f>
        <v/>
      </c>
      <c r="J4538">
        <f>IF(I4538="","",IF(I4538&gt;=MAXIFS($I$2:$I$5001,$B$2:$B$5001,B4538,$A$2:$A$5001,"&lt;="&amp;A4538),"PR",""))</f>
        <v/>
      </c>
    </row>
    <row r="4539">
      <c r="A4539" s="7" t="n"/>
      <c r="H4539" s="11">
        <f>IF(OR(D4539="",E4539=""),"",D4539*E4539)</f>
        <v/>
      </c>
      <c r="I4539" s="8">
        <f>IF(OR(D4539="",E4539=""),"",E4539*(1+D4539/30))</f>
        <v/>
      </c>
      <c r="J4539">
        <f>IF(I4539="","",IF(I4539&gt;=MAXIFS($I$2:$I$5001,$B$2:$B$5001,B4539,$A$2:$A$5001,"&lt;="&amp;A4539),"PR",""))</f>
        <v/>
      </c>
    </row>
    <row r="4540">
      <c r="A4540" s="7" t="n"/>
      <c r="H4540" s="11">
        <f>IF(OR(D4540="",E4540=""),"",D4540*E4540)</f>
        <v/>
      </c>
      <c r="I4540" s="8">
        <f>IF(OR(D4540="",E4540=""),"",E4540*(1+D4540/30))</f>
        <v/>
      </c>
      <c r="J4540">
        <f>IF(I4540="","",IF(I4540&gt;=MAXIFS($I$2:$I$5001,$B$2:$B$5001,B4540,$A$2:$A$5001,"&lt;="&amp;A4540),"PR",""))</f>
        <v/>
      </c>
    </row>
    <row r="4541">
      <c r="A4541" s="7" t="n"/>
      <c r="H4541" s="11">
        <f>IF(OR(D4541="",E4541=""),"",D4541*E4541)</f>
        <v/>
      </c>
      <c r="I4541" s="8">
        <f>IF(OR(D4541="",E4541=""),"",E4541*(1+D4541/30))</f>
        <v/>
      </c>
      <c r="J4541">
        <f>IF(I4541="","",IF(I4541&gt;=MAXIFS($I$2:$I$5001,$B$2:$B$5001,B4541,$A$2:$A$5001,"&lt;="&amp;A4541),"PR",""))</f>
        <v/>
      </c>
    </row>
    <row r="4542">
      <c r="A4542" s="7" t="n"/>
      <c r="H4542" s="11">
        <f>IF(OR(D4542="",E4542=""),"",D4542*E4542)</f>
        <v/>
      </c>
      <c r="I4542" s="8">
        <f>IF(OR(D4542="",E4542=""),"",E4542*(1+D4542/30))</f>
        <v/>
      </c>
      <c r="J4542">
        <f>IF(I4542="","",IF(I4542&gt;=MAXIFS($I$2:$I$5001,$B$2:$B$5001,B4542,$A$2:$A$5001,"&lt;="&amp;A4542),"PR",""))</f>
        <v/>
      </c>
    </row>
    <row r="4543">
      <c r="A4543" s="7" t="n"/>
      <c r="H4543" s="11">
        <f>IF(OR(D4543="",E4543=""),"",D4543*E4543)</f>
        <v/>
      </c>
      <c r="I4543" s="8">
        <f>IF(OR(D4543="",E4543=""),"",E4543*(1+D4543/30))</f>
        <v/>
      </c>
      <c r="J4543">
        <f>IF(I4543="","",IF(I4543&gt;=MAXIFS($I$2:$I$5001,$B$2:$B$5001,B4543,$A$2:$A$5001,"&lt;="&amp;A4543),"PR",""))</f>
        <v/>
      </c>
    </row>
    <row r="4544">
      <c r="A4544" s="7" t="n"/>
      <c r="H4544" s="11">
        <f>IF(OR(D4544="",E4544=""),"",D4544*E4544)</f>
        <v/>
      </c>
      <c r="I4544" s="8">
        <f>IF(OR(D4544="",E4544=""),"",E4544*(1+D4544/30))</f>
        <v/>
      </c>
      <c r="J4544">
        <f>IF(I4544="","",IF(I4544&gt;=MAXIFS($I$2:$I$5001,$B$2:$B$5001,B4544,$A$2:$A$5001,"&lt;="&amp;A4544),"PR",""))</f>
        <v/>
      </c>
    </row>
    <row r="4545">
      <c r="A4545" s="7" t="n"/>
      <c r="H4545" s="11">
        <f>IF(OR(D4545="",E4545=""),"",D4545*E4545)</f>
        <v/>
      </c>
      <c r="I4545" s="8">
        <f>IF(OR(D4545="",E4545=""),"",E4545*(1+D4545/30))</f>
        <v/>
      </c>
      <c r="J4545">
        <f>IF(I4545="","",IF(I4545&gt;=MAXIFS($I$2:$I$5001,$B$2:$B$5001,B4545,$A$2:$A$5001,"&lt;="&amp;A4545),"PR",""))</f>
        <v/>
      </c>
    </row>
    <row r="4546">
      <c r="A4546" s="7" t="n"/>
      <c r="H4546" s="11">
        <f>IF(OR(D4546="",E4546=""),"",D4546*E4546)</f>
        <v/>
      </c>
      <c r="I4546" s="8">
        <f>IF(OR(D4546="",E4546=""),"",E4546*(1+D4546/30))</f>
        <v/>
      </c>
      <c r="J4546">
        <f>IF(I4546="","",IF(I4546&gt;=MAXIFS($I$2:$I$5001,$B$2:$B$5001,B4546,$A$2:$A$5001,"&lt;="&amp;A4546),"PR",""))</f>
        <v/>
      </c>
    </row>
    <row r="4547">
      <c r="A4547" s="7" t="n"/>
      <c r="H4547" s="11">
        <f>IF(OR(D4547="",E4547=""),"",D4547*E4547)</f>
        <v/>
      </c>
      <c r="I4547" s="8">
        <f>IF(OR(D4547="",E4547=""),"",E4547*(1+D4547/30))</f>
        <v/>
      </c>
      <c r="J4547">
        <f>IF(I4547="","",IF(I4547&gt;=MAXIFS($I$2:$I$5001,$B$2:$B$5001,B4547,$A$2:$A$5001,"&lt;="&amp;A4547),"PR",""))</f>
        <v/>
      </c>
    </row>
    <row r="4548">
      <c r="A4548" s="7" t="n"/>
      <c r="H4548" s="11">
        <f>IF(OR(D4548="",E4548=""),"",D4548*E4548)</f>
        <v/>
      </c>
      <c r="I4548" s="8">
        <f>IF(OR(D4548="",E4548=""),"",E4548*(1+D4548/30))</f>
        <v/>
      </c>
      <c r="J4548">
        <f>IF(I4548="","",IF(I4548&gt;=MAXIFS($I$2:$I$5001,$B$2:$B$5001,B4548,$A$2:$A$5001,"&lt;="&amp;A4548),"PR",""))</f>
        <v/>
      </c>
    </row>
    <row r="4549">
      <c r="A4549" s="7" t="n"/>
      <c r="H4549" s="11">
        <f>IF(OR(D4549="",E4549=""),"",D4549*E4549)</f>
        <v/>
      </c>
      <c r="I4549" s="8">
        <f>IF(OR(D4549="",E4549=""),"",E4549*(1+D4549/30))</f>
        <v/>
      </c>
      <c r="J4549">
        <f>IF(I4549="","",IF(I4549&gt;=MAXIFS($I$2:$I$5001,$B$2:$B$5001,B4549,$A$2:$A$5001,"&lt;="&amp;A4549),"PR",""))</f>
        <v/>
      </c>
    </row>
    <row r="4550">
      <c r="A4550" s="7" t="n"/>
      <c r="H4550" s="11">
        <f>IF(OR(D4550="",E4550=""),"",D4550*E4550)</f>
        <v/>
      </c>
      <c r="I4550" s="8">
        <f>IF(OR(D4550="",E4550=""),"",E4550*(1+D4550/30))</f>
        <v/>
      </c>
      <c r="J4550">
        <f>IF(I4550="","",IF(I4550&gt;=MAXIFS($I$2:$I$5001,$B$2:$B$5001,B4550,$A$2:$A$5001,"&lt;="&amp;A4550),"PR",""))</f>
        <v/>
      </c>
    </row>
    <row r="4551">
      <c r="A4551" s="7" t="n"/>
      <c r="H4551" s="11">
        <f>IF(OR(D4551="",E4551=""),"",D4551*E4551)</f>
        <v/>
      </c>
      <c r="I4551" s="8">
        <f>IF(OR(D4551="",E4551=""),"",E4551*(1+D4551/30))</f>
        <v/>
      </c>
      <c r="J4551">
        <f>IF(I4551="","",IF(I4551&gt;=MAXIFS($I$2:$I$5001,$B$2:$B$5001,B4551,$A$2:$A$5001,"&lt;="&amp;A4551),"PR",""))</f>
        <v/>
      </c>
    </row>
    <row r="4552">
      <c r="A4552" s="7" t="n"/>
      <c r="H4552" s="11">
        <f>IF(OR(D4552="",E4552=""),"",D4552*E4552)</f>
        <v/>
      </c>
      <c r="I4552" s="8">
        <f>IF(OR(D4552="",E4552=""),"",E4552*(1+D4552/30))</f>
        <v/>
      </c>
      <c r="J4552">
        <f>IF(I4552="","",IF(I4552&gt;=MAXIFS($I$2:$I$5001,$B$2:$B$5001,B4552,$A$2:$A$5001,"&lt;="&amp;A4552),"PR",""))</f>
        <v/>
      </c>
    </row>
    <row r="4553">
      <c r="A4553" s="7" t="n"/>
      <c r="H4553" s="11">
        <f>IF(OR(D4553="",E4553=""),"",D4553*E4553)</f>
        <v/>
      </c>
      <c r="I4553" s="8">
        <f>IF(OR(D4553="",E4553=""),"",E4553*(1+D4553/30))</f>
        <v/>
      </c>
      <c r="J4553">
        <f>IF(I4553="","",IF(I4553&gt;=MAXIFS($I$2:$I$5001,$B$2:$B$5001,B4553,$A$2:$A$5001,"&lt;="&amp;A4553),"PR",""))</f>
        <v/>
      </c>
    </row>
    <row r="4554">
      <c r="A4554" s="7" t="n"/>
      <c r="H4554" s="11">
        <f>IF(OR(D4554="",E4554=""),"",D4554*E4554)</f>
        <v/>
      </c>
      <c r="I4554" s="8">
        <f>IF(OR(D4554="",E4554=""),"",E4554*(1+D4554/30))</f>
        <v/>
      </c>
      <c r="J4554">
        <f>IF(I4554="","",IF(I4554&gt;=MAXIFS($I$2:$I$5001,$B$2:$B$5001,B4554,$A$2:$A$5001,"&lt;="&amp;A4554),"PR",""))</f>
        <v/>
      </c>
    </row>
    <row r="4555">
      <c r="A4555" s="7" t="n"/>
      <c r="H4555" s="11">
        <f>IF(OR(D4555="",E4555=""),"",D4555*E4555)</f>
        <v/>
      </c>
      <c r="I4555" s="8">
        <f>IF(OR(D4555="",E4555=""),"",E4555*(1+D4555/30))</f>
        <v/>
      </c>
      <c r="J4555">
        <f>IF(I4555="","",IF(I4555&gt;=MAXIFS($I$2:$I$5001,$B$2:$B$5001,B4555,$A$2:$A$5001,"&lt;="&amp;A4555),"PR",""))</f>
        <v/>
      </c>
    </row>
    <row r="4556">
      <c r="A4556" s="7" t="n"/>
      <c r="H4556" s="11">
        <f>IF(OR(D4556="",E4556=""),"",D4556*E4556)</f>
        <v/>
      </c>
      <c r="I4556" s="8">
        <f>IF(OR(D4556="",E4556=""),"",E4556*(1+D4556/30))</f>
        <v/>
      </c>
      <c r="J4556">
        <f>IF(I4556="","",IF(I4556&gt;=MAXIFS($I$2:$I$5001,$B$2:$B$5001,B4556,$A$2:$A$5001,"&lt;="&amp;A4556),"PR",""))</f>
        <v/>
      </c>
    </row>
    <row r="4557">
      <c r="A4557" s="7" t="n"/>
      <c r="H4557" s="11">
        <f>IF(OR(D4557="",E4557=""),"",D4557*E4557)</f>
        <v/>
      </c>
      <c r="I4557" s="8">
        <f>IF(OR(D4557="",E4557=""),"",E4557*(1+D4557/30))</f>
        <v/>
      </c>
      <c r="J4557">
        <f>IF(I4557="","",IF(I4557&gt;=MAXIFS($I$2:$I$5001,$B$2:$B$5001,B4557,$A$2:$A$5001,"&lt;="&amp;A4557),"PR",""))</f>
        <v/>
      </c>
    </row>
    <row r="4558">
      <c r="A4558" s="7" t="n"/>
      <c r="H4558" s="11">
        <f>IF(OR(D4558="",E4558=""),"",D4558*E4558)</f>
        <v/>
      </c>
      <c r="I4558" s="8">
        <f>IF(OR(D4558="",E4558=""),"",E4558*(1+D4558/30))</f>
        <v/>
      </c>
      <c r="J4558">
        <f>IF(I4558="","",IF(I4558&gt;=MAXIFS($I$2:$I$5001,$B$2:$B$5001,B4558,$A$2:$A$5001,"&lt;="&amp;A4558),"PR",""))</f>
        <v/>
      </c>
    </row>
    <row r="4559">
      <c r="A4559" s="7" t="n"/>
      <c r="H4559" s="11">
        <f>IF(OR(D4559="",E4559=""),"",D4559*E4559)</f>
        <v/>
      </c>
      <c r="I4559" s="8">
        <f>IF(OR(D4559="",E4559=""),"",E4559*(1+D4559/30))</f>
        <v/>
      </c>
      <c r="J4559">
        <f>IF(I4559="","",IF(I4559&gt;=MAXIFS($I$2:$I$5001,$B$2:$B$5001,B4559,$A$2:$A$5001,"&lt;="&amp;A4559),"PR",""))</f>
        <v/>
      </c>
    </row>
    <row r="4560">
      <c r="A4560" s="7" t="n"/>
      <c r="H4560" s="11">
        <f>IF(OR(D4560="",E4560=""),"",D4560*E4560)</f>
        <v/>
      </c>
      <c r="I4560" s="8">
        <f>IF(OR(D4560="",E4560=""),"",E4560*(1+D4560/30))</f>
        <v/>
      </c>
      <c r="J4560">
        <f>IF(I4560="","",IF(I4560&gt;=MAXIFS($I$2:$I$5001,$B$2:$B$5001,B4560,$A$2:$A$5001,"&lt;="&amp;A4560),"PR",""))</f>
        <v/>
      </c>
    </row>
    <row r="4561">
      <c r="A4561" s="7" t="n"/>
      <c r="H4561" s="11">
        <f>IF(OR(D4561="",E4561=""),"",D4561*E4561)</f>
        <v/>
      </c>
      <c r="I4561" s="8">
        <f>IF(OR(D4561="",E4561=""),"",E4561*(1+D4561/30))</f>
        <v/>
      </c>
      <c r="J4561">
        <f>IF(I4561="","",IF(I4561&gt;=MAXIFS($I$2:$I$5001,$B$2:$B$5001,B4561,$A$2:$A$5001,"&lt;="&amp;A4561),"PR",""))</f>
        <v/>
      </c>
    </row>
    <row r="4562">
      <c r="A4562" s="7" t="n"/>
      <c r="H4562" s="11">
        <f>IF(OR(D4562="",E4562=""),"",D4562*E4562)</f>
        <v/>
      </c>
      <c r="I4562" s="8">
        <f>IF(OR(D4562="",E4562=""),"",E4562*(1+D4562/30))</f>
        <v/>
      </c>
      <c r="J4562">
        <f>IF(I4562="","",IF(I4562&gt;=MAXIFS($I$2:$I$5001,$B$2:$B$5001,B4562,$A$2:$A$5001,"&lt;="&amp;A4562),"PR",""))</f>
        <v/>
      </c>
    </row>
    <row r="4563">
      <c r="A4563" s="7" t="n"/>
      <c r="H4563" s="11">
        <f>IF(OR(D4563="",E4563=""),"",D4563*E4563)</f>
        <v/>
      </c>
      <c r="I4563" s="8">
        <f>IF(OR(D4563="",E4563=""),"",E4563*(1+D4563/30))</f>
        <v/>
      </c>
      <c r="J4563">
        <f>IF(I4563="","",IF(I4563&gt;=MAXIFS($I$2:$I$5001,$B$2:$B$5001,B4563,$A$2:$A$5001,"&lt;="&amp;A4563),"PR",""))</f>
        <v/>
      </c>
    </row>
    <row r="4564">
      <c r="A4564" s="7" t="n"/>
      <c r="H4564" s="11">
        <f>IF(OR(D4564="",E4564=""),"",D4564*E4564)</f>
        <v/>
      </c>
      <c r="I4564" s="8">
        <f>IF(OR(D4564="",E4564=""),"",E4564*(1+D4564/30))</f>
        <v/>
      </c>
      <c r="J4564">
        <f>IF(I4564="","",IF(I4564&gt;=MAXIFS($I$2:$I$5001,$B$2:$B$5001,B4564,$A$2:$A$5001,"&lt;="&amp;A4564),"PR",""))</f>
        <v/>
      </c>
    </row>
    <row r="4565">
      <c r="A4565" s="7" t="n"/>
      <c r="H4565" s="11">
        <f>IF(OR(D4565="",E4565=""),"",D4565*E4565)</f>
        <v/>
      </c>
      <c r="I4565" s="8">
        <f>IF(OR(D4565="",E4565=""),"",E4565*(1+D4565/30))</f>
        <v/>
      </c>
      <c r="J4565">
        <f>IF(I4565="","",IF(I4565&gt;=MAXIFS($I$2:$I$5001,$B$2:$B$5001,B4565,$A$2:$A$5001,"&lt;="&amp;A4565),"PR",""))</f>
        <v/>
      </c>
    </row>
    <row r="4566">
      <c r="A4566" s="7" t="n"/>
      <c r="H4566" s="11">
        <f>IF(OR(D4566="",E4566=""),"",D4566*E4566)</f>
        <v/>
      </c>
      <c r="I4566" s="8">
        <f>IF(OR(D4566="",E4566=""),"",E4566*(1+D4566/30))</f>
        <v/>
      </c>
      <c r="J4566">
        <f>IF(I4566="","",IF(I4566&gt;=MAXIFS($I$2:$I$5001,$B$2:$B$5001,B4566,$A$2:$A$5001,"&lt;="&amp;A4566),"PR",""))</f>
        <v/>
      </c>
    </row>
    <row r="4567">
      <c r="A4567" s="7" t="n"/>
      <c r="H4567" s="11">
        <f>IF(OR(D4567="",E4567=""),"",D4567*E4567)</f>
        <v/>
      </c>
      <c r="I4567" s="8">
        <f>IF(OR(D4567="",E4567=""),"",E4567*(1+D4567/30))</f>
        <v/>
      </c>
      <c r="J4567">
        <f>IF(I4567="","",IF(I4567&gt;=MAXIFS($I$2:$I$5001,$B$2:$B$5001,B4567,$A$2:$A$5001,"&lt;="&amp;A4567),"PR",""))</f>
        <v/>
      </c>
    </row>
    <row r="4568">
      <c r="A4568" s="7" t="n"/>
      <c r="H4568" s="11">
        <f>IF(OR(D4568="",E4568=""),"",D4568*E4568)</f>
        <v/>
      </c>
      <c r="I4568" s="8">
        <f>IF(OR(D4568="",E4568=""),"",E4568*(1+D4568/30))</f>
        <v/>
      </c>
      <c r="J4568">
        <f>IF(I4568="","",IF(I4568&gt;=MAXIFS($I$2:$I$5001,$B$2:$B$5001,B4568,$A$2:$A$5001,"&lt;="&amp;A4568),"PR",""))</f>
        <v/>
      </c>
    </row>
    <row r="4569">
      <c r="A4569" s="7" t="n"/>
      <c r="H4569" s="11">
        <f>IF(OR(D4569="",E4569=""),"",D4569*E4569)</f>
        <v/>
      </c>
      <c r="I4569" s="8">
        <f>IF(OR(D4569="",E4569=""),"",E4569*(1+D4569/30))</f>
        <v/>
      </c>
      <c r="J4569">
        <f>IF(I4569="","",IF(I4569&gt;=MAXIFS($I$2:$I$5001,$B$2:$B$5001,B4569,$A$2:$A$5001,"&lt;="&amp;A4569),"PR",""))</f>
        <v/>
      </c>
    </row>
    <row r="4570">
      <c r="A4570" s="7" t="n"/>
      <c r="H4570" s="11">
        <f>IF(OR(D4570="",E4570=""),"",D4570*E4570)</f>
        <v/>
      </c>
      <c r="I4570" s="8">
        <f>IF(OR(D4570="",E4570=""),"",E4570*(1+D4570/30))</f>
        <v/>
      </c>
      <c r="J4570">
        <f>IF(I4570="","",IF(I4570&gt;=MAXIFS($I$2:$I$5001,$B$2:$B$5001,B4570,$A$2:$A$5001,"&lt;="&amp;A4570),"PR",""))</f>
        <v/>
      </c>
    </row>
    <row r="4571">
      <c r="A4571" s="7" t="n"/>
      <c r="H4571" s="11">
        <f>IF(OR(D4571="",E4571=""),"",D4571*E4571)</f>
        <v/>
      </c>
      <c r="I4571" s="8">
        <f>IF(OR(D4571="",E4571=""),"",E4571*(1+D4571/30))</f>
        <v/>
      </c>
      <c r="J4571">
        <f>IF(I4571="","",IF(I4571&gt;=MAXIFS($I$2:$I$5001,$B$2:$B$5001,B4571,$A$2:$A$5001,"&lt;="&amp;A4571),"PR",""))</f>
        <v/>
      </c>
    </row>
    <row r="4572">
      <c r="A4572" s="7" t="n"/>
      <c r="H4572" s="11">
        <f>IF(OR(D4572="",E4572=""),"",D4572*E4572)</f>
        <v/>
      </c>
      <c r="I4572" s="8">
        <f>IF(OR(D4572="",E4572=""),"",E4572*(1+D4572/30))</f>
        <v/>
      </c>
      <c r="J4572">
        <f>IF(I4572="","",IF(I4572&gt;=MAXIFS($I$2:$I$5001,$B$2:$B$5001,B4572,$A$2:$A$5001,"&lt;="&amp;A4572),"PR",""))</f>
        <v/>
      </c>
    </row>
    <row r="4573">
      <c r="A4573" s="7" t="n"/>
      <c r="H4573" s="11">
        <f>IF(OR(D4573="",E4573=""),"",D4573*E4573)</f>
        <v/>
      </c>
      <c r="I4573" s="8">
        <f>IF(OR(D4573="",E4573=""),"",E4573*(1+D4573/30))</f>
        <v/>
      </c>
      <c r="J4573">
        <f>IF(I4573="","",IF(I4573&gt;=MAXIFS($I$2:$I$5001,$B$2:$B$5001,B4573,$A$2:$A$5001,"&lt;="&amp;A4573),"PR",""))</f>
        <v/>
      </c>
    </row>
    <row r="4574">
      <c r="A4574" s="7" t="n"/>
      <c r="H4574" s="11">
        <f>IF(OR(D4574="",E4574=""),"",D4574*E4574)</f>
        <v/>
      </c>
      <c r="I4574" s="8">
        <f>IF(OR(D4574="",E4574=""),"",E4574*(1+D4574/30))</f>
        <v/>
      </c>
      <c r="J4574">
        <f>IF(I4574="","",IF(I4574&gt;=MAXIFS($I$2:$I$5001,$B$2:$B$5001,B4574,$A$2:$A$5001,"&lt;="&amp;A4574),"PR",""))</f>
        <v/>
      </c>
    </row>
    <row r="4575">
      <c r="A4575" s="7" t="n"/>
      <c r="H4575" s="11">
        <f>IF(OR(D4575="",E4575=""),"",D4575*E4575)</f>
        <v/>
      </c>
      <c r="I4575" s="8">
        <f>IF(OR(D4575="",E4575=""),"",E4575*(1+D4575/30))</f>
        <v/>
      </c>
      <c r="J4575">
        <f>IF(I4575="","",IF(I4575&gt;=MAXIFS($I$2:$I$5001,$B$2:$B$5001,B4575,$A$2:$A$5001,"&lt;="&amp;A4575),"PR",""))</f>
        <v/>
      </c>
    </row>
    <row r="4576">
      <c r="A4576" s="7" t="n"/>
      <c r="H4576" s="11">
        <f>IF(OR(D4576="",E4576=""),"",D4576*E4576)</f>
        <v/>
      </c>
      <c r="I4576" s="8">
        <f>IF(OR(D4576="",E4576=""),"",E4576*(1+D4576/30))</f>
        <v/>
      </c>
      <c r="J4576">
        <f>IF(I4576="","",IF(I4576&gt;=MAXIFS($I$2:$I$5001,$B$2:$B$5001,B4576,$A$2:$A$5001,"&lt;="&amp;A4576),"PR",""))</f>
        <v/>
      </c>
    </row>
    <row r="4577">
      <c r="A4577" s="7" t="n"/>
      <c r="H4577" s="11">
        <f>IF(OR(D4577="",E4577=""),"",D4577*E4577)</f>
        <v/>
      </c>
      <c r="I4577" s="8">
        <f>IF(OR(D4577="",E4577=""),"",E4577*(1+D4577/30))</f>
        <v/>
      </c>
      <c r="J4577">
        <f>IF(I4577="","",IF(I4577&gt;=MAXIFS($I$2:$I$5001,$B$2:$B$5001,B4577,$A$2:$A$5001,"&lt;="&amp;A4577),"PR",""))</f>
        <v/>
      </c>
    </row>
    <row r="4578">
      <c r="A4578" s="7" t="n"/>
      <c r="H4578" s="11">
        <f>IF(OR(D4578="",E4578=""),"",D4578*E4578)</f>
        <v/>
      </c>
      <c r="I4578" s="8">
        <f>IF(OR(D4578="",E4578=""),"",E4578*(1+D4578/30))</f>
        <v/>
      </c>
      <c r="J4578">
        <f>IF(I4578="","",IF(I4578&gt;=MAXIFS($I$2:$I$5001,$B$2:$B$5001,B4578,$A$2:$A$5001,"&lt;="&amp;A4578),"PR",""))</f>
        <v/>
      </c>
    </row>
    <row r="4579">
      <c r="A4579" s="7" t="n"/>
      <c r="H4579" s="11">
        <f>IF(OR(D4579="",E4579=""),"",D4579*E4579)</f>
        <v/>
      </c>
      <c r="I4579" s="8">
        <f>IF(OR(D4579="",E4579=""),"",E4579*(1+D4579/30))</f>
        <v/>
      </c>
      <c r="J4579">
        <f>IF(I4579="","",IF(I4579&gt;=MAXIFS($I$2:$I$5001,$B$2:$B$5001,B4579,$A$2:$A$5001,"&lt;="&amp;A4579),"PR",""))</f>
        <v/>
      </c>
    </row>
    <row r="4580">
      <c r="A4580" s="7" t="n"/>
      <c r="H4580" s="11">
        <f>IF(OR(D4580="",E4580=""),"",D4580*E4580)</f>
        <v/>
      </c>
      <c r="I4580" s="8">
        <f>IF(OR(D4580="",E4580=""),"",E4580*(1+D4580/30))</f>
        <v/>
      </c>
      <c r="J4580">
        <f>IF(I4580="","",IF(I4580&gt;=MAXIFS($I$2:$I$5001,$B$2:$B$5001,B4580,$A$2:$A$5001,"&lt;="&amp;A4580),"PR",""))</f>
        <v/>
      </c>
    </row>
    <row r="4581">
      <c r="A4581" s="7" t="n"/>
      <c r="H4581" s="11">
        <f>IF(OR(D4581="",E4581=""),"",D4581*E4581)</f>
        <v/>
      </c>
      <c r="I4581" s="8">
        <f>IF(OR(D4581="",E4581=""),"",E4581*(1+D4581/30))</f>
        <v/>
      </c>
      <c r="J4581">
        <f>IF(I4581="","",IF(I4581&gt;=MAXIFS($I$2:$I$5001,$B$2:$B$5001,B4581,$A$2:$A$5001,"&lt;="&amp;A4581),"PR",""))</f>
        <v/>
      </c>
    </row>
    <row r="4582">
      <c r="A4582" s="7" t="n"/>
      <c r="H4582" s="11">
        <f>IF(OR(D4582="",E4582=""),"",D4582*E4582)</f>
        <v/>
      </c>
      <c r="I4582" s="8">
        <f>IF(OR(D4582="",E4582=""),"",E4582*(1+D4582/30))</f>
        <v/>
      </c>
      <c r="J4582">
        <f>IF(I4582="","",IF(I4582&gt;=MAXIFS($I$2:$I$5001,$B$2:$B$5001,B4582,$A$2:$A$5001,"&lt;="&amp;A4582),"PR",""))</f>
        <v/>
      </c>
    </row>
    <row r="4583">
      <c r="A4583" s="7" t="n"/>
      <c r="H4583" s="11">
        <f>IF(OR(D4583="",E4583=""),"",D4583*E4583)</f>
        <v/>
      </c>
      <c r="I4583" s="8">
        <f>IF(OR(D4583="",E4583=""),"",E4583*(1+D4583/30))</f>
        <v/>
      </c>
      <c r="J4583">
        <f>IF(I4583="","",IF(I4583&gt;=MAXIFS($I$2:$I$5001,$B$2:$B$5001,B4583,$A$2:$A$5001,"&lt;="&amp;A4583),"PR",""))</f>
        <v/>
      </c>
    </row>
    <row r="4584">
      <c r="A4584" s="7" t="n"/>
      <c r="H4584" s="11">
        <f>IF(OR(D4584="",E4584=""),"",D4584*E4584)</f>
        <v/>
      </c>
      <c r="I4584" s="8">
        <f>IF(OR(D4584="",E4584=""),"",E4584*(1+D4584/30))</f>
        <v/>
      </c>
      <c r="J4584">
        <f>IF(I4584="","",IF(I4584&gt;=MAXIFS($I$2:$I$5001,$B$2:$B$5001,B4584,$A$2:$A$5001,"&lt;="&amp;A4584),"PR",""))</f>
        <v/>
      </c>
    </row>
    <row r="4585">
      <c r="A4585" s="7" t="n"/>
      <c r="H4585" s="11">
        <f>IF(OR(D4585="",E4585=""),"",D4585*E4585)</f>
        <v/>
      </c>
      <c r="I4585" s="8">
        <f>IF(OR(D4585="",E4585=""),"",E4585*(1+D4585/30))</f>
        <v/>
      </c>
      <c r="J4585">
        <f>IF(I4585="","",IF(I4585&gt;=MAXIFS($I$2:$I$5001,$B$2:$B$5001,B4585,$A$2:$A$5001,"&lt;="&amp;A4585),"PR",""))</f>
        <v/>
      </c>
    </row>
    <row r="4586">
      <c r="A4586" s="7" t="n"/>
      <c r="H4586" s="11">
        <f>IF(OR(D4586="",E4586=""),"",D4586*E4586)</f>
        <v/>
      </c>
      <c r="I4586" s="8">
        <f>IF(OR(D4586="",E4586=""),"",E4586*(1+D4586/30))</f>
        <v/>
      </c>
      <c r="J4586">
        <f>IF(I4586="","",IF(I4586&gt;=MAXIFS($I$2:$I$5001,$B$2:$B$5001,B4586,$A$2:$A$5001,"&lt;="&amp;A4586),"PR",""))</f>
        <v/>
      </c>
    </row>
    <row r="4587">
      <c r="A4587" s="7" t="n"/>
      <c r="H4587" s="11">
        <f>IF(OR(D4587="",E4587=""),"",D4587*E4587)</f>
        <v/>
      </c>
      <c r="I4587" s="8">
        <f>IF(OR(D4587="",E4587=""),"",E4587*(1+D4587/30))</f>
        <v/>
      </c>
      <c r="J4587">
        <f>IF(I4587="","",IF(I4587&gt;=MAXIFS($I$2:$I$5001,$B$2:$B$5001,B4587,$A$2:$A$5001,"&lt;="&amp;A4587),"PR",""))</f>
        <v/>
      </c>
    </row>
    <row r="4588">
      <c r="A4588" s="7" t="n"/>
      <c r="H4588" s="11">
        <f>IF(OR(D4588="",E4588=""),"",D4588*E4588)</f>
        <v/>
      </c>
      <c r="I4588" s="8">
        <f>IF(OR(D4588="",E4588=""),"",E4588*(1+D4588/30))</f>
        <v/>
      </c>
      <c r="J4588">
        <f>IF(I4588="","",IF(I4588&gt;=MAXIFS($I$2:$I$5001,$B$2:$B$5001,B4588,$A$2:$A$5001,"&lt;="&amp;A4588),"PR",""))</f>
        <v/>
      </c>
    </row>
    <row r="4589">
      <c r="A4589" s="7" t="n"/>
      <c r="H4589" s="11">
        <f>IF(OR(D4589="",E4589=""),"",D4589*E4589)</f>
        <v/>
      </c>
      <c r="I4589" s="8">
        <f>IF(OR(D4589="",E4589=""),"",E4589*(1+D4589/30))</f>
        <v/>
      </c>
      <c r="J4589">
        <f>IF(I4589="","",IF(I4589&gt;=MAXIFS($I$2:$I$5001,$B$2:$B$5001,B4589,$A$2:$A$5001,"&lt;="&amp;A4589),"PR",""))</f>
        <v/>
      </c>
    </row>
    <row r="4590">
      <c r="A4590" s="7" t="n"/>
      <c r="H4590" s="11">
        <f>IF(OR(D4590="",E4590=""),"",D4590*E4590)</f>
        <v/>
      </c>
      <c r="I4590" s="8">
        <f>IF(OR(D4590="",E4590=""),"",E4590*(1+D4590/30))</f>
        <v/>
      </c>
      <c r="J4590">
        <f>IF(I4590="","",IF(I4590&gt;=MAXIFS($I$2:$I$5001,$B$2:$B$5001,B4590,$A$2:$A$5001,"&lt;="&amp;A4590),"PR",""))</f>
        <v/>
      </c>
    </row>
    <row r="4591">
      <c r="A4591" s="7" t="n"/>
      <c r="H4591" s="11">
        <f>IF(OR(D4591="",E4591=""),"",D4591*E4591)</f>
        <v/>
      </c>
      <c r="I4591" s="8">
        <f>IF(OR(D4591="",E4591=""),"",E4591*(1+D4591/30))</f>
        <v/>
      </c>
      <c r="J4591">
        <f>IF(I4591="","",IF(I4591&gt;=MAXIFS($I$2:$I$5001,$B$2:$B$5001,B4591,$A$2:$A$5001,"&lt;="&amp;A4591),"PR",""))</f>
        <v/>
      </c>
    </row>
    <row r="4592">
      <c r="A4592" s="7" t="n"/>
      <c r="H4592" s="11">
        <f>IF(OR(D4592="",E4592=""),"",D4592*E4592)</f>
        <v/>
      </c>
      <c r="I4592" s="8">
        <f>IF(OR(D4592="",E4592=""),"",E4592*(1+D4592/30))</f>
        <v/>
      </c>
      <c r="J4592">
        <f>IF(I4592="","",IF(I4592&gt;=MAXIFS($I$2:$I$5001,$B$2:$B$5001,B4592,$A$2:$A$5001,"&lt;="&amp;A4592),"PR",""))</f>
        <v/>
      </c>
    </row>
    <row r="4593">
      <c r="A4593" s="7" t="n"/>
      <c r="H4593" s="11">
        <f>IF(OR(D4593="",E4593=""),"",D4593*E4593)</f>
        <v/>
      </c>
      <c r="I4593" s="8">
        <f>IF(OR(D4593="",E4593=""),"",E4593*(1+D4593/30))</f>
        <v/>
      </c>
      <c r="J4593">
        <f>IF(I4593="","",IF(I4593&gt;=MAXIFS($I$2:$I$5001,$B$2:$B$5001,B4593,$A$2:$A$5001,"&lt;="&amp;A4593),"PR",""))</f>
        <v/>
      </c>
    </row>
    <row r="4594">
      <c r="A4594" s="7" t="n"/>
      <c r="H4594" s="11">
        <f>IF(OR(D4594="",E4594=""),"",D4594*E4594)</f>
        <v/>
      </c>
      <c r="I4594" s="8">
        <f>IF(OR(D4594="",E4594=""),"",E4594*(1+D4594/30))</f>
        <v/>
      </c>
      <c r="J4594">
        <f>IF(I4594="","",IF(I4594&gt;=MAXIFS($I$2:$I$5001,$B$2:$B$5001,B4594,$A$2:$A$5001,"&lt;="&amp;A4594),"PR",""))</f>
        <v/>
      </c>
    </row>
    <row r="4595">
      <c r="A4595" s="7" t="n"/>
      <c r="H4595" s="11">
        <f>IF(OR(D4595="",E4595=""),"",D4595*E4595)</f>
        <v/>
      </c>
      <c r="I4595" s="8">
        <f>IF(OR(D4595="",E4595=""),"",E4595*(1+D4595/30))</f>
        <v/>
      </c>
      <c r="J4595">
        <f>IF(I4595="","",IF(I4595&gt;=MAXIFS($I$2:$I$5001,$B$2:$B$5001,B4595,$A$2:$A$5001,"&lt;="&amp;A4595),"PR",""))</f>
        <v/>
      </c>
    </row>
    <row r="4596">
      <c r="A4596" s="7" t="n"/>
      <c r="H4596" s="11">
        <f>IF(OR(D4596="",E4596=""),"",D4596*E4596)</f>
        <v/>
      </c>
      <c r="I4596" s="8">
        <f>IF(OR(D4596="",E4596=""),"",E4596*(1+D4596/30))</f>
        <v/>
      </c>
      <c r="J4596">
        <f>IF(I4596="","",IF(I4596&gt;=MAXIFS($I$2:$I$5001,$B$2:$B$5001,B4596,$A$2:$A$5001,"&lt;="&amp;A4596),"PR",""))</f>
        <v/>
      </c>
    </row>
    <row r="4597">
      <c r="A4597" s="7" t="n"/>
      <c r="H4597" s="11">
        <f>IF(OR(D4597="",E4597=""),"",D4597*E4597)</f>
        <v/>
      </c>
      <c r="I4597" s="8">
        <f>IF(OR(D4597="",E4597=""),"",E4597*(1+D4597/30))</f>
        <v/>
      </c>
      <c r="J4597">
        <f>IF(I4597="","",IF(I4597&gt;=MAXIFS($I$2:$I$5001,$B$2:$B$5001,B4597,$A$2:$A$5001,"&lt;="&amp;A4597),"PR",""))</f>
        <v/>
      </c>
    </row>
    <row r="4598">
      <c r="A4598" s="7" t="n"/>
      <c r="H4598" s="11">
        <f>IF(OR(D4598="",E4598=""),"",D4598*E4598)</f>
        <v/>
      </c>
      <c r="I4598" s="8">
        <f>IF(OR(D4598="",E4598=""),"",E4598*(1+D4598/30))</f>
        <v/>
      </c>
      <c r="J4598">
        <f>IF(I4598="","",IF(I4598&gt;=MAXIFS($I$2:$I$5001,$B$2:$B$5001,B4598,$A$2:$A$5001,"&lt;="&amp;A4598),"PR",""))</f>
        <v/>
      </c>
    </row>
    <row r="4599">
      <c r="A4599" s="7" t="n"/>
      <c r="H4599" s="11">
        <f>IF(OR(D4599="",E4599=""),"",D4599*E4599)</f>
        <v/>
      </c>
      <c r="I4599" s="8">
        <f>IF(OR(D4599="",E4599=""),"",E4599*(1+D4599/30))</f>
        <v/>
      </c>
      <c r="J4599">
        <f>IF(I4599="","",IF(I4599&gt;=MAXIFS($I$2:$I$5001,$B$2:$B$5001,B4599,$A$2:$A$5001,"&lt;="&amp;A4599),"PR",""))</f>
        <v/>
      </c>
    </row>
    <row r="4600">
      <c r="A4600" s="7" t="n"/>
      <c r="H4600" s="11">
        <f>IF(OR(D4600="",E4600=""),"",D4600*E4600)</f>
        <v/>
      </c>
      <c r="I4600" s="8">
        <f>IF(OR(D4600="",E4600=""),"",E4600*(1+D4600/30))</f>
        <v/>
      </c>
      <c r="J4600">
        <f>IF(I4600="","",IF(I4600&gt;=MAXIFS($I$2:$I$5001,$B$2:$B$5001,B4600,$A$2:$A$5001,"&lt;="&amp;A4600),"PR",""))</f>
        <v/>
      </c>
    </row>
    <row r="4601">
      <c r="A4601" s="7" t="n"/>
      <c r="H4601" s="11">
        <f>IF(OR(D4601="",E4601=""),"",D4601*E4601)</f>
        <v/>
      </c>
      <c r="I4601" s="8">
        <f>IF(OR(D4601="",E4601=""),"",E4601*(1+D4601/30))</f>
        <v/>
      </c>
      <c r="J4601">
        <f>IF(I4601="","",IF(I4601&gt;=MAXIFS($I$2:$I$5001,$B$2:$B$5001,B4601,$A$2:$A$5001,"&lt;="&amp;A4601),"PR",""))</f>
        <v/>
      </c>
    </row>
    <row r="4602">
      <c r="A4602" s="7" t="n"/>
      <c r="H4602" s="11">
        <f>IF(OR(D4602="",E4602=""),"",D4602*E4602)</f>
        <v/>
      </c>
      <c r="I4602" s="8">
        <f>IF(OR(D4602="",E4602=""),"",E4602*(1+D4602/30))</f>
        <v/>
      </c>
      <c r="J4602">
        <f>IF(I4602="","",IF(I4602&gt;=MAXIFS($I$2:$I$5001,$B$2:$B$5001,B4602,$A$2:$A$5001,"&lt;="&amp;A4602),"PR",""))</f>
        <v/>
      </c>
    </row>
    <row r="4603">
      <c r="A4603" s="7" t="n"/>
      <c r="H4603" s="11">
        <f>IF(OR(D4603="",E4603=""),"",D4603*E4603)</f>
        <v/>
      </c>
      <c r="I4603" s="8">
        <f>IF(OR(D4603="",E4603=""),"",E4603*(1+D4603/30))</f>
        <v/>
      </c>
      <c r="J4603">
        <f>IF(I4603="","",IF(I4603&gt;=MAXIFS($I$2:$I$5001,$B$2:$B$5001,B4603,$A$2:$A$5001,"&lt;="&amp;A4603),"PR",""))</f>
        <v/>
      </c>
    </row>
    <row r="4604">
      <c r="A4604" s="7" t="n"/>
      <c r="H4604" s="11">
        <f>IF(OR(D4604="",E4604=""),"",D4604*E4604)</f>
        <v/>
      </c>
      <c r="I4604" s="8">
        <f>IF(OR(D4604="",E4604=""),"",E4604*(1+D4604/30))</f>
        <v/>
      </c>
      <c r="J4604">
        <f>IF(I4604="","",IF(I4604&gt;=MAXIFS($I$2:$I$5001,$B$2:$B$5001,B4604,$A$2:$A$5001,"&lt;="&amp;A4604),"PR",""))</f>
        <v/>
      </c>
    </row>
    <row r="4605">
      <c r="A4605" s="7" t="n"/>
      <c r="H4605" s="11">
        <f>IF(OR(D4605="",E4605=""),"",D4605*E4605)</f>
        <v/>
      </c>
      <c r="I4605" s="8">
        <f>IF(OR(D4605="",E4605=""),"",E4605*(1+D4605/30))</f>
        <v/>
      </c>
      <c r="J4605">
        <f>IF(I4605="","",IF(I4605&gt;=MAXIFS($I$2:$I$5001,$B$2:$B$5001,B4605,$A$2:$A$5001,"&lt;="&amp;A4605),"PR",""))</f>
        <v/>
      </c>
    </row>
    <row r="4606">
      <c r="A4606" s="7" t="n"/>
      <c r="H4606" s="11">
        <f>IF(OR(D4606="",E4606=""),"",D4606*E4606)</f>
        <v/>
      </c>
      <c r="I4606" s="8">
        <f>IF(OR(D4606="",E4606=""),"",E4606*(1+D4606/30))</f>
        <v/>
      </c>
      <c r="J4606">
        <f>IF(I4606="","",IF(I4606&gt;=MAXIFS($I$2:$I$5001,$B$2:$B$5001,B4606,$A$2:$A$5001,"&lt;="&amp;A4606),"PR",""))</f>
        <v/>
      </c>
    </row>
    <row r="4607">
      <c r="A4607" s="7" t="n"/>
      <c r="H4607" s="11">
        <f>IF(OR(D4607="",E4607=""),"",D4607*E4607)</f>
        <v/>
      </c>
      <c r="I4607" s="8">
        <f>IF(OR(D4607="",E4607=""),"",E4607*(1+D4607/30))</f>
        <v/>
      </c>
      <c r="J4607">
        <f>IF(I4607="","",IF(I4607&gt;=MAXIFS($I$2:$I$5001,$B$2:$B$5001,B4607,$A$2:$A$5001,"&lt;="&amp;A4607),"PR",""))</f>
        <v/>
      </c>
    </row>
    <row r="4608">
      <c r="A4608" s="7" t="n"/>
      <c r="H4608" s="11">
        <f>IF(OR(D4608="",E4608=""),"",D4608*E4608)</f>
        <v/>
      </c>
      <c r="I4608" s="8">
        <f>IF(OR(D4608="",E4608=""),"",E4608*(1+D4608/30))</f>
        <v/>
      </c>
      <c r="J4608">
        <f>IF(I4608="","",IF(I4608&gt;=MAXIFS($I$2:$I$5001,$B$2:$B$5001,B4608,$A$2:$A$5001,"&lt;="&amp;A4608),"PR",""))</f>
        <v/>
      </c>
    </row>
    <row r="4609">
      <c r="A4609" s="7" t="n"/>
      <c r="H4609" s="11">
        <f>IF(OR(D4609="",E4609=""),"",D4609*E4609)</f>
        <v/>
      </c>
      <c r="I4609" s="8">
        <f>IF(OR(D4609="",E4609=""),"",E4609*(1+D4609/30))</f>
        <v/>
      </c>
      <c r="J4609">
        <f>IF(I4609="","",IF(I4609&gt;=MAXIFS($I$2:$I$5001,$B$2:$B$5001,B4609,$A$2:$A$5001,"&lt;="&amp;A4609),"PR",""))</f>
        <v/>
      </c>
    </row>
    <row r="4610">
      <c r="A4610" s="7" t="n"/>
      <c r="H4610" s="11">
        <f>IF(OR(D4610="",E4610=""),"",D4610*E4610)</f>
        <v/>
      </c>
      <c r="I4610" s="8">
        <f>IF(OR(D4610="",E4610=""),"",E4610*(1+D4610/30))</f>
        <v/>
      </c>
      <c r="J4610">
        <f>IF(I4610="","",IF(I4610&gt;=MAXIFS($I$2:$I$5001,$B$2:$B$5001,B4610,$A$2:$A$5001,"&lt;="&amp;A4610),"PR",""))</f>
        <v/>
      </c>
    </row>
    <row r="4611">
      <c r="A4611" s="7" t="n"/>
      <c r="H4611" s="11">
        <f>IF(OR(D4611="",E4611=""),"",D4611*E4611)</f>
        <v/>
      </c>
      <c r="I4611" s="8">
        <f>IF(OR(D4611="",E4611=""),"",E4611*(1+D4611/30))</f>
        <v/>
      </c>
      <c r="J4611">
        <f>IF(I4611="","",IF(I4611&gt;=MAXIFS($I$2:$I$5001,$B$2:$B$5001,B4611,$A$2:$A$5001,"&lt;="&amp;A4611),"PR",""))</f>
        <v/>
      </c>
    </row>
    <row r="4612">
      <c r="A4612" s="7" t="n"/>
      <c r="H4612" s="11">
        <f>IF(OR(D4612="",E4612=""),"",D4612*E4612)</f>
        <v/>
      </c>
      <c r="I4612" s="8">
        <f>IF(OR(D4612="",E4612=""),"",E4612*(1+D4612/30))</f>
        <v/>
      </c>
      <c r="J4612">
        <f>IF(I4612="","",IF(I4612&gt;=MAXIFS($I$2:$I$5001,$B$2:$B$5001,B4612,$A$2:$A$5001,"&lt;="&amp;A4612),"PR",""))</f>
        <v/>
      </c>
    </row>
    <row r="4613">
      <c r="A4613" s="7" t="n"/>
      <c r="H4613" s="11">
        <f>IF(OR(D4613="",E4613=""),"",D4613*E4613)</f>
        <v/>
      </c>
      <c r="I4613" s="8">
        <f>IF(OR(D4613="",E4613=""),"",E4613*(1+D4613/30))</f>
        <v/>
      </c>
      <c r="J4613">
        <f>IF(I4613="","",IF(I4613&gt;=MAXIFS($I$2:$I$5001,$B$2:$B$5001,B4613,$A$2:$A$5001,"&lt;="&amp;A4613),"PR",""))</f>
        <v/>
      </c>
    </row>
    <row r="4614">
      <c r="A4614" s="7" t="n"/>
      <c r="H4614" s="11">
        <f>IF(OR(D4614="",E4614=""),"",D4614*E4614)</f>
        <v/>
      </c>
      <c r="I4614" s="8">
        <f>IF(OR(D4614="",E4614=""),"",E4614*(1+D4614/30))</f>
        <v/>
      </c>
      <c r="J4614">
        <f>IF(I4614="","",IF(I4614&gt;=MAXIFS($I$2:$I$5001,$B$2:$B$5001,B4614,$A$2:$A$5001,"&lt;="&amp;A4614),"PR",""))</f>
        <v/>
      </c>
    </row>
    <row r="4615">
      <c r="A4615" s="7" t="n"/>
      <c r="H4615" s="11">
        <f>IF(OR(D4615="",E4615=""),"",D4615*E4615)</f>
        <v/>
      </c>
      <c r="I4615" s="8">
        <f>IF(OR(D4615="",E4615=""),"",E4615*(1+D4615/30))</f>
        <v/>
      </c>
      <c r="J4615">
        <f>IF(I4615="","",IF(I4615&gt;=MAXIFS($I$2:$I$5001,$B$2:$B$5001,B4615,$A$2:$A$5001,"&lt;="&amp;A4615),"PR",""))</f>
        <v/>
      </c>
    </row>
    <row r="4616">
      <c r="A4616" s="7" t="n"/>
      <c r="H4616" s="11">
        <f>IF(OR(D4616="",E4616=""),"",D4616*E4616)</f>
        <v/>
      </c>
      <c r="I4616" s="8">
        <f>IF(OR(D4616="",E4616=""),"",E4616*(1+D4616/30))</f>
        <v/>
      </c>
      <c r="J4616">
        <f>IF(I4616="","",IF(I4616&gt;=MAXIFS($I$2:$I$5001,$B$2:$B$5001,B4616,$A$2:$A$5001,"&lt;="&amp;A4616),"PR",""))</f>
        <v/>
      </c>
    </row>
    <row r="4617">
      <c r="A4617" s="7" t="n"/>
      <c r="H4617" s="11">
        <f>IF(OR(D4617="",E4617=""),"",D4617*E4617)</f>
        <v/>
      </c>
      <c r="I4617" s="8">
        <f>IF(OR(D4617="",E4617=""),"",E4617*(1+D4617/30))</f>
        <v/>
      </c>
      <c r="J4617">
        <f>IF(I4617="","",IF(I4617&gt;=MAXIFS($I$2:$I$5001,$B$2:$B$5001,B4617,$A$2:$A$5001,"&lt;="&amp;A4617),"PR",""))</f>
        <v/>
      </c>
    </row>
    <row r="4618">
      <c r="A4618" s="7" t="n"/>
      <c r="H4618" s="11">
        <f>IF(OR(D4618="",E4618=""),"",D4618*E4618)</f>
        <v/>
      </c>
      <c r="I4618" s="8">
        <f>IF(OR(D4618="",E4618=""),"",E4618*(1+D4618/30))</f>
        <v/>
      </c>
      <c r="J4618">
        <f>IF(I4618="","",IF(I4618&gt;=MAXIFS($I$2:$I$5001,$B$2:$B$5001,B4618,$A$2:$A$5001,"&lt;="&amp;A4618),"PR",""))</f>
        <v/>
      </c>
    </row>
    <row r="4619">
      <c r="A4619" s="7" t="n"/>
      <c r="H4619" s="11">
        <f>IF(OR(D4619="",E4619=""),"",D4619*E4619)</f>
        <v/>
      </c>
      <c r="I4619" s="8">
        <f>IF(OR(D4619="",E4619=""),"",E4619*(1+D4619/30))</f>
        <v/>
      </c>
      <c r="J4619">
        <f>IF(I4619="","",IF(I4619&gt;=MAXIFS($I$2:$I$5001,$B$2:$B$5001,B4619,$A$2:$A$5001,"&lt;="&amp;A4619),"PR",""))</f>
        <v/>
      </c>
    </row>
    <row r="4620">
      <c r="A4620" s="7" t="n"/>
      <c r="H4620" s="11">
        <f>IF(OR(D4620="",E4620=""),"",D4620*E4620)</f>
        <v/>
      </c>
      <c r="I4620" s="8">
        <f>IF(OR(D4620="",E4620=""),"",E4620*(1+D4620/30))</f>
        <v/>
      </c>
      <c r="J4620">
        <f>IF(I4620="","",IF(I4620&gt;=MAXIFS($I$2:$I$5001,$B$2:$B$5001,B4620,$A$2:$A$5001,"&lt;="&amp;A4620),"PR",""))</f>
        <v/>
      </c>
    </row>
    <row r="4621">
      <c r="A4621" s="7" t="n"/>
      <c r="H4621" s="11">
        <f>IF(OR(D4621="",E4621=""),"",D4621*E4621)</f>
        <v/>
      </c>
      <c r="I4621" s="8">
        <f>IF(OR(D4621="",E4621=""),"",E4621*(1+D4621/30))</f>
        <v/>
      </c>
      <c r="J4621">
        <f>IF(I4621="","",IF(I4621&gt;=MAXIFS($I$2:$I$5001,$B$2:$B$5001,B4621,$A$2:$A$5001,"&lt;="&amp;A4621),"PR",""))</f>
        <v/>
      </c>
    </row>
    <row r="4622">
      <c r="A4622" s="7" t="n"/>
      <c r="H4622" s="11">
        <f>IF(OR(D4622="",E4622=""),"",D4622*E4622)</f>
        <v/>
      </c>
      <c r="I4622" s="8">
        <f>IF(OR(D4622="",E4622=""),"",E4622*(1+D4622/30))</f>
        <v/>
      </c>
      <c r="J4622">
        <f>IF(I4622="","",IF(I4622&gt;=MAXIFS($I$2:$I$5001,$B$2:$B$5001,B4622,$A$2:$A$5001,"&lt;="&amp;A4622),"PR",""))</f>
        <v/>
      </c>
    </row>
    <row r="4623">
      <c r="A4623" s="7" t="n"/>
      <c r="H4623" s="11">
        <f>IF(OR(D4623="",E4623=""),"",D4623*E4623)</f>
        <v/>
      </c>
      <c r="I4623" s="8">
        <f>IF(OR(D4623="",E4623=""),"",E4623*(1+D4623/30))</f>
        <v/>
      </c>
      <c r="J4623">
        <f>IF(I4623="","",IF(I4623&gt;=MAXIFS($I$2:$I$5001,$B$2:$B$5001,B4623,$A$2:$A$5001,"&lt;="&amp;A4623),"PR",""))</f>
        <v/>
      </c>
    </row>
    <row r="4624">
      <c r="A4624" s="7" t="n"/>
      <c r="H4624" s="11">
        <f>IF(OR(D4624="",E4624=""),"",D4624*E4624)</f>
        <v/>
      </c>
      <c r="I4624" s="8">
        <f>IF(OR(D4624="",E4624=""),"",E4624*(1+D4624/30))</f>
        <v/>
      </c>
      <c r="J4624">
        <f>IF(I4624="","",IF(I4624&gt;=MAXIFS($I$2:$I$5001,$B$2:$B$5001,B4624,$A$2:$A$5001,"&lt;="&amp;A4624),"PR",""))</f>
        <v/>
      </c>
    </row>
    <row r="4625">
      <c r="A4625" s="7" t="n"/>
      <c r="H4625" s="11">
        <f>IF(OR(D4625="",E4625=""),"",D4625*E4625)</f>
        <v/>
      </c>
      <c r="I4625" s="8">
        <f>IF(OR(D4625="",E4625=""),"",E4625*(1+D4625/30))</f>
        <v/>
      </c>
      <c r="J4625">
        <f>IF(I4625="","",IF(I4625&gt;=MAXIFS($I$2:$I$5001,$B$2:$B$5001,B4625,$A$2:$A$5001,"&lt;="&amp;A4625),"PR",""))</f>
        <v/>
      </c>
    </row>
    <row r="4626">
      <c r="A4626" s="7" t="n"/>
      <c r="H4626" s="11">
        <f>IF(OR(D4626="",E4626=""),"",D4626*E4626)</f>
        <v/>
      </c>
      <c r="I4626" s="8">
        <f>IF(OR(D4626="",E4626=""),"",E4626*(1+D4626/30))</f>
        <v/>
      </c>
      <c r="J4626">
        <f>IF(I4626="","",IF(I4626&gt;=MAXIFS($I$2:$I$5001,$B$2:$B$5001,B4626,$A$2:$A$5001,"&lt;="&amp;A4626),"PR",""))</f>
        <v/>
      </c>
    </row>
    <row r="4627">
      <c r="A4627" s="7" t="n"/>
      <c r="H4627" s="11">
        <f>IF(OR(D4627="",E4627=""),"",D4627*E4627)</f>
        <v/>
      </c>
      <c r="I4627" s="8">
        <f>IF(OR(D4627="",E4627=""),"",E4627*(1+D4627/30))</f>
        <v/>
      </c>
      <c r="J4627">
        <f>IF(I4627="","",IF(I4627&gt;=MAXIFS($I$2:$I$5001,$B$2:$B$5001,B4627,$A$2:$A$5001,"&lt;="&amp;A4627),"PR",""))</f>
        <v/>
      </c>
    </row>
    <row r="4628">
      <c r="A4628" s="7" t="n"/>
      <c r="H4628" s="11">
        <f>IF(OR(D4628="",E4628=""),"",D4628*E4628)</f>
        <v/>
      </c>
      <c r="I4628" s="8">
        <f>IF(OR(D4628="",E4628=""),"",E4628*(1+D4628/30))</f>
        <v/>
      </c>
      <c r="J4628">
        <f>IF(I4628="","",IF(I4628&gt;=MAXIFS($I$2:$I$5001,$B$2:$B$5001,B4628,$A$2:$A$5001,"&lt;="&amp;A4628),"PR",""))</f>
        <v/>
      </c>
    </row>
    <row r="4629">
      <c r="A4629" s="7" t="n"/>
      <c r="H4629" s="11">
        <f>IF(OR(D4629="",E4629=""),"",D4629*E4629)</f>
        <v/>
      </c>
      <c r="I4629" s="8">
        <f>IF(OR(D4629="",E4629=""),"",E4629*(1+D4629/30))</f>
        <v/>
      </c>
      <c r="J4629">
        <f>IF(I4629="","",IF(I4629&gt;=MAXIFS($I$2:$I$5001,$B$2:$B$5001,B4629,$A$2:$A$5001,"&lt;="&amp;A4629),"PR",""))</f>
        <v/>
      </c>
    </row>
    <row r="4630">
      <c r="A4630" s="7" t="n"/>
      <c r="H4630" s="11">
        <f>IF(OR(D4630="",E4630=""),"",D4630*E4630)</f>
        <v/>
      </c>
      <c r="I4630" s="8">
        <f>IF(OR(D4630="",E4630=""),"",E4630*(1+D4630/30))</f>
        <v/>
      </c>
      <c r="J4630">
        <f>IF(I4630="","",IF(I4630&gt;=MAXIFS($I$2:$I$5001,$B$2:$B$5001,B4630,$A$2:$A$5001,"&lt;="&amp;A4630),"PR",""))</f>
        <v/>
      </c>
    </row>
    <row r="4631">
      <c r="A4631" s="7" t="n"/>
      <c r="H4631" s="11">
        <f>IF(OR(D4631="",E4631=""),"",D4631*E4631)</f>
        <v/>
      </c>
      <c r="I4631" s="8">
        <f>IF(OR(D4631="",E4631=""),"",E4631*(1+D4631/30))</f>
        <v/>
      </c>
      <c r="J4631">
        <f>IF(I4631="","",IF(I4631&gt;=MAXIFS($I$2:$I$5001,$B$2:$B$5001,B4631,$A$2:$A$5001,"&lt;="&amp;A4631),"PR",""))</f>
        <v/>
      </c>
    </row>
    <row r="4632">
      <c r="A4632" s="7" t="n"/>
      <c r="H4632" s="11">
        <f>IF(OR(D4632="",E4632=""),"",D4632*E4632)</f>
        <v/>
      </c>
      <c r="I4632" s="8">
        <f>IF(OR(D4632="",E4632=""),"",E4632*(1+D4632/30))</f>
        <v/>
      </c>
      <c r="J4632">
        <f>IF(I4632="","",IF(I4632&gt;=MAXIFS($I$2:$I$5001,$B$2:$B$5001,B4632,$A$2:$A$5001,"&lt;="&amp;A4632),"PR",""))</f>
        <v/>
      </c>
    </row>
    <row r="4633">
      <c r="A4633" s="7" t="n"/>
      <c r="H4633" s="11">
        <f>IF(OR(D4633="",E4633=""),"",D4633*E4633)</f>
        <v/>
      </c>
      <c r="I4633" s="8">
        <f>IF(OR(D4633="",E4633=""),"",E4633*(1+D4633/30))</f>
        <v/>
      </c>
      <c r="J4633">
        <f>IF(I4633="","",IF(I4633&gt;=MAXIFS($I$2:$I$5001,$B$2:$B$5001,B4633,$A$2:$A$5001,"&lt;="&amp;A4633),"PR",""))</f>
        <v/>
      </c>
    </row>
    <row r="4634">
      <c r="A4634" s="7" t="n"/>
      <c r="H4634" s="11">
        <f>IF(OR(D4634="",E4634=""),"",D4634*E4634)</f>
        <v/>
      </c>
      <c r="I4634" s="8">
        <f>IF(OR(D4634="",E4634=""),"",E4634*(1+D4634/30))</f>
        <v/>
      </c>
      <c r="J4634">
        <f>IF(I4634="","",IF(I4634&gt;=MAXIFS($I$2:$I$5001,$B$2:$B$5001,B4634,$A$2:$A$5001,"&lt;="&amp;A4634),"PR",""))</f>
        <v/>
      </c>
    </row>
    <row r="4635">
      <c r="A4635" s="7" t="n"/>
      <c r="H4635" s="11">
        <f>IF(OR(D4635="",E4635=""),"",D4635*E4635)</f>
        <v/>
      </c>
      <c r="I4635" s="8">
        <f>IF(OR(D4635="",E4635=""),"",E4635*(1+D4635/30))</f>
        <v/>
      </c>
      <c r="J4635">
        <f>IF(I4635="","",IF(I4635&gt;=MAXIFS($I$2:$I$5001,$B$2:$B$5001,B4635,$A$2:$A$5001,"&lt;="&amp;A4635),"PR",""))</f>
        <v/>
      </c>
    </row>
    <row r="4636">
      <c r="A4636" s="7" t="n"/>
      <c r="H4636" s="11">
        <f>IF(OR(D4636="",E4636=""),"",D4636*E4636)</f>
        <v/>
      </c>
      <c r="I4636" s="8">
        <f>IF(OR(D4636="",E4636=""),"",E4636*(1+D4636/30))</f>
        <v/>
      </c>
      <c r="J4636">
        <f>IF(I4636="","",IF(I4636&gt;=MAXIFS($I$2:$I$5001,$B$2:$B$5001,B4636,$A$2:$A$5001,"&lt;="&amp;A4636),"PR",""))</f>
        <v/>
      </c>
    </row>
    <row r="4637">
      <c r="A4637" s="7" t="n"/>
      <c r="H4637" s="11">
        <f>IF(OR(D4637="",E4637=""),"",D4637*E4637)</f>
        <v/>
      </c>
      <c r="I4637" s="8">
        <f>IF(OR(D4637="",E4637=""),"",E4637*(1+D4637/30))</f>
        <v/>
      </c>
      <c r="J4637">
        <f>IF(I4637="","",IF(I4637&gt;=MAXIFS($I$2:$I$5001,$B$2:$B$5001,B4637,$A$2:$A$5001,"&lt;="&amp;A4637),"PR",""))</f>
        <v/>
      </c>
    </row>
    <row r="4638">
      <c r="A4638" s="7" t="n"/>
      <c r="H4638" s="11">
        <f>IF(OR(D4638="",E4638=""),"",D4638*E4638)</f>
        <v/>
      </c>
      <c r="I4638" s="8">
        <f>IF(OR(D4638="",E4638=""),"",E4638*(1+D4638/30))</f>
        <v/>
      </c>
      <c r="J4638">
        <f>IF(I4638="","",IF(I4638&gt;=MAXIFS($I$2:$I$5001,$B$2:$B$5001,B4638,$A$2:$A$5001,"&lt;="&amp;A4638),"PR",""))</f>
        <v/>
      </c>
    </row>
    <row r="4639">
      <c r="A4639" s="7" t="n"/>
      <c r="H4639" s="11">
        <f>IF(OR(D4639="",E4639=""),"",D4639*E4639)</f>
        <v/>
      </c>
      <c r="I4639" s="8">
        <f>IF(OR(D4639="",E4639=""),"",E4639*(1+D4639/30))</f>
        <v/>
      </c>
      <c r="J4639">
        <f>IF(I4639="","",IF(I4639&gt;=MAXIFS($I$2:$I$5001,$B$2:$B$5001,B4639,$A$2:$A$5001,"&lt;="&amp;A4639),"PR",""))</f>
        <v/>
      </c>
    </row>
    <row r="4640">
      <c r="A4640" s="7" t="n"/>
      <c r="H4640" s="11">
        <f>IF(OR(D4640="",E4640=""),"",D4640*E4640)</f>
        <v/>
      </c>
      <c r="I4640" s="8">
        <f>IF(OR(D4640="",E4640=""),"",E4640*(1+D4640/30))</f>
        <v/>
      </c>
      <c r="J4640">
        <f>IF(I4640="","",IF(I4640&gt;=MAXIFS($I$2:$I$5001,$B$2:$B$5001,B4640,$A$2:$A$5001,"&lt;="&amp;A4640),"PR",""))</f>
        <v/>
      </c>
    </row>
    <row r="4641">
      <c r="A4641" s="7" t="n"/>
      <c r="H4641" s="11">
        <f>IF(OR(D4641="",E4641=""),"",D4641*E4641)</f>
        <v/>
      </c>
      <c r="I4641" s="8">
        <f>IF(OR(D4641="",E4641=""),"",E4641*(1+D4641/30))</f>
        <v/>
      </c>
      <c r="J4641">
        <f>IF(I4641="","",IF(I4641&gt;=MAXIFS($I$2:$I$5001,$B$2:$B$5001,B4641,$A$2:$A$5001,"&lt;="&amp;A4641),"PR",""))</f>
        <v/>
      </c>
    </row>
    <row r="4642">
      <c r="A4642" s="7" t="n"/>
      <c r="H4642" s="11">
        <f>IF(OR(D4642="",E4642=""),"",D4642*E4642)</f>
        <v/>
      </c>
      <c r="I4642" s="8">
        <f>IF(OR(D4642="",E4642=""),"",E4642*(1+D4642/30))</f>
        <v/>
      </c>
      <c r="J4642">
        <f>IF(I4642="","",IF(I4642&gt;=MAXIFS($I$2:$I$5001,$B$2:$B$5001,B4642,$A$2:$A$5001,"&lt;="&amp;A4642),"PR",""))</f>
        <v/>
      </c>
    </row>
    <row r="4643">
      <c r="A4643" s="7" t="n"/>
      <c r="H4643" s="11">
        <f>IF(OR(D4643="",E4643=""),"",D4643*E4643)</f>
        <v/>
      </c>
      <c r="I4643" s="8">
        <f>IF(OR(D4643="",E4643=""),"",E4643*(1+D4643/30))</f>
        <v/>
      </c>
      <c r="J4643">
        <f>IF(I4643="","",IF(I4643&gt;=MAXIFS($I$2:$I$5001,$B$2:$B$5001,B4643,$A$2:$A$5001,"&lt;="&amp;A4643),"PR",""))</f>
        <v/>
      </c>
    </row>
    <row r="4644">
      <c r="A4644" s="7" t="n"/>
      <c r="H4644" s="11">
        <f>IF(OR(D4644="",E4644=""),"",D4644*E4644)</f>
        <v/>
      </c>
      <c r="I4644" s="8">
        <f>IF(OR(D4644="",E4644=""),"",E4644*(1+D4644/30))</f>
        <v/>
      </c>
      <c r="J4644">
        <f>IF(I4644="","",IF(I4644&gt;=MAXIFS($I$2:$I$5001,$B$2:$B$5001,B4644,$A$2:$A$5001,"&lt;="&amp;A4644),"PR",""))</f>
        <v/>
      </c>
    </row>
    <row r="4645">
      <c r="A4645" s="7" t="n"/>
      <c r="H4645" s="11">
        <f>IF(OR(D4645="",E4645=""),"",D4645*E4645)</f>
        <v/>
      </c>
      <c r="I4645" s="8">
        <f>IF(OR(D4645="",E4645=""),"",E4645*(1+D4645/30))</f>
        <v/>
      </c>
      <c r="J4645">
        <f>IF(I4645="","",IF(I4645&gt;=MAXIFS($I$2:$I$5001,$B$2:$B$5001,B4645,$A$2:$A$5001,"&lt;="&amp;A4645),"PR",""))</f>
        <v/>
      </c>
    </row>
    <row r="4646">
      <c r="A4646" s="7" t="n"/>
      <c r="H4646" s="11">
        <f>IF(OR(D4646="",E4646=""),"",D4646*E4646)</f>
        <v/>
      </c>
      <c r="I4646" s="8">
        <f>IF(OR(D4646="",E4646=""),"",E4646*(1+D4646/30))</f>
        <v/>
      </c>
      <c r="J4646">
        <f>IF(I4646="","",IF(I4646&gt;=MAXIFS($I$2:$I$5001,$B$2:$B$5001,B4646,$A$2:$A$5001,"&lt;="&amp;A4646),"PR",""))</f>
        <v/>
      </c>
    </row>
    <row r="4647">
      <c r="A4647" s="7" t="n"/>
      <c r="H4647" s="11">
        <f>IF(OR(D4647="",E4647=""),"",D4647*E4647)</f>
        <v/>
      </c>
      <c r="I4647" s="8">
        <f>IF(OR(D4647="",E4647=""),"",E4647*(1+D4647/30))</f>
        <v/>
      </c>
      <c r="J4647">
        <f>IF(I4647="","",IF(I4647&gt;=MAXIFS($I$2:$I$5001,$B$2:$B$5001,B4647,$A$2:$A$5001,"&lt;="&amp;A4647),"PR",""))</f>
        <v/>
      </c>
    </row>
    <row r="4648">
      <c r="A4648" s="7" t="n"/>
      <c r="H4648" s="11">
        <f>IF(OR(D4648="",E4648=""),"",D4648*E4648)</f>
        <v/>
      </c>
      <c r="I4648" s="8">
        <f>IF(OR(D4648="",E4648=""),"",E4648*(1+D4648/30))</f>
        <v/>
      </c>
      <c r="J4648">
        <f>IF(I4648="","",IF(I4648&gt;=MAXIFS($I$2:$I$5001,$B$2:$B$5001,B4648,$A$2:$A$5001,"&lt;="&amp;A4648),"PR",""))</f>
        <v/>
      </c>
    </row>
    <row r="4649">
      <c r="A4649" s="7" t="n"/>
      <c r="H4649" s="11">
        <f>IF(OR(D4649="",E4649=""),"",D4649*E4649)</f>
        <v/>
      </c>
      <c r="I4649" s="8">
        <f>IF(OR(D4649="",E4649=""),"",E4649*(1+D4649/30))</f>
        <v/>
      </c>
      <c r="J4649">
        <f>IF(I4649="","",IF(I4649&gt;=MAXIFS($I$2:$I$5001,$B$2:$B$5001,B4649,$A$2:$A$5001,"&lt;="&amp;A4649),"PR",""))</f>
        <v/>
      </c>
    </row>
    <row r="4650">
      <c r="A4650" s="7" t="n"/>
      <c r="H4650" s="11">
        <f>IF(OR(D4650="",E4650=""),"",D4650*E4650)</f>
        <v/>
      </c>
      <c r="I4650" s="8">
        <f>IF(OR(D4650="",E4650=""),"",E4650*(1+D4650/30))</f>
        <v/>
      </c>
      <c r="J4650">
        <f>IF(I4650="","",IF(I4650&gt;=MAXIFS($I$2:$I$5001,$B$2:$B$5001,B4650,$A$2:$A$5001,"&lt;="&amp;A4650),"PR",""))</f>
        <v/>
      </c>
    </row>
    <row r="4651">
      <c r="A4651" s="7" t="n"/>
      <c r="H4651" s="11">
        <f>IF(OR(D4651="",E4651=""),"",D4651*E4651)</f>
        <v/>
      </c>
      <c r="I4651" s="8">
        <f>IF(OR(D4651="",E4651=""),"",E4651*(1+D4651/30))</f>
        <v/>
      </c>
      <c r="J4651">
        <f>IF(I4651="","",IF(I4651&gt;=MAXIFS($I$2:$I$5001,$B$2:$B$5001,B4651,$A$2:$A$5001,"&lt;="&amp;A4651),"PR",""))</f>
        <v/>
      </c>
    </row>
    <row r="4652">
      <c r="A4652" s="7" t="n"/>
      <c r="H4652" s="11">
        <f>IF(OR(D4652="",E4652=""),"",D4652*E4652)</f>
        <v/>
      </c>
      <c r="I4652" s="8">
        <f>IF(OR(D4652="",E4652=""),"",E4652*(1+D4652/30))</f>
        <v/>
      </c>
      <c r="J4652">
        <f>IF(I4652="","",IF(I4652&gt;=MAXIFS($I$2:$I$5001,$B$2:$B$5001,B4652,$A$2:$A$5001,"&lt;="&amp;A4652),"PR",""))</f>
        <v/>
      </c>
    </row>
    <row r="4653">
      <c r="A4653" s="7" t="n"/>
      <c r="H4653" s="11">
        <f>IF(OR(D4653="",E4653=""),"",D4653*E4653)</f>
        <v/>
      </c>
      <c r="I4653" s="8">
        <f>IF(OR(D4653="",E4653=""),"",E4653*(1+D4653/30))</f>
        <v/>
      </c>
      <c r="J4653">
        <f>IF(I4653="","",IF(I4653&gt;=MAXIFS($I$2:$I$5001,$B$2:$B$5001,B4653,$A$2:$A$5001,"&lt;="&amp;A4653),"PR",""))</f>
        <v/>
      </c>
    </row>
    <row r="4654">
      <c r="A4654" s="7" t="n"/>
      <c r="H4654" s="11">
        <f>IF(OR(D4654="",E4654=""),"",D4654*E4654)</f>
        <v/>
      </c>
      <c r="I4654" s="8">
        <f>IF(OR(D4654="",E4654=""),"",E4654*(1+D4654/30))</f>
        <v/>
      </c>
      <c r="J4654">
        <f>IF(I4654="","",IF(I4654&gt;=MAXIFS($I$2:$I$5001,$B$2:$B$5001,B4654,$A$2:$A$5001,"&lt;="&amp;A4654),"PR",""))</f>
        <v/>
      </c>
    </row>
    <row r="4655">
      <c r="A4655" s="7" t="n"/>
      <c r="H4655" s="11">
        <f>IF(OR(D4655="",E4655=""),"",D4655*E4655)</f>
        <v/>
      </c>
      <c r="I4655" s="8">
        <f>IF(OR(D4655="",E4655=""),"",E4655*(1+D4655/30))</f>
        <v/>
      </c>
      <c r="J4655">
        <f>IF(I4655="","",IF(I4655&gt;=MAXIFS($I$2:$I$5001,$B$2:$B$5001,B4655,$A$2:$A$5001,"&lt;="&amp;A4655),"PR",""))</f>
        <v/>
      </c>
    </row>
    <row r="4656">
      <c r="A4656" s="7" t="n"/>
      <c r="H4656" s="11">
        <f>IF(OR(D4656="",E4656=""),"",D4656*E4656)</f>
        <v/>
      </c>
      <c r="I4656" s="8">
        <f>IF(OR(D4656="",E4656=""),"",E4656*(1+D4656/30))</f>
        <v/>
      </c>
      <c r="J4656">
        <f>IF(I4656="","",IF(I4656&gt;=MAXIFS($I$2:$I$5001,$B$2:$B$5001,B4656,$A$2:$A$5001,"&lt;="&amp;A4656),"PR",""))</f>
        <v/>
      </c>
    </row>
    <row r="4657">
      <c r="A4657" s="7" t="n"/>
      <c r="H4657" s="11">
        <f>IF(OR(D4657="",E4657=""),"",D4657*E4657)</f>
        <v/>
      </c>
      <c r="I4657" s="8">
        <f>IF(OR(D4657="",E4657=""),"",E4657*(1+D4657/30))</f>
        <v/>
      </c>
      <c r="J4657">
        <f>IF(I4657="","",IF(I4657&gt;=MAXIFS($I$2:$I$5001,$B$2:$B$5001,B4657,$A$2:$A$5001,"&lt;="&amp;A4657),"PR",""))</f>
        <v/>
      </c>
    </row>
    <row r="4658">
      <c r="A4658" s="7" t="n"/>
      <c r="H4658" s="11">
        <f>IF(OR(D4658="",E4658=""),"",D4658*E4658)</f>
        <v/>
      </c>
      <c r="I4658" s="8">
        <f>IF(OR(D4658="",E4658=""),"",E4658*(1+D4658/30))</f>
        <v/>
      </c>
      <c r="J4658">
        <f>IF(I4658="","",IF(I4658&gt;=MAXIFS($I$2:$I$5001,$B$2:$B$5001,B4658,$A$2:$A$5001,"&lt;="&amp;A4658),"PR",""))</f>
        <v/>
      </c>
    </row>
    <row r="4659">
      <c r="A4659" s="7" t="n"/>
      <c r="H4659" s="11">
        <f>IF(OR(D4659="",E4659=""),"",D4659*E4659)</f>
        <v/>
      </c>
      <c r="I4659" s="8">
        <f>IF(OR(D4659="",E4659=""),"",E4659*(1+D4659/30))</f>
        <v/>
      </c>
      <c r="J4659">
        <f>IF(I4659="","",IF(I4659&gt;=MAXIFS($I$2:$I$5001,$B$2:$B$5001,B4659,$A$2:$A$5001,"&lt;="&amp;A4659),"PR",""))</f>
        <v/>
      </c>
    </row>
    <row r="4660">
      <c r="A4660" s="7" t="n"/>
      <c r="H4660" s="11">
        <f>IF(OR(D4660="",E4660=""),"",D4660*E4660)</f>
        <v/>
      </c>
      <c r="I4660" s="8">
        <f>IF(OR(D4660="",E4660=""),"",E4660*(1+D4660/30))</f>
        <v/>
      </c>
      <c r="J4660">
        <f>IF(I4660="","",IF(I4660&gt;=MAXIFS($I$2:$I$5001,$B$2:$B$5001,B4660,$A$2:$A$5001,"&lt;="&amp;A4660),"PR",""))</f>
        <v/>
      </c>
    </row>
    <row r="4661">
      <c r="A4661" s="7" t="n"/>
      <c r="H4661" s="11">
        <f>IF(OR(D4661="",E4661=""),"",D4661*E4661)</f>
        <v/>
      </c>
      <c r="I4661" s="8">
        <f>IF(OR(D4661="",E4661=""),"",E4661*(1+D4661/30))</f>
        <v/>
      </c>
      <c r="J4661">
        <f>IF(I4661="","",IF(I4661&gt;=MAXIFS($I$2:$I$5001,$B$2:$B$5001,B4661,$A$2:$A$5001,"&lt;="&amp;A4661),"PR",""))</f>
        <v/>
      </c>
    </row>
    <row r="4662">
      <c r="A4662" s="7" t="n"/>
      <c r="H4662" s="11">
        <f>IF(OR(D4662="",E4662=""),"",D4662*E4662)</f>
        <v/>
      </c>
      <c r="I4662" s="8">
        <f>IF(OR(D4662="",E4662=""),"",E4662*(1+D4662/30))</f>
        <v/>
      </c>
      <c r="J4662">
        <f>IF(I4662="","",IF(I4662&gt;=MAXIFS($I$2:$I$5001,$B$2:$B$5001,B4662,$A$2:$A$5001,"&lt;="&amp;A4662),"PR",""))</f>
        <v/>
      </c>
    </row>
    <row r="4663">
      <c r="A4663" s="7" t="n"/>
      <c r="H4663" s="11">
        <f>IF(OR(D4663="",E4663=""),"",D4663*E4663)</f>
        <v/>
      </c>
      <c r="I4663" s="8">
        <f>IF(OR(D4663="",E4663=""),"",E4663*(1+D4663/30))</f>
        <v/>
      </c>
      <c r="J4663">
        <f>IF(I4663="","",IF(I4663&gt;=MAXIFS($I$2:$I$5001,$B$2:$B$5001,B4663,$A$2:$A$5001,"&lt;="&amp;A4663),"PR",""))</f>
        <v/>
      </c>
    </row>
    <row r="4664">
      <c r="A4664" s="7" t="n"/>
      <c r="H4664" s="11">
        <f>IF(OR(D4664="",E4664=""),"",D4664*E4664)</f>
        <v/>
      </c>
      <c r="I4664" s="8">
        <f>IF(OR(D4664="",E4664=""),"",E4664*(1+D4664/30))</f>
        <v/>
      </c>
      <c r="J4664">
        <f>IF(I4664="","",IF(I4664&gt;=MAXIFS($I$2:$I$5001,$B$2:$B$5001,B4664,$A$2:$A$5001,"&lt;="&amp;A4664),"PR",""))</f>
        <v/>
      </c>
    </row>
    <row r="4665">
      <c r="A4665" s="7" t="n"/>
      <c r="H4665" s="11">
        <f>IF(OR(D4665="",E4665=""),"",D4665*E4665)</f>
        <v/>
      </c>
      <c r="I4665" s="8">
        <f>IF(OR(D4665="",E4665=""),"",E4665*(1+D4665/30))</f>
        <v/>
      </c>
      <c r="J4665">
        <f>IF(I4665="","",IF(I4665&gt;=MAXIFS($I$2:$I$5001,$B$2:$B$5001,B4665,$A$2:$A$5001,"&lt;="&amp;A4665),"PR",""))</f>
        <v/>
      </c>
    </row>
    <row r="4666">
      <c r="A4666" s="7" t="n"/>
      <c r="H4666" s="11">
        <f>IF(OR(D4666="",E4666=""),"",D4666*E4666)</f>
        <v/>
      </c>
      <c r="I4666" s="8">
        <f>IF(OR(D4666="",E4666=""),"",E4666*(1+D4666/30))</f>
        <v/>
      </c>
      <c r="J4666">
        <f>IF(I4666="","",IF(I4666&gt;=MAXIFS($I$2:$I$5001,$B$2:$B$5001,B4666,$A$2:$A$5001,"&lt;="&amp;A4666),"PR",""))</f>
        <v/>
      </c>
    </row>
    <row r="4667">
      <c r="A4667" s="7" t="n"/>
      <c r="H4667" s="11">
        <f>IF(OR(D4667="",E4667=""),"",D4667*E4667)</f>
        <v/>
      </c>
      <c r="I4667" s="8">
        <f>IF(OR(D4667="",E4667=""),"",E4667*(1+D4667/30))</f>
        <v/>
      </c>
      <c r="J4667">
        <f>IF(I4667="","",IF(I4667&gt;=MAXIFS($I$2:$I$5001,$B$2:$B$5001,B4667,$A$2:$A$5001,"&lt;="&amp;A4667),"PR",""))</f>
        <v/>
      </c>
    </row>
    <row r="4668">
      <c r="A4668" s="7" t="n"/>
      <c r="H4668" s="11">
        <f>IF(OR(D4668="",E4668=""),"",D4668*E4668)</f>
        <v/>
      </c>
      <c r="I4668" s="8">
        <f>IF(OR(D4668="",E4668=""),"",E4668*(1+D4668/30))</f>
        <v/>
      </c>
      <c r="J4668">
        <f>IF(I4668="","",IF(I4668&gt;=MAXIFS($I$2:$I$5001,$B$2:$B$5001,B4668,$A$2:$A$5001,"&lt;="&amp;A4668),"PR",""))</f>
        <v/>
      </c>
    </row>
    <row r="4669">
      <c r="A4669" s="7" t="n"/>
      <c r="H4669" s="11">
        <f>IF(OR(D4669="",E4669=""),"",D4669*E4669)</f>
        <v/>
      </c>
      <c r="I4669" s="8">
        <f>IF(OR(D4669="",E4669=""),"",E4669*(1+D4669/30))</f>
        <v/>
      </c>
      <c r="J4669">
        <f>IF(I4669="","",IF(I4669&gt;=MAXIFS($I$2:$I$5001,$B$2:$B$5001,B4669,$A$2:$A$5001,"&lt;="&amp;A4669),"PR",""))</f>
        <v/>
      </c>
    </row>
    <row r="4670">
      <c r="A4670" s="7" t="n"/>
      <c r="H4670" s="11">
        <f>IF(OR(D4670="",E4670=""),"",D4670*E4670)</f>
        <v/>
      </c>
      <c r="I4670" s="8">
        <f>IF(OR(D4670="",E4670=""),"",E4670*(1+D4670/30))</f>
        <v/>
      </c>
      <c r="J4670">
        <f>IF(I4670="","",IF(I4670&gt;=MAXIFS($I$2:$I$5001,$B$2:$B$5001,B4670,$A$2:$A$5001,"&lt;="&amp;A4670),"PR",""))</f>
        <v/>
      </c>
    </row>
    <row r="4671">
      <c r="A4671" s="7" t="n"/>
      <c r="H4671" s="11">
        <f>IF(OR(D4671="",E4671=""),"",D4671*E4671)</f>
        <v/>
      </c>
      <c r="I4671" s="8">
        <f>IF(OR(D4671="",E4671=""),"",E4671*(1+D4671/30))</f>
        <v/>
      </c>
      <c r="J4671">
        <f>IF(I4671="","",IF(I4671&gt;=MAXIFS($I$2:$I$5001,$B$2:$B$5001,B4671,$A$2:$A$5001,"&lt;="&amp;A4671),"PR",""))</f>
        <v/>
      </c>
    </row>
    <row r="4672">
      <c r="A4672" s="7" t="n"/>
      <c r="H4672" s="11">
        <f>IF(OR(D4672="",E4672=""),"",D4672*E4672)</f>
        <v/>
      </c>
      <c r="I4672" s="8">
        <f>IF(OR(D4672="",E4672=""),"",E4672*(1+D4672/30))</f>
        <v/>
      </c>
      <c r="J4672">
        <f>IF(I4672="","",IF(I4672&gt;=MAXIFS($I$2:$I$5001,$B$2:$B$5001,B4672,$A$2:$A$5001,"&lt;="&amp;A4672),"PR",""))</f>
        <v/>
      </c>
    </row>
    <row r="4673">
      <c r="A4673" s="7" t="n"/>
      <c r="H4673" s="11">
        <f>IF(OR(D4673="",E4673=""),"",D4673*E4673)</f>
        <v/>
      </c>
      <c r="I4673" s="8">
        <f>IF(OR(D4673="",E4673=""),"",E4673*(1+D4673/30))</f>
        <v/>
      </c>
      <c r="J4673">
        <f>IF(I4673="","",IF(I4673&gt;=MAXIFS($I$2:$I$5001,$B$2:$B$5001,B4673,$A$2:$A$5001,"&lt;="&amp;A4673),"PR",""))</f>
        <v/>
      </c>
    </row>
    <row r="4674">
      <c r="A4674" s="7" t="n"/>
      <c r="H4674" s="11">
        <f>IF(OR(D4674="",E4674=""),"",D4674*E4674)</f>
        <v/>
      </c>
      <c r="I4674" s="8">
        <f>IF(OR(D4674="",E4674=""),"",E4674*(1+D4674/30))</f>
        <v/>
      </c>
      <c r="J4674">
        <f>IF(I4674="","",IF(I4674&gt;=MAXIFS($I$2:$I$5001,$B$2:$B$5001,B4674,$A$2:$A$5001,"&lt;="&amp;A4674),"PR",""))</f>
        <v/>
      </c>
    </row>
    <row r="4675">
      <c r="A4675" s="7" t="n"/>
      <c r="H4675" s="11">
        <f>IF(OR(D4675="",E4675=""),"",D4675*E4675)</f>
        <v/>
      </c>
      <c r="I4675" s="8">
        <f>IF(OR(D4675="",E4675=""),"",E4675*(1+D4675/30))</f>
        <v/>
      </c>
      <c r="J4675">
        <f>IF(I4675="","",IF(I4675&gt;=MAXIFS($I$2:$I$5001,$B$2:$B$5001,B4675,$A$2:$A$5001,"&lt;="&amp;A4675),"PR",""))</f>
        <v/>
      </c>
    </row>
    <row r="4676">
      <c r="A4676" s="7" t="n"/>
      <c r="H4676" s="11">
        <f>IF(OR(D4676="",E4676=""),"",D4676*E4676)</f>
        <v/>
      </c>
      <c r="I4676" s="8">
        <f>IF(OR(D4676="",E4676=""),"",E4676*(1+D4676/30))</f>
        <v/>
      </c>
      <c r="J4676">
        <f>IF(I4676="","",IF(I4676&gt;=MAXIFS($I$2:$I$5001,$B$2:$B$5001,B4676,$A$2:$A$5001,"&lt;="&amp;A4676),"PR",""))</f>
        <v/>
      </c>
    </row>
    <row r="4677">
      <c r="A4677" s="7" t="n"/>
      <c r="H4677" s="11">
        <f>IF(OR(D4677="",E4677=""),"",D4677*E4677)</f>
        <v/>
      </c>
      <c r="I4677" s="8">
        <f>IF(OR(D4677="",E4677=""),"",E4677*(1+D4677/30))</f>
        <v/>
      </c>
      <c r="J4677">
        <f>IF(I4677="","",IF(I4677&gt;=MAXIFS($I$2:$I$5001,$B$2:$B$5001,B4677,$A$2:$A$5001,"&lt;="&amp;A4677),"PR",""))</f>
        <v/>
      </c>
    </row>
    <row r="4678">
      <c r="A4678" s="7" t="n"/>
      <c r="H4678" s="11">
        <f>IF(OR(D4678="",E4678=""),"",D4678*E4678)</f>
        <v/>
      </c>
      <c r="I4678" s="8">
        <f>IF(OR(D4678="",E4678=""),"",E4678*(1+D4678/30))</f>
        <v/>
      </c>
      <c r="J4678">
        <f>IF(I4678="","",IF(I4678&gt;=MAXIFS($I$2:$I$5001,$B$2:$B$5001,B4678,$A$2:$A$5001,"&lt;="&amp;A4678),"PR",""))</f>
        <v/>
      </c>
    </row>
    <row r="4679">
      <c r="A4679" s="7" t="n"/>
      <c r="H4679" s="11">
        <f>IF(OR(D4679="",E4679=""),"",D4679*E4679)</f>
        <v/>
      </c>
      <c r="I4679" s="8">
        <f>IF(OR(D4679="",E4679=""),"",E4679*(1+D4679/30))</f>
        <v/>
      </c>
      <c r="J4679">
        <f>IF(I4679="","",IF(I4679&gt;=MAXIFS($I$2:$I$5001,$B$2:$B$5001,B4679,$A$2:$A$5001,"&lt;="&amp;A4679),"PR",""))</f>
        <v/>
      </c>
    </row>
    <row r="4680">
      <c r="A4680" s="7" t="n"/>
      <c r="H4680" s="11">
        <f>IF(OR(D4680="",E4680=""),"",D4680*E4680)</f>
        <v/>
      </c>
      <c r="I4680" s="8">
        <f>IF(OR(D4680="",E4680=""),"",E4680*(1+D4680/30))</f>
        <v/>
      </c>
      <c r="J4680">
        <f>IF(I4680="","",IF(I4680&gt;=MAXIFS($I$2:$I$5001,$B$2:$B$5001,B4680,$A$2:$A$5001,"&lt;="&amp;A4680),"PR",""))</f>
        <v/>
      </c>
    </row>
    <row r="4681">
      <c r="A4681" s="7" t="n"/>
      <c r="H4681" s="11">
        <f>IF(OR(D4681="",E4681=""),"",D4681*E4681)</f>
        <v/>
      </c>
      <c r="I4681" s="8">
        <f>IF(OR(D4681="",E4681=""),"",E4681*(1+D4681/30))</f>
        <v/>
      </c>
      <c r="J4681">
        <f>IF(I4681="","",IF(I4681&gt;=MAXIFS($I$2:$I$5001,$B$2:$B$5001,B4681,$A$2:$A$5001,"&lt;="&amp;A4681),"PR",""))</f>
        <v/>
      </c>
    </row>
    <row r="4682">
      <c r="A4682" s="7" t="n"/>
      <c r="H4682" s="11">
        <f>IF(OR(D4682="",E4682=""),"",D4682*E4682)</f>
        <v/>
      </c>
      <c r="I4682" s="8">
        <f>IF(OR(D4682="",E4682=""),"",E4682*(1+D4682/30))</f>
        <v/>
      </c>
      <c r="J4682">
        <f>IF(I4682="","",IF(I4682&gt;=MAXIFS($I$2:$I$5001,$B$2:$B$5001,B4682,$A$2:$A$5001,"&lt;="&amp;A4682),"PR",""))</f>
        <v/>
      </c>
    </row>
    <row r="4683">
      <c r="A4683" s="7" t="n"/>
      <c r="H4683" s="11">
        <f>IF(OR(D4683="",E4683=""),"",D4683*E4683)</f>
        <v/>
      </c>
      <c r="I4683" s="8">
        <f>IF(OR(D4683="",E4683=""),"",E4683*(1+D4683/30))</f>
        <v/>
      </c>
      <c r="J4683">
        <f>IF(I4683="","",IF(I4683&gt;=MAXIFS($I$2:$I$5001,$B$2:$B$5001,B4683,$A$2:$A$5001,"&lt;="&amp;A4683),"PR",""))</f>
        <v/>
      </c>
    </row>
    <row r="4684">
      <c r="A4684" s="7" t="n"/>
      <c r="H4684" s="11">
        <f>IF(OR(D4684="",E4684=""),"",D4684*E4684)</f>
        <v/>
      </c>
      <c r="I4684" s="8">
        <f>IF(OR(D4684="",E4684=""),"",E4684*(1+D4684/30))</f>
        <v/>
      </c>
      <c r="J4684">
        <f>IF(I4684="","",IF(I4684&gt;=MAXIFS($I$2:$I$5001,$B$2:$B$5001,B4684,$A$2:$A$5001,"&lt;="&amp;A4684),"PR",""))</f>
        <v/>
      </c>
    </row>
    <row r="4685">
      <c r="A4685" s="7" t="n"/>
      <c r="H4685" s="11">
        <f>IF(OR(D4685="",E4685=""),"",D4685*E4685)</f>
        <v/>
      </c>
      <c r="I4685" s="8">
        <f>IF(OR(D4685="",E4685=""),"",E4685*(1+D4685/30))</f>
        <v/>
      </c>
      <c r="J4685">
        <f>IF(I4685="","",IF(I4685&gt;=MAXIFS($I$2:$I$5001,$B$2:$B$5001,B4685,$A$2:$A$5001,"&lt;="&amp;A4685),"PR",""))</f>
        <v/>
      </c>
    </row>
    <row r="4686">
      <c r="A4686" s="7" t="n"/>
      <c r="H4686" s="11">
        <f>IF(OR(D4686="",E4686=""),"",D4686*E4686)</f>
        <v/>
      </c>
      <c r="I4686" s="8">
        <f>IF(OR(D4686="",E4686=""),"",E4686*(1+D4686/30))</f>
        <v/>
      </c>
      <c r="J4686">
        <f>IF(I4686="","",IF(I4686&gt;=MAXIFS($I$2:$I$5001,$B$2:$B$5001,B4686,$A$2:$A$5001,"&lt;="&amp;A4686),"PR",""))</f>
        <v/>
      </c>
    </row>
    <row r="4687">
      <c r="A4687" s="7" t="n"/>
      <c r="H4687" s="11">
        <f>IF(OR(D4687="",E4687=""),"",D4687*E4687)</f>
        <v/>
      </c>
      <c r="I4687" s="8">
        <f>IF(OR(D4687="",E4687=""),"",E4687*(1+D4687/30))</f>
        <v/>
      </c>
      <c r="J4687">
        <f>IF(I4687="","",IF(I4687&gt;=MAXIFS($I$2:$I$5001,$B$2:$B$5001,B4687,$A$2:$A$5001,"&lt;="&amp;A4687),"PR",""))</f>
        <v/>
      </c>
    </row>
    <row r="4688">
      <c r="A4688" s="7" t="n"/>
      <c r="H4688" s="11">
        <f>IF(OR(D4688="",E4688=""),"",D4688*E4688)</f>
        <v/>
      </c>
      <c r="I4688" s="8">
        <f>IF(OR(D4688="",E4688=""),"",E4688*(1+D4688/30))</f>
        <v/>
      </c>
      <c r="J4688">
        <f>IF(I4688="","",IF(I4688&gt;=MAXIFS($I$2:$I$5001,$B$2:$B$5001,B4688,$A$2:$A$5001,"&lt;="&amp;A4688),"PR",""))</f>
        <v/>
      </c>
    </row>
    <row r="4689">
      <c r="A4689" s="7" t="n"/>
      <c r="H4689" s="11">
        <f>IF(OR(D4689="",E4689=""),"",D4689*E4689)</f>
        <v/>
      </c>
      <c r="I4689" s="8">
        <f>IF(OR(D4689="",E4689=""),"",E4689*(1+D4689/30))</f>
        <v/>
      </c>
      <c r="J4689">
        <f>IF(I4689="","",IF(I4689&gt;=MAXIFS($I$2:$I$5001,$B$2:$B$5001,B4689,$A$2:$A$5001,"&lt;="&amp;A4689),"PR",""))</f>
        <v/>
      </c>
    </row>
    <row r="4690">
      <c r="A4690" s="7" t="n"/>
      <c r="H4690" s="11">
        <f>IF(OR(D4690="",E4690=""),"",D4690*E4690)</f>
        <v/>
      </c>
      <c r="I4690" s="8">
        <f>IF(OR(D4690="",E4690=""),"",E4690*(1+D4690/30))</f>
        <v/>
      </c>
      <c r="J4690">
        <f>IF(I4690="","",IF(I4690&gt;=MAXIFS($I$2:$I$5001,$B$2:$B$5001,B4690,$A$2:$A$5001,"&lt;="&amp;A4690),"PR",""))</f>
        <v/>
      </c>
    </row>
    <row r="4691">
      <c r="A4691" s="7" t="n"/>
      <c r="H4691" s="11">
        <f>IF(OR(D4691="",E4691=""),"",D4691*E4691)</f>
        <v/>
      </c>
      <c r="I4691" s="8">
        <f>IF(OR(D4691="",E4691=""),"",E4691*(1+D4691/30))</f>
        <v/>
      </c>
      <c r="J4691">
        <f>IF(I4691="","",IF(I4691&gt;=MAXIFS($I$2:$I$5001,$B$2:$B$5001,B4691,$A$2:$A$5001,"&lt;="&amp;A4691),"PR",""))</f>
        <v/>
      </c>
    </row>
    <row r="4692">
      <c r="A4692" s="7" t="n"/>
      <c r="H4692" s="11">
        <f>IF(OR(D4692="",E4692=""),"",D4692*E4692)</f>
        <v/>
      </c>
      <c r="I4692" s="8">
        <f>IF(OR(D4692="",E4692=""),"",E4692*(1+D4692/30))</f>
        <v/>
      </c>
      <c r="J4692">
        <f>IF(I4692="","",IF(I4692&gt;=MAXIFS($I$2:$I$5001,$B$2:$B$5001,B4692,$A$2:$A$5001,"&lt;="&amp;A4692),"PR",""))</f>
        <v/>
      </c>
    </row>
    <row r="4693">
      <c r="A4693" s="7" t="n"/>
      <c r="H4693" s="11">
        <f>IF(OR(D4693="",E4693=""),"",D4693*E4693)</f>
        <v/>
      </c>
      <c r="I4693" s="8">
        <f>IF(OR(D4693="",E4693=""),"",E4693*(1+D4693/30))</f>
        <v/>
      </c>
      <c r="J4693">
        <f>IF(I4693="","",IF(I4693&gt;=MAXIFS($I$2:$I$5001,$B$2:$B$5001,B4693,$A$2:$A$5001,"&lt;="&amp;A4693),"PR",""))</f>
        <v/>
      </c>
    </row>
    <row r="4694">
      <c r="A4694" s="7" t="n"/>
      <c r="H4694" s="11">
        <f>IF(OR(D4694="",E4694=""),"",D4694*E4694)</f>
        <v/>
      </c>
      <c r="I4694" s="8">
        <f>IF(OR(D4694="",E4694=""),"",E4694*(1+D4694/30))</f>
        <v/>
      </c>
      <c r="J4694">
        <f>IF(I4694="","",IF(I4694&gt;=MAXIFS($I$2:$I$5001,$B$2:$B$5001,B4694,$A$2:$A$5001,"&lt;="&amp;A4694),"PR",""))</f>
        <v/>
      </c>
    </row>
    <row r="4695">
      <c r="A4695" s="7" t="n"/>
      <c r="H4695" s="11">
        <f>IF(OR(D4695="",E4695=""),"",D4695*E4695)</f>
        <v/>
      </c>
      <c r="I4695" s="8">
        <f>IF(OR(D4695="",E4695=""),"",E4695*(1+D4695/30))</f>
        <v/>
      </c>
      <c r="J4695">
        <f>IF(I4695="","",IF(I4695&gt;=MAXIFS($I$2:$I$5001,$B$2:$B$5001,B4695,$A$2:$A$5001,"&lt;="&amp;A4695),"PR",""))</f>
        <v/>
      </c>
    </row>
    <row r="4696">
      <c r="A4696" s="7" t="n"/>
      <c r="H4696" s="11">
        <f>IF(OR(D4696="",E4696=""),"",D4696*E4696)</f>
        <v/>
      </c>
      <c r="I4696" s="8">
        <f>IF(OR(D4696="",E4696=""),"",E4696*(1+D4696/30))</f>
        <v/>
      </c>
      <c r="J4696">
        <f>IF(I4696="","",IF(I4696&gt;=MAXIFS($I$2:$I$5001,$B$2:$B$5001,B4696,$A$2:$A$5001,"&lt;="&amp;A4696),"PR",""))</f>
        <v/>
      </c>
    </row>
    <row r="4697">
      <c r="A4697" s="7" t="n"/>
      <c r="H4697" s="11">
        <f>IF(OR(D4697="",E4697=""),"",D4697*E4697)</f>
        <v/>
      </c>
      <c r="I4697" s="8">
        <f>IF(OR(D4697="",E4697=""),"",E4697*(1+D4697/30))</f>
        <v/>
      </c>
      <c r="J4697">
        <f>IF(I4697="","",IF(I4697&gt;=MAXIFS($I$2:$I$5001,$B$2:$B$5001,B4697,$A$2:$A$5001,"&lt;="&amp;A4697),"PR",""))</f>
        <v/>
      </c>
    </row>
    <row r="4698">
      <c r="A4698" s="7" t="n"/>
      <c r="H4698" s="11">
        <f>IF(OR(D4698="",E4698=""),"",D4698*E4698)</f>
        <v/>
      </c>
      <c r="I4698" s="8">
        <f>IF(OR(D4698="",E4698=""),"",E4698*(1+D4698/30))</f>
        <v/>
      </c>
      <c r="J4698">
        <f>IF(I4698="","",IF(I4698&gt;=MAXIFS($I$2:$I$5001,$B$2:$B$5001,B4698,$A$2:$A$5001,"&lt;="&amp;A4698),"PR",""))</f>
        <v/>
      </c>
    </row>
    <row r="4699">
      <c r="A4699" s="7" t="n"/>
      <c r="H4699" s="11">
        <f>IF(OR(D4699="",E4699=""),"",D4699*E4699)</f>
        <v/>
      </c>
      <c r="I4699" s="8">
        <f>IF(OR(D4699="",E4699=""),"",E4699*(1+D4699/30))</f>
        <v/>
      </c>
      <c r="J4699">
        <f>IF(I4699="","",IF(I4699&gt;=MAXIFS($I$2:$I$5001,$B$2:$B$5001,B4699,$A$2:$A$5001,"&lt;="&amp;A4699),"PR",""))</f>
        <v/>
      </c>
    </row>
    <row r="4700">
      <c r="A4700" s="7" t="n"/>
      <c r="H4700" s="11">
        <f>IF(OR(D4700="",E4700=""),"",D4700*E4700)</f>
        <v/>
      </c>
      <c r="I4700" s="8">
        <f>IF(OR(D4700="",E4700=""),"",E4700*(1+D4700/30))</f>
        <v/>
      </c>
      <c r="J4700">
        <f>IF(I4700="","",IF(I4700&gt;=MAXIFS($I$2:$I$5001,$B$2:$B$5001,B4700,$A$2:$A$5001,"&lt;="&amp;A4700),"PR",""))</f>
        <v/>
      </c>
    </row>
    <row r="4701">
      <c r="A4701" s="7" t="n"/>
      <c r="H4701" s="11">
        <f>IF(OR(D4701="",E4701=""),"",D4701*E4701)</f>
        <v/>
      </c>
      <c r="I4701" s="8">
        <f>IF(OR(D4701="",E4701=""),"",E4701*(1+D4701/30))</f>
        <v/>
      </c>
      <c r="J4701">
        <f>IF(I4701="","",IF(I4701&gt;=MAXIFS($I$2:$I$5001,$B$2:$B$5001,B4701,$A$2:$A$5001,"&lt;="&amp;A4701),"PR",""))</f>
        <v/>
      </c>
    </row>
    <row r="4702">
      <c r="A4702" s="7" t="n"/>
      <c r="H4702" s="11">
        <f>IF(OR(D4702="",E4702=""),"",D4702*E4702)</f>
        <v/>
      </c>
      <c r="I4702" s="8">
        <f>IF(OR(D4702="",E4702=""),"",E4702*(1+D4702/30))</f>
        <v/>
      </c>
      <c r="J4702">
        <f>IF(I4702="","",IF(I4702&gt;=MAXIFS($I$2:$I$5001,$B$2:$B$5001,B4702,$A$2:$A$5001,"&lt;="&amp;A4702),"PR",""))</f>
        <v/>
      </c>
    </row>
    <row r="4703">
      <c r="A4703" s="7" t="n"/>
      <c r="H4703" s="11">
        <f>IF(OR(D4703="",E4703=""),"",D4703*E4703)</f>
        <v/>
      </c>
      <c r="I4703" s="8">
        <f>IF(OR(D4703="",E4703=""),"",E4703*(1+D4703/30))</f>
        <v/>
      </c>
      <c r="J4703">
        <f>IF(I4703="","",IF(I4703&gt;=MAXIFS($I$2:$I$5001,$B$2:$B$5001,B4703,$A$2:$A$5001,"&lt;="&amp;A4703),"PR",""))</f>
        <v/>
      </c>
    </row>
    <row r="4704">
      <c r="A4704" s="7" t="n"/>
      <c r="H4704" s="11">
        <f>IF(OR(D4704="",E4704=""),"",D4704*E4704)</f>
        <v/>
      </c>
      <c r="I4704" s="8">
        <f>IF(OR(D4704="",E4704=""),"",E4704*(1+D4704/30))</f>
        <v/>
      </c>
      <c r="J4704">
        <f>IF(I4704="","",IF(I4704&gt;=MAXIFS($I$2:$I$5001,$B$2:$B$5001,B4704,$A$2:$A$5001,"&lt;="&amp;A4704),"PR",""))</f>
        <v/>
      </c>
    </row>
    <row r="4705">
      <c r="A4705" s="7" t="n"/>
      <c r="H4705" s="11">
        <f>IF(OR(D4705="",E4705=""),"",D4705*E4705)</f>
        <v/>
      </c>
      <c r="I4705" s="8">
        <f>IF(OR(D4705="",E4705=""),"",E4705*(1+D4705/30))</f>
        <v/>
      </c>
      <c r="J4705">
        <f>IF(I4705="","",IF(I4705&gt;=MAXIFS($I$2:$I$5001,$B$2:$B$5001,B4705,$A$2:$A$5001,"&lt;="&amp;A4705),"PR",""))</f>
        <v/>
      </c>
    </row>
    <row r="4706">
      <c r="A4706" s="7" t="n"/>
      <c r="H4706" s="11">
        <f>IF(OR(D4706="",E4706=""),"",D4706*E4706)</f>
        <v/>
      </c>
      <c r="I4706" s="8">
        <f>IF(OR(D4706="",E4706=""),"",E4706*(1+D4706/30))</f>
        <v/>
      </c>
      <c r="J4706">
        <f>IF(I4706="","",IF(I4706&gt;=MAXIFS($I$2:$I$5001,$B$2:$B$5001,B4706,$A$2:$A$5001,"&lt;="&amp;A4706),"PR",""))</f>
        <v/>
      </c>
    </row>
    <row r="4707">
      <c r="A4707" s="7" t="n"/>
      <c r="H4707" s="11">
        <f>IF(OR(D4707="",E4707=""),"",D4707*E4707)</f>
        <v/>
      </c>
      <c r="I4707" s="8">
        <f>IF(OR(D4707="",E4707=""),"",E4707*(1+D4707/30))</f>
        <v/>
      </c>
      <c r="J4707">
        <f>IF(I4707="","",IF(I4707&gt;=MAXIFS($I$2:$I$5001,$B$2:$B$5001,B4707,$A$2:$A$5001,"&lt;="&amp;A4707),"PR",""))</f>
        <v/>
      </c>
    </row>
    <row r="4708">
      <c r="A4708" s="7" t="n"/>
      <c r="H4708" s="11">
        <f>IF(OR(D4708="",E4708=""),"",D4708*E4708)</f>
        <v/>
      </c>
      <c r="I4708" s="8">
        <f>IF(OR(D4708="",E4708=""),"",E4708*(1+D4708/30))</f>
        <v/>
      </c>
      <c r="J4708">
        <f>IF(I4708="","",IF(I4708&gt;=MAXIFS($I$2:$I$5001,$B$2:$B$5001,B4708,$A$2:$A$5001,"&lt;="&amp;A4708),"PR",""))</f>
        <v/>
      </c>
    </row>
    <row r="4709">
      <c r="A4709" s="7" t="n"/>
      <c r="H4709" s="11">
        <f>IF(OR(D4709="",E4709=""),"",D4709*E4709)</f>
        <v/>
      </c>
      <c r="I4709" s="8">
        <f>IF(OR(D4709="",E4709=""),"",E4709*(1+D4709/30))</f>
        <v/>
      </c>
      <c r="J4709">
        <f>IF(I4709="","",IF(I4709&gt;=MAXIFS($I$2:$I$5001,$B$2:$B$5001,B4709,$A$2:$A$5001,"&lt;="&amp;A4709),"PR",""))</f>
        <v/>
      </c>
    </row>
    <row r="4710">
      <c r="A4710" s="7" t="n"/>
      <c r="H4710" s="11">
        <f>IF(OR(D4710="",E4710=""),"",D4710*E4710)</f>
        <v/>
      </c>
      <c r="I4710" s="8">
        <f>IF(OR(D4710="",E4710=""),"",E4710*(1+D4710/30))</f>
        <v/>
      </c>
      <c r="J4710">
        <f>IF(I4710="","",IF(I4710&gt;=MAXIFS($I$2:$I$5001,$B$2:$B$5001,B4710,$A$2:$A$5001,"&lt;="&amp;A4710),"PR",""))</f>
        <v/>
      </c>
    </row>
    <row r="4711">
      <c r="A4711" s="7" t="n"/>
      <c r="H4711" s="11">
        <f>IF(OR(D4711="",E4711=""),"",D4711*E4711)</f>
        <v/>
      </c>
      <c r="I4711" s="8">
        <f>IF(OR(D4711="",E4711=""),"",E4711*(1+D4711/30))</f>
        <v/>
      </c>
      <c r="J4711">
        <f>IF(I4711="","",IF(I4711&gt;=MAXIFS($I$2:$I$5001,$B$2:$B$5001,B4711,$A$2:$A$5001,"&lt;="&amp;A4711),"PR",""))</f>
        <v/>
      </c>
    </row>
    <row r="4712">
      <c r="A4712" s="7" t="n"/>
      <c r="H4712" s="11">
        <f>IF(OR(D4712="",E4712=""),"",D4712*E4712)</f>
        <v/>
      </c>
      <c r="I4712" s="8">
        <f>IF(OR(D4712="",E4712=""),"",E4712*(1+D4712/30))</f>
        <v/>
      </c>
      <c r="J4712">
        <f>IF(I4712="","",IF(I4712&gt;=MAXIFS($I$2:$I$5001,$B$2:$B$5001,B4712,$A$2:$A$5001,"&lt;="&amp;A4712),"PR",""))</f>
        <v/>
      </c>
    </row>
    <row r="4713">
      <c r="A4713" s="7" t="n"/>
      <c r="H4713" s="11">
        <f>IF(OR(D4713="",E4713=""),"",D4713*E4713)</f>
        <v/>
      </c>
      <c r="I4713" s="8">
        <f>IF(OR(D4713="",E4713=""),"",E4713*(1+D4713/30))</f>
        <v/>
      </c>
      <c r="J4713">
        <f>IF(I4713="","",IF(I4713&gt;=MAXIFS($I$2:$I$5001,$B$2:$B$5001,B4713,$A$2:$A$5001,"&lt;="&amp;A4713),"PR",""))</f>
        <v/>
      </c>
    </row>
    <row r="4714">
      <c r="A4714" s="7" t="n"/>
      <c r="H4714" s="11">
        <f>IF(OR(D4714="",E4714=""),"",D4714*E4714)</f>
        <v/>
      </c>
      <c r="I4714" s="8">
        <f>IF(OR(D4714="",E4714=""),"",E4714*(1+D4714/30))</f>
        <v/>
      </c>
      <c r="J4714">
        <f>IF(I4714="","",IF(I4714&gt;=MAXIFS($I$2:$I$5001,$B$2:$B$5001,B4714,$A$2:$A$5001,"&lt;="&amp;A4714),"PR",""))</f>
        <v/>
      </c>
    </row>
    <row r="4715">
      <c r="A4715" s="7" t="n"/>
      <c r="H4715" s="11">
        <f>IF(OR(D4715="",E4715=""),"",D4715*E4715)</f>
        <v/>
      </c>
      <c r="I4715" s="8">
        <f>IF(OR(D4715="",E4715=""),"",E4715*(1+D4715/30))</f>
        <v/>
      </c>
      <c r="J4715">
        <f>IF(I4715="","",IF(I4715&gt;=MAXIFS($I$2:$I$5001,$B$2:$B$5001,B4715,$A$2:$A$5001,"&lt;="&amp;A4715),"PR",""))</f>
        <v/>
      </c>
    </row>
    <row r="4716">
      <c r="A4716" s="7" t="n"/>
      <c r="H4716" s="11">
        <f>IF(OR(D4716="",E4716=""),"",D4716*E4716)</f>
        <v/>
      </c>
      <c r="I4716" s="8">
        <f>IF(OR(D4716="",E4716=""),"",E4716*(1+D4716/30))</f>
        <v/>
      </c>
      <c r="J4716">
        <f>IF(I4716="","",IF(I4716&gt;=MAXIFS($I$2:$I$5001,$B$2:$B$5001,B4716,$A$2:$A$5001,"&lt;="&amp;A4716),"PR",""))</f>
        <v/>
      </c>
    </row>
    <row r="4717">
      <c r="A4717" s="7" t="n"/>
      <c r="H4717" s="11">
        <f>IF(OR(D4717="",E4717=""),"",D4717*E4717)</f>
        <v/>
      </c>
      <c r="I4717" s="8">
        <f>IF(OR(D4717="",E4717=""),"",E4717*(1+D4717/30))</f>
        <v/>
      </c>
      <c r="J4717">
        <f>IF(I4717="","",IF(I4717&gt;=MAXIFS($I$2:$I$5001,$B$2:$B$5001,B4717,$A$2:$A$5001,"&lt;="&amp;A4717),"PR",""))</f>
        <v/>
      </c>
    </row>
    <row r="4718">
      <c r="A4718" s="7" t="n"/>
      <c r="H4718" s="11">
        <f>IF(OR(D4718="",E4718=""),"",D4718*E4718)</f>
        <v/>
      </c>
      <c r="I4718" s="8">
        <f>IF(OR(D4718="",E4718=""),"",E4718*(1+D4718/30))</f>
        <v/>
      </c>
      <c r="J4718">
        <f>IF(I4718="","",IF(I4718&gt;=MAXIFS($I$2:$I$5001,$B$2:$B$5001,B4718,$A$2:$A$5001,"&lt;="&amp;A4718),"PR",""))</f>
        <v/>
      </c>
    </row>
    <row r="4719">
      <c r="A4719" s="7" t="n"/>
      <c r="H4719" s="11">
        <f>IF(OR(D4719="",E4719=""),"",D4719*E4719)</f>
        <v/>
      </c>
      <c r="I4719" s="8">
        <f>IF(OR(D4719="",E4719=""),"",E4719*(1+D4719/30))</f>
        <v/>
      </c>
      <c r="J4719">
        <f>IF(I4719="","",IF(I4719&gt;=MAXIFS($I$2:$I$5001,$B$2:$B$5001,B4719,$A$2:$A$5001,"&lt;="&amp;A4719),"PR",""))</f>
        <v/>
      </c>
    </row>
    <row r="4720">
      <c r="A4720" s="7" t="n"/>
      <c r="H4720" s="11">
        <f>IF(OR(D4720="",E4720=""),"",D4720*E4720)</f>
        <v/>
      </c>
      <c r="I4720" s="8">
        <f>IF(OR(D4720="",E4720=""),"",E4720*(1+D4720/30))</f>
        <v/>
      </c>
      <c r="J4720">
        <f>IF(I4720="","",IF(I4720&gt;=MAXIFS($I$2:$I$5001,$B$2:$B$5001,B4720,$A$2:$A$5001,"&lt;="&amp;A4720),"PR",""))</f>
        <v/>
      </c>
    </row>
    <row r="4721">
      <c r="A4721" s="7" t="n"/>
      <c r="H4721" s="11">
        <f>IF(OR(D4721="",E4721=""),"",D4721*E4721)</f>
        <v/>
      </c>
      <c r="I4721" s="8">
        <f>IF(OR(D4721="",E4721=""),"",E4721*(1+D4721/30))</f>
        <v/>
      </c>
      <c r="J4721">
        <f>IF(I4721="","",IF(I4721&gt;=MAXIFS($I$2:$I$5001,$B$2:$B$5001,B4721,$A$2:$A$5001,"&lt;="&amp;A4721),"PR",""))</f>
        <v/>
      </c>
    </row>
    <row r="4722">
      <c r="A4722" s="7" t="n"/>
      <c r="H4722" s="11">
        <f>IF(OR(D4722="",E4722=""),"",D4722*E4722)</f>
        <v/>
      </c>
      <c r="I4722" s="8">
        <f>IF(OR(D4722="",E4722=""),"",E4722*(1+D4722/30))</f>
        <v/>
      </c>
      <c r="J4722">
        <f>IF(I4722="","",IF(I4722&gt;=MAXIFS($I$2:$I$5001,$B$2:$B$5001,B4722,$A$2:$A$5001,"&lt;="&amp;A4722),"PR",""))</f>
        <v/>
      </c>
    </row>
    <row r="4723">
      <c r="A4723" s="7" t="n"/>
      <c r="H4723" s="11">
        <f>IF(OR(D4723="",E4723=""),"",D4723*E4723)</f>
        <v/>
      </c>
      <c r="I4723" s="8">
        <f>IF(OR(D4723="",E4723=""),"",E4723*(1+D4723/30))</f>
        <v/>
      </c>
      <c r="J4723">
        <f>IF(I4723="","",IF(I4723&gt;=MAXIFS($I$2:$I$5001,$B$2:$B$5001,B4723,$A$2:$A$5001,"&lt;="&amp;A4723),"PR",""))</f>
        <v/>
      </c>
    </row>
    <row r="4724">
      <c r="A4724" s="7" t="n"/>
      <c r="H4724" s="11">
        <f>IF(OR(D4724="",E4724=""),"",D4724*E4724)</f>
        <v/>
      </c>
      <c r="I4724" s="8">
        <f>IF(OR(D4724="",E4724=""),"",E4724*(1+D4724/30))</f>
        <v/>
      </c>
      <c r="J4724">
        <f>IF(I4724="","",IF(I4724&gt;=MAXIFS($I$2:$I$5001,$B$2:$B$5001,B4724,$A$2:$A$5001,"&lt;="&amp;A4724),"PR",""))</f>
        <v/>
      </c>
    </row>
    <row r="4725">
      <c r="A4725" s="7" t="n"/>
      <c r="H4725" s="11">
        <f>IF(OR(D4725="",E4725=""),"",D4725*E4725)</f>
        <v/>
      </c>
      <c r="I4725" s="8">
        <f>IF(OR(D4725="",E4725=""),"",E4725*(1+D4725/30))</f>
        <v/>
      </c>
      <c r="J4725">
        <f>IF(I4725="","",IF(I4725&gt;=MAXIFS($I$2:$I$5001,$B$2:$B$5001,B4725,$A$2:$A$5001,"&lt;="&amp;A4725),"PR",""))</f>
        <v/>
      </c>
    </row>
    <row r="4726">
      <c r="A4726" s="7" t="n"/>
      <c r="H4726" s="11">
        <f>IF(OR(D4726="",E4726=""),"",D4726*E4726)</f>
        <v/>
      </c>
      <c r="I4726" s="8">
        <f>IF(OR(D4726="",E4726=""),"",E4726*(1+D4726/30))</f>
        <v/>
      </c>
      <c r="J4726">
        <f>IF(I4726="","",IF(I4726&gt;=MAXIFS($I$2:$I$5001,$B$2:$B$5001,B4726,$A$2:$A$5001,"&lt;="&amp;A4726),"PR",""))</f>
        <v/>
      </c>
    </row>
    <row r="4727">
      <c r="A4727" s="7" t="n"/>
      <c r="H4727" s="11">
        <f>IF(OR(D4727="",E4727=""),"",D4727*E4727)</f>
        <v/>
      </c>
      <c r="I4727" s="8">
        <f>IF(OR(D4727="",E4727=""),"",E4727*(1+D4727/30))</f>
        <v/>
      </c>
      <c r="J4727">
        <f>IF(I4727="","",IF(I4727&gt;=MAXIFS($I$2:$I$5001,$B$2:$B$5001,B4727,$A$2:$A$5001,"&lt;="&amp;A4727),"PR",""))</f>
        <v/>
      </c>
    </row>
    <row r="4728">
      <c r="A4728" s="7" t="n"/>
      <c r="H4728" s="11">
        <f>IF(OR(D4728="",E4728=""),"",D4728*E4728)</f>
        <v/>
      </c>
      <c r="I4728" s="8">
        <f>IF(OR(D4728="",E4728=""),"",E4728*(1+D4728/30))</f>
        <v/>
      </c>
      <c r="J4728">
        <f>IF(I4728="","",IF(I4728&gt;=MAXIFS($I$2:$I$5001,$B$2:$B$5001,B4728,$A$2:$A$5001,"&lt;="&amp;A4728),"PR",""))</f>
        <v/>
      </c>
    </row>
    <row r="4729">
      <c r="A4729" s="7" t="n"/>
      <c r="H4729" s="11">
        <f>IF(OR(D4729="",E4729=""),"",D4729*E4729)</f>
        <v/>
      </c>
      <c r="I4729" s="8">
        <f>IF(OR(D4729="",E4729=""),"",E4729*(1+D4729/30))</f>
        <v/>
      </c>
      <c r="J4729">
        <f>IF(I4729="","",IF(I4729&gt;=MAXIFS($I$2:$I$5001,$B$2:$B$5001,B4729,$A$2:$A$5001,"&lt;="&amp;A4729),"PR",""))</f>
        <v/>
      </c>
    </row>
    <row r="4730">
      <c r="A4730" s="7" t="n"/>
      <c r="H4730" s="11">
        <f>IF(OR(D4730="",E4730=""),"",D4730*E4730)</f>
        <v/>
      </c>
      <c r="I4730" s="8">
        <f>IF(OR(D4730="",E4730=""),"",E4730*(1+D4730/30))</f>
        <v/>
      </c>
      <c r="J4730">
        <f>IF(I4730="","",IF(I4730&gt;=MAXIFS($I$2:$I$5001,$B$2:$B$5001,B4730,$A$2:$A$5001,"&lt;="&amp;A4730),"PR",""))</f>
        <v/>
      </c>
    </row>
    <row r="4731">
      <c r="A4731" s="7" t="n"/>
      <c r="H4731" s="11">
        <f>IF(OR(D4731="",E4731=""),"",D4731*E4731)</f>
        <v/>
      </c>
      <c r="I4731" s="8">
        <f>IF(OR(D4731="",E4731=""),"",E4731*(1+D4731/30))</f>
        <v/>
      </c>
      <c r="J4731">
        <f>IF(I4731="","",IF(I4731&gt;=MAXIFS($I$2:$I$5001,$B$2:$B$5001,B4731,$A$2:$A$5001,"&lt;="&amp;A4731),"PR",""))</f>
        <v/>
      </c>
    </row>
    <row r="4732">
      <c r="A4732" s="7" t="n"/>
      <c r="H4732" s="11">
        <f>IF(OR(D4732="",E4732=""),"",D4732*E4732)</f>
        <v/>
      </c>
      <c r="I4732" s="8">
        <f>IF(OR(D4732="",E4732=""),"",E4732*(1+D4732/30))</f>
        <v/>
      </c>
      <c r="J4732">
        <f>IF(I4732="","",IF(I4732&gt;=MAXIFS($I$2:$I$5001,$B$2:$B$5001,B4732,$A$2:$A$5001,"&lt;="&amp;A4732),"PR",""))</f>
        <v/>
      </c>
    </row>
    <row r="4733">
      <c r="A4733" s="7" t="n"/>
      <c r="H4733" s="11">
        <f>IF(OR(D4733="",E4733=""),"",D4733*E4733)</f>
        <v/>
      </c>
      <c r="I4733" s="8">
        <f>IF(OR(D4733="",E4733=""),"",E4733*(1+D4733/30))</f>
        <v/>
      </c>
      <c r="J4733">
        <f>IF(I4733="","",IF(I4733&gt;=MAXIFS($I$2:$I$5001,$B$2:$B$5001,B4733,$A$2:$A$5001,"&lt;="&amp;A4733),"PR",""))</f>
        <v/>
      </c>
    </row>
    <row r="4734">
      <c r="A4734" s="7" t="n"/>
      <c r="H4734" s="11">
        <f>IF(OR(D4734="",E4734=""),"",D4734*E4734)</f>
        <v/>
      </c>
      <c r="I4734" s="8">
        <f>IF(OR(D4734="",E4734=""),"",E4734*(1+D4734/30))</f>
        <v/>
      </c>
      <c r="J4734">
        <f>IF(I4734="","",IF(I4734&gt;=MAXIFS($I$2:$I$5001,$B$2:$B$5001,B4734,$A$2:$A$5001,"&lt;="&amp;A4734),"PR",""))</f>
        <v/>
      </c>
    </row>
    <row r="4735">
      <c r="A4735" s="7" t="n"/>
      <c r="H4735" s="11">
        <f>IF(OR(D4735="",E4735=""),"",D4735*E4735)</f>
        <v/>
      </c>
      <c r="I4735" s="8">
        <f>IF(OR(D4735="",E4735=""),"",E4735*(1+D4735/30))</f>
        <v/>
      </c>
      <c r="J4735">
        <f>IF(I4735="","",IF(I4735&gt;=MAXIFS($I$2:$I$5001,$B$2:$B$5001,B4735,$A$2:$A$5001,"&lt;="&amp;A4735),"PR",""))</f>
        <v/>
      </c>
    </row>
    <row r="4736">
      <c r="A4736" s="7" t="n"/>
      <c r="H4736" s="11">
        <f>IF(OR(D4736="",E4736=""),"",D4736*E4736)</f>
        <v/>
      </c>
      <c r="I4736" s="8">
        <f>IF(OR(D4736="",E4736=""),"",E4736*(1+D4736/30))</f>
        <v/>
      </c>
      <c r="J4736">
        <f>IF(I4736="","",IF(I4736&gt;=MAXIFS($I$2:$I$5001,$B$2:$B$5001,B4736,$A$2:$A$5001,"&lt;="&amp;A4736),"PR",""))</f>
        <v/>
      </c>
    </row>
    <row r="4737">
      <c r="A4737" s="7" t="n"/>
      <c r="H4737" s="11">
        <f>IF(OR(D4737="",E4737=""),"",D4737*E4737)</f>
        <v/>
      </c>
      <c r="I4737" s="8">
        <f>IF(OR(D4737="",E4737=""),"",E4737*(1+D4737/30))</f>
        <v/>
      </c>
      <c r="J4737">
        <f>IF(I4737="","",IF(I4737&gt;=MAXIFS($I$2:$I$5001,$B$2:$B$5001,B4737,$A$2:$A$5001,"&lt;="&amp;A4737),"PR",""))</f>
        <v/>
      </c>
    </row>
    <row r="4738">
      <c r="A4738" s="7" t="n"/>
      <c r="H4738" s="11">
        <f>IF(OR(D4738="",E4738=""),"",D4738*E4738)</f>
        <v/>
      </c>
      <c r="I4738" s="8">
        <f>IF(OR(D4738="",E4738=""),"",E4738*(1+D4738/30))</f>
        <v/>
      </c>
      <c r="J4738">
        <f>IF(I4738="","",IF(I4738&gt;=MAXIFS($I$2:$I$5001,$B$2:$B$5001,B4738,$A$2:$A$5001,"&lt;="&amp;A4738),"PR",""))</f>
        <v/>
      </c>
    </row>
    <row r="4739">
      <c r="A4739" s="7" t="n"/>
      <c r="H4739" s="11">
        <f>IF(OR(D4739="",E4739=""),"",D4739*E4739)</f>
        <v/>
      </c>
      <c r="I4739" s="8">
        <f>IF(OR(D4739="",E4739=""),"",E4739*(1+D4739/30))</f>
        <v/>
      </c>
      <c r="J4739">
        <f>IF(I4739="","",IF(I4739&gt;=MAXIFS($I$2:$I$5001,$B$2:$B$5001,B4739,$A$2:$A$5001,"&lt;="&amp;A4739),"PR",""))</f>
        <v/>
      </c>
    </row>
    <row r="4740">
      <c r="A4740" s="7" t="n"/>
      <c r="H4740" s="11">
        <f>IF(OR(D4740="",E4740=""),"",D4740*E4740)</f>
        <v/>
      </c>
      <c r="I4740" s="8">
        <f>IF(OR(D4740="",E4740=""),"",E4740*(1+D4740/30))</f>
        <v/>
      </c>
      <c r="J4740">
        <f>IF(I4740="","",IF(I4740&gt;=MAXIFS($I$2:$I$5001,$B$2:$B$5001,B4740,$A$2:$A$5001,"&lt;="&amp;A4740),"PR",""))</f>
        <v/>
      </c>
    </row>
    <row r="4741">
      <c r="A4741" s="7" t="n"/>
      <c r="H4741" s="11">
        <f>IF(OR(D4741="",E4741=""),"",D4741*E4741)</f>
        <v/>
      </c>
      <c r="I4741" s="8">
        <f>IF(OR(D4741="",E4741=""),"",E4741*(1+D4741/30))</f>
        <v/>
      </c>
      <c r="J4741">
        <f>IF(I4741="","",IF(I4741&gt;=MAXIFS($I$2:$I$5001,$B$2:$B$5001,B4741,$A$2:$A$5001,"&lt;="&amp;A4741),"PR",""))</f>
        <v/>
      </c>
    </row>
    <row r="4742">
      <c r="A4742" s="7" t="n"/>
      <c r="H4742" s="11">
        <f>IF(OR(D4742="",E4742=""),"",D4742*E4742)</f>
        <v/>
      </c>
      <c r="I4742" s="8">
        <f>IF(OR(D4742="",E4742=""),"",E4742*(1+D4742/30))</f>
        <v/>
      </c>
      <c r="J4742">
        <f>IF(I4742="","",IF(I4742&gt;=MAXIFS($I$2:$I$5001,$B$2:$B$5001,B4742,$A$2:$A$5001,"&lt;="&amp;A4742),"PR",""))</f>
        <v/>
      </c>
    </row>
    <row r="4743">
      <c r="A4743" s="7" t="n"/>
      <c r="H4743" s="11">
        <f>IF(OR(D4743="",E4743=""),"",D4743*E4743)</f>
        <v/>
      </c>
      <c r="I4743" s="8">
        <f>IF(OR(D4743="",E4743=""),"",E4743*(1+D4743/30))</f>
        <v/>
      </c>
      <c r="J4743">
        <f>IF(I4743="","",IF(I4743&gt;=MAXIFS($I$2:$I$5001,$B$2:$B$5001,B4743,$A$2:$A$5001,"&lt;="&amp;A4743),"PR",""))</f>
        <v/>
      </c>
    </row>
    <row r="4744">
      <c r="A4744" s="7" t="n"/>
      <c r="H4744" s="11">
        <f>IF(OR(D4744="",E4744=""),"",D4744*E4744)</f>
        <v/>
      </c>
      <c r="I4744" s="8">
        <f>IF(OR(D4744="",E4744=""),"",E4744*(1+D4744/30))</f>
        <v/>
      </c>
      <c r="J4744">
        <f>IF(I4744="","",IF(I4744&gt;=MAXIFS($I$2:$I$5001,$B$2:$B$5001,B4744,$A$2:$A$5001,"&lt;="&amp;A4744),"PR",""))</f>
        <v/>
      </c>
    </row>
    <row r="4745">
      <c r="A4745" s="7" t="n"/>
      <c r="H4745" s="11">
        <f>IF(OR(D4745="",E4745=""),"",D4745*E4745)</f>
        <v/>
      </c>
      <c r="I4745" s="8">
        <f>IF(OR(D4745="",E4745=""),"",E4745*(1+D4745/30))</f>
        <v/>
      </c>
      <c r="J4745">
        <f>IF(I4745="","",IF(I4745&gt;=MAXIFS($I$2:$I$5001,$B$2:$B$5001,B4745,$A$2:$A$5001,"&lt;="&amp;A4745),"PR",""))</f>
        <v/>
      </c>
    </row>
    <row r="4746">
      <c r="A4746" s="7" t="n"/>
      <c r="H4746" s="11">
        <f>IF(OR(D4746="",E4746=""),"",D4746*E4746)</f>
        <v/>
      </c>
      <c r="I4746" s="8">
        <f>IF(OR(D4746="",E4746=""),"",E4746*(1+D4746/30))</f>
        <v/>
      </c>
      <c r="J4746">
        <f>IF(I4746="","",IF(I4746&gt;=MAXIFS($I$2:$I$5001,$B$2:$B$5001,B4746,$A$2:$A$5001,"&lt;="&amp;A4746),"PR",""))</f>
        <v/>
      </c>
    </row>
    <row r="4747">
      <c r="A4747" s="7" t="n"/>
      <c r="H4747" s="11">
        <f>IF(OR(D4747="",E4747=""),"",D4747*E4747)</f>
        <v/>
      </c>
      <c r="I4747" s="8">
        <f>IF(OR(D4747="",E4747=""),"",E4747*(1+D4747/30))</f>
        <v/>
      </c>
      <c r="J4747">
        <f>IF(I4747="","",IF(I4747&gt;=MAXIFS($I$2:$I$5001,$B$2:$B$5001,B4747,$A$2:$A$5001,"&lt;="&amp;A4747),"PR",""))</f>
        <v/>
      </c>
    </row>
    <row r="4748">
      <c r="A4748" s="7" t="n"/>
      <c r="H4748" s="11">
        <f>IF(OR(D4748="",E4748=""),"",D4748*E4748)</f>
        <v/>
      </c>
      <c r="I4748" s="8">
        <f>IF(OR(D4748="",E4748=""),"",E4748*(1+D4748/30))</f>
        <v/>
      </c>
      <c r="J4748">
        <f>IF(I4748="","",IF(I4748&gt;=MAXIFS($I$2:$I$5001,$B$2:$B$5001,B4748,$A$2:$A$5001,"&lt;="&amp;A4748),"PR",""))</f>
        <v/>
      </c>
    </row>
    <row r="4749">
      <c r="A4749" s="7" t="n"/>
      <c r="H4749" s="11">
        <f>IF(OR(D4749="",E4749=""),"",D4749*E4749)</f>
        <v/>
      </c>
      <c r="I4749" s="8">
        <f>IF(OR(D4749="",E4749=""),"",E4749*(1+D4749/30))</f>
        <v/>
      </c>
      <c r="J4749">
        <f>IF(I4749="","",IF(I4749&gt;=MAXIFS($I$2:$I$5001,$B$2:$B$5001,B4749,$A$2:$A$5001,"&lt;="&amp;A4749),"PR",""))</f>
        <v/>
      </c>
    </row>
    <row r="4750">
      <c r="A4750" s="7" t="n"/>
      <c r="H4750" s="11">
        <f>IF(OR(D4750="",E4750=""),"",D4750*E4750)</f>
        <v/>
      </c>
      <c r="I4750" s="8">
        <f>IF(OR(D4750="",E4750=""),"",E4750*(1+D4750/30))</f>
        <v/>
      </c>
      <c r="J4750">
        <f>IF(I4750="","",IF(I4750&gt;=MAXIFS($I$2:$I$5001,$B$2:$B$5001,B4750,$A$2:$A$5001,"&lt;="&amp;A4750),"PR",""))</f>
        <v/>
      </c>
    </row>
    <row r="4751">
      <c r="A4751" s="7" t="n"/>
      <c r="H4751" s="11">
        <f>IF(OR(D4751="",E4751=""),"",D4751*E4751)</f>
        <v/>
      </c>
      <c r="I4751" s="8">
        <f>IF(OR(D4751="",E4751=""),"",E4751*(1+D4751/30))</f>
        <v/>
      </c>
      <c r="J4751">
        <f>IF(I4751="","",IF(I4751&gt;=MAXIFS($I$2:$I$5001,$B$2:$B$5001,B4751,$A$2:$A$5001,"&lt;="&amp;A4751),"PR",""))</f>
        <v/>
      </c>
    </row>
    <row r="4752">
      <c r="A4752" s="7" t="n"/>
      <c r="H4752" s="11">
        <f>IF(OR(D4752="",E4752=""),"",D4752*E4752)</f>
        <v/>
      </c>
      <c r="I4752" s="8">
        <f>IF(OR(D4752="",E4752=""),"",E4752*(1+D4752/30))</f>
        <v/>
      </c>
      <c r="J4752">
        <f>IF(I4752="","",IF(I4752&gt;=MAXIFS($I$2:$I$5001,$B$2:$B$5001,B4752,$A$2:$A$5001,"&lt;="&amp;A4752),"PR",""))</f>
        <v/>
      </c>
    </row>
    <row r="4753">
      <c r="A4753" s="7" t="n"/>
      <c r="H4753" s="11">
        <f>IF(OR(D4753="",E4753=""),"",D4753*E4753)</f>
        <v/>
      </c>
      <c r="I4753" s="8">
        <f>IF(OR(D4753="",E4753=""),"",E4753*(1+D4753/30))</f>
        <v/>
      </c>
      <c r="J4753">
        <f>IF(I4753="","",IF(I4753&gt;=MAXIFS($I$2:$I$5001,$B$2:$B$5001,B4753,$A$2:$A$5001,"&lt;="&amp;A4753),"PR",""))</f>
        <v/>
      </c>
    </row>
    <row r="4754">
      <c r="A4754" s="7" t="n"/>
      <c r="H4754" s="11">
        <f>IF(OR(D4754="",E4754=""),"",D4754*E4754)</f>
        <v/>
      </c>
      <c r="I4754" s="8">
        <f>IF(OR(D4754="",E4754=""),"",E4754*(1+D4754/30))</f>
        <v/>
      </c>
      <c r="J4754">
        <f>IF(I4754="","",IF(I4754&gt;=MAXIFS($I$2:$I$5001,$B$2:$B$5001,B4754,$A$2:$A$5001,"&lt;="&amp;A4754),"PR",""))</f>
        <v/>
      </c>
    </row>
    <row r="4755">
      <c r="A4755" s="7" t="n"/>
      <c r="H4755" s="11">
        <f>IF(OR(D4755="",E4755=""),"",D4755*E4755)</f>
        <v/>
      </c>
      <c r="I4755" s="8">
        <f>IF(OR(D4755="",E4755=""),"",E4755*(1+D4755/30))</f>
        <v/>
      </c>
      <c r="J4755">
        <f>IF(I4755="","",IF(I4755&gt;=MAXIFS($I$2:$I$5001,$B$2:$B$5001,B4755,$A$2:$A$5001,"&lt;="&amp;A4755),"PR",""))</f>
        <v/>
      </c>
    </row>
    <row r="4756">
      <c r="A4756" s="7" t="n"/>
      <c r="H4756" s="11">
        <f>IF(OR(D4756="",E4756=""),"",D4756*E4756)</f>
        <v/>
      </c>
      <c r="I4756" s="8">
        <f>IF(OR(D4756="",E4756=""),"",E4756*(1+D4756/30))</f>
        <v/>
      </c>
      <c r="J4756">
        <f>IF(I4756="","",IF(I4756&gt;=MAXIFS($I$2:$I$5001,$B$2:$B$5001,B4756,$A$2:$A$5001,"&lt;="&amp;A4756),"PR",""))</f>
        <v/>
      </c>
    </row>
    <row r="4757">
      <c r="A4757" s="7" t="n"/>
      <c r="H4757" s="11">
        <f>IF(OR(D4757="",E4757=""),"",D4757*E4757)</f>
        <v/>
      </c>
      <c r="I4757" s="8">
        <f>IF(OR(D4757="",E4757=""),"",E4757*(1+D4757/30))</f>
        <v/>
      </c>
      <c r="J4757">
        <f>IF(I4757="","",IF(I4757&gt;=MAXIFS($I$2:$I$5001,$B$2:$B$5001,B4757,$A$2:$A$5001,"&lt;="&amp;A4757),"PR",""))</f>
        <v/>
      </c>
    </row>
    <row r="4758">
      <c r="A4758" s="7" t="n"/>
      <c r="H4758" s="11">
        <f>IF(OR(D4758="",E4758=""),"",D4758*E4758)</f>
        <v/>
      </c>
      <c r="I4758" s="8">
        <f>IF(OR(D4758="",E4758=""),"",E4758*(1+D4758/30))</f>
        <v/>
      </c>
      <c r="J4758">
        <f>IF(I4758="","",IF(I4758&gt;=MAXIFS($I$2:$I$5001,$B$2:$B$5001,B4758,$A$2:$A$5001,"&lt;="&amp;A4758),"PR",""))</f>
        <v/>
      </c>
    </row>
    <row r="4759">
      <c r="A4759" s="7" t="n"/>
      <c r="H4759" s="11">
        <f>IF(OR(D4759="",E4759=""),"",D4759*E4759)</f>
        <v/>
      </c>
      <c r="I4759" s="8">
        <f>IF(OR(D4759="",E4759=""),"",E4759*(1+D4759/30))</f>
        <v/>
      </c>
      <c r="J4759">
        <f>IF(I4759="","",IF(I4759&gt;=MAXIFS($I$2:$I$5001,$B$2:$B$5001,B4759,$A$2:$A$5001,"&lt;="&amp;A4759),"PR",""))</f>
        <v/>
      </c>
    </row>
    <row r="4760">
      <c r="A4760" s="7" t="n"/>
      <c r="H4760" s="11">
        <f>IF(OR(D4760="",E4760=""),"",D4760*E4760)</f>
        <v/>
      </c>
      <c r="I4760" s="8">
        <f>IF(OR(D4760="",E4760=""),"",E4760*(1+D4760/30))</f>
        <v/>
      </c>
      <c r="J4760">
        <f>IF(I4760="","",IF(I4760&gt;=MAXIFS($I$2:$I$5001,$B$2:$B$5001,B4760,$A$2:$A$5001,"&lt;="&amp;A4760),"PR",""))</f>
        <v/>
      </c>
    </row>
    <row r="4761">
      <c r="A4761" s="7" t="n"/>
      <c r="H4761" s="11">
        <f>IF(OR(D4761="",E4761=""),"",D4761*E4761)</f>
        <v/>
      </c>
      <c r="I4761" s="8">
        <f>IF(OR(D4761="",E4761=""),"",E4761*(1+D4761/30))</f>
        <v/>
      </c>
      <c r="J4761">
        <f>IF(I4761="","",IF(I4761&gt;=MAXIFS($I$2:$I$5001,$B$2:$B$5001,B4761,$A$2:$A$5001,"&lt;="&amp;A4761),"PR",""))</f>
        <v/>
      </c>
    </row>
    <row r="4762">
      <c r="A4762" s="7" t="n"/>
      <c r="H4762" s="11">
        <f>IF(OR(D4762="",E4762=""),"",D4762*E4762)</f>
        <v/>
      </c>
      <c r="I4762" s="8">
        <f>IF(OR(D4762="",E4762=""),"",E4762*(1+D4762/30))</f>
        <v/>
      </c>
      <c r="J4762">
        <f>IF(I4762="","",IF(I4762&gt;=MAXIFS($I$2:$I$5001,$B$2:$B$5001,B4762,$A$2:$A$5001,"&lt;="&amp;A4762),"PR",""))</f>
        <v/>
      </c>
    </row>
    <row r="4763">
      <c r="A4763" s="7" t="n"/>
      <c r="H4763" s="11">
        <f>IF(OR(D4763="",E4763=""),"",D4763*E4763)</f>
        <v/>
      </c>
      <c r="I4763" s="8">
        <f>IF(OR(D4763="",E4763=""),"",E4763*(1+D4763/30))</f>
        <v/>
      </c>
      <c r="J4763">
        <f>IF(I4763="","",IF(I4763&gt;=MAXIFS($I$2:$I$5001,$B$2:$B$5001,B4763,$A$2:$A$5001,"&lt;="&amp;A4763),"PR",""))</f>
        <v/>
      </c>
    </row>
    <row r="4764">
      <c r="A4764" s="7" t="n"/>
      <c r="H4764" s="11">
        <f>IF(OR(D4764="",E4764=""),"",D4764*E4764)</f>
        <v/>
      </c>
      <c r="I4764" s="8">
        <f>IF(OR(D4764="",E4764=""),"",E4764*(1+D4764/30))</f>
        <v/>
      </c>
      <c r="J4764">
        <f>IF(I4764="","",IF(I4764&gt;=MAXIFS($I$2:$I$5001,$B$2:$B$5001,B4764,$A$2:$A$5001,"&lt;="&amp;A4764),"PR",""))</f>
        <v/>
      </c>
    </row>
    <row r="4765">
      <c r="A4765" s="7" t="n"/>
      <c r="H4765" s="11">
        <f>IF(OR(D4765="",E4765=""),"",D4765*E4765)</f>
        <v/>
      </c>
      <c r="I4765" s="8">
        <f>IF(OR(D4765="",E4765=""),"",E4765*(1+D4765/30))</f>
        <v/>
      </c>
      <c r="J4765">
        <f>IF(I4765="","",IF(I4765&gt;=MAXIFS($I$2:$I$5001,$B$2:$B$5001,B4765,$A$2:$A$5001,"&lt;="&amp;A4765),"PR",""))</f>
        <v/>
      </c>
    </row>
    <row r="4766">
      <c r="A4766" s="7" t="n"/>
      <c r="H4766" s="11">
        <f>IF(OR(D4766="",E4766=""),"",D4766*E4766)</f>
        <v/>
      </c>
      <c r="I4766" s="8">
        <f>IF(OR(D4766="",E4766=""),"",E4766*(1+D4766/30))</f>
        <v/>
      </c>
      <c r="J4766">
        <f>IF(I4766="","",IF(I4766&gt;=MAXIFS($I$2:$I$5001,$B$2:$B$5001,B4766,$A$2:$A$5001,"&lt;="&amp;A4766),"PR",""))</f>
        <v/>
      </c>
    </row>
    <row r="4767">
      <c r="A4767" s="7" t="n"/>
      <c r="H4767" s="11">
        <f>IF(OR(D4767="",E4767=""),"",D4767*E4767)</f>
        <v/>
      </c>
      <c r="I4767" s="8">
        <f>IF(OR(D4767="",E4767=""),"",E4767*(1+D4767/30))</f>
        <v/>
      </c>
      <c r="J4767">
        <f>IF(I4767="","",IF(I4767&gt;=MAXIFS($I$2:$I$5001,$B$2:$B$5001,B4767,$A$2:$A$5001,"&lt;="&amp;A4767),"PR",""))</f>
        <v/>
      </c>
    </row>
    <row r="4768">
      <c r="A4768" s="7" t="n"/>
      <c r="H4768" s="11">
        <f>IF(OR(D4768="",E4768=""),"",D4768*E4768)</f>
        <v/>
      </c>
      <c r="I4768" s="8">
        <f>IF(OR(D4768="",E4768=""),"",E4768*(1+D4768/30))</f>
        <v/>
      </c>
      <c r="J4768">
        <f>IF(I4768="","",IF(I4768&gt;=MAXIFS($I$2:$I$5001,$B$2:$B$5001,B4768,$A$2:$A$5001,"&lt;="&amp;A4768),"PR",""))</f>
        <v/>
      </c>
    </row>
    <row r="4769">
      <c r="A4769" s="7" t="n"/>
      <c r="H4769" s="11">
        <f>IF(OR(D4769="",E4769=""),"",D4769*E4769)</f>
        <v/>
      </c>
      <c r="I4769" s="8">
        <f>IF(OR(D4769="",E4769=""),"",E4769*(1+D4769/30))</f>
        <v/>
      </c>
      <c r="J4769">
        <f>IF(I4769="","",IF(I4769&gt;=MAXIFS($I$2:$I$5001,$B$2:$B$5001,B4769,$A$2:$A$5001,"&lt;="&amp;A4769),"PR",""))</f>
        <v/>
      </c>
    </row>
    <row r="4770">
      <c r="A4770" s="7" t="n"/>
      <c r="H4770" s="11">
        <f>IF(OR(D4770="",E4770=""),"",D4770*E4770)</f>
        <v/>
      </c>
      <c r="I4770" s="8">
        <f>IF(OR(D4770="",E4770=""),"",E4770*(1+D4770/30))</f>
        <v/>
      </c>
      <c r="J4770">
        <f>IF(I4770="","",IF(I4770&gt;=MAXIFS($I$2:$I$5001,$B$2:$B$5001,B4770,$A$2:$A$5001,"&lt;="&amp;A4770),"PR",""))</f>
        <v/>
      </c>
    </row>
    <row r="4771">
      <c r="A4771" s="7" t="n"/>
      <c r="H4771" s="11">
        <f>IF(OR(D4771="",E4771=""),"",D4771*E4771)</f>
        <v/>
      </c>
      <c r="I4771" s="8">
        <f>IF(OR(D4771="",E4771=""),"",E4771*(1+D4771/30))</f>
        <v/>
      </c>
      <c r="J4771">
        <f>IF(I4771="","",IF(I4771&gt;=MAXIFS($I$2:$I$5001,$B$2:$B$5001,B4771,$A$2:$A$5001,"&lt;="&amp;A4771),"PR",""))</f>
        <v/>
      </c>
    </row>
    <row r="4772">
      <c r="A4772" s="7" t="n"/>
      <c r="H4772" s="11">
        <f>IF(OR(D4772="",E4772=""),"",D4772*E4772)</f>
        <v/>
      </c>
      <c r="I4772" s="8">
        <f>IF(OR(D4772="",E4772=""),"",E4772*(1+D4772/30))</f>
        <v/>
      </c>
      <c r="J4772">
        <f>IF(I4772="","",IF(I4772&gt;=MAXIFS($I$2:$I$5001,$B$2:$B$5001,B4772,$A$2:$A$5001,"&lt;="&amp;A4772),"PR",""))</f>
        <v/>
      </c>
    </row>
    <row r="4773">
      <c r="A4773" s="7" t="n"/>
      <c r="H4773" s="11">
        <f>IF(OR(D4773="",E4773=""),"",D4773*E4773)</f>
        <v/>
      </c>
      <c r="I4773" s="8">
        <f>IF(OR(D4773="",E4773=""),"",E4773*(1+D4773/30))</f>
        <v/>
      </c>
      <c r="J4773">
        <f>IF(I4773="","",IF(I4773&gt;=MAXIFS($I$2:$I$5001,$B$2:$B$5001,B4773,$A$2:$A$5001,"&lt;="&amp;A4773),"PR",""))</f>
        <v/>
      </c>
    </row>
    <row r="4774">
      <c r="A4774" s="7" t="n"/>
      <c r="H4774" s="11">
        <f>IF(OR(D4774="",E4774=""),"",D4774*E4774)</f>
        <v/>
      </c>
      <c r="I4774" s="8">
        <f>IF(OR(D4774="",E4774=""),"",E4774*(1+D4774/30))</f>
        <v/>
      </c>
      <c r="J4774">
        <f>IF(I4774="","",IF(I4774&gt;=MAXIFS($I$2:$I$5001,$B$2:$B$5001,B4774,$A$2:$A$5001,"&lt;="&amp;A4774),"PR",""))</f>
        <v/>
      </c>
    </row>
    <row r="4775">
      <c r="A4775" s="7" t="n"/>
      <c r="H4775" s="11">
        <f>IF(OR(D4775="",E4775=""),"",D4775*E4775)</f>
        <v/>
      </c>
      <c r="I4775" s="8">
        <f>IF(OR(D4775="",E4775=""),"",E4775*(1+D4775/30))</f>
        <v/>
      </c>
      <c r="J4775">
        <f>IF(I4775="","",IF(I4775&gt;=MAXIFS($I$2:$I$5001,$B$2:$B$5001,B4775,$A$2:$A$5001,"&lt;="&amp;A4775),"PR",""))</f>
        <v/>
      </c>
    </row>
    <row r="4776">
      <c r="A4776" s="7" t="n"/>
      <c r="H4776" s="11">
        <f>IF(OR(D4776="",E4776=""),"",D4776*E4776)</f>
        <v/>
      </c>
      <c r="I4776" s="8">
        <f>IF(OR(D4776="",E4776=""),"",E4776*(1+D4776/30))</f>
        <v/>
      </c>
      <c r="J4776">
        <f>IF(I4776="","",IF(I4776&gt;=MAXIFS($I$2:$I$5001,$B$2:$B$5001,B4776,$A$2:$A$5001,"&lt;="&amp;A4776),"PR",""))</f>
        <v/>
      </c>
    </row>
    <row r="4777">
      <c r="A4777" s="7" t="n"/>
      <c r="H4777" s="11">
        <f>IF(OR(D4777="",E4777=""),"",D4777*E4777)</f>
        <v/>
      </c>
      <c r="I4777" s="8">
        <f>IF(OR(D4777="",E4777=""),"",E4777*(1+D4777/30))</f>
        <v/>
      </c>
      <c r="J4777">
        <f>IF(I4777="","",IF(I4777&gt;=MAXIFS($I$2:$I$5001,$B$2:$B$5001,B4777,$A$2:$A$5001,"&lt;="&amp;A4777),"PR",""))</f>
        <v/>
      </c>
    </row>
    <row r="4778">
      <c r="A4778" s="7" t="n"/>
      <c r="H4778" s="11">
        <f>IF(OR(D4778="",E4778=""),"",D4778*E4778)</f>
        <v/>
      </c>
      <c r="I4778" s="8">
        <f>IF(OR(D4778="",E4778=""),"",E4778*(1+D4778/30))</f>
        <v/>
      </c>
      <c r="J4778">
        <f>IF(I4778="","",IF(I4778&gt;=MAXIFS($I$2:$I$5001,$B$2:$B$5001,B4778,$A$2:$A$5001,"&lt;="&amp;A4778),"PR",""))</f>
        <v/>
      </c>
    </row>
    <row r="4779">
      <c r="A4779" s="7" t="n"/>
      <c r="H4779" s="11">
        <f>IF(OR(D4779="",E4779=""),"",D4779*E4779)</f>
        <v/>
      </c>
      <c r="I4779" s="8">
        <f>IF(OR(D4779="",E4779=""),"",E4779*(1+D4779/30))</f>
        <v/>
      </c>
      <c r="J4779">
        <f>IF(I4779="","",IF(I4779&gt;=MAXIFS($I$2:$I$5001,$B$2:$B$5001,B4779,$A$2:$A$5001,"&lt;="&amp;A4779),"PR",""))</f>
        <v/>
      </c>
    </row>
    <row r="4780">
      <c r="A4780" s="7" t="n"/>
      <c r="H4780" s="11">
        <f>IF(OR(D4780="",E4780=""),"",D4780*E4780)</f>
        <v/>
      </c>
      <c r="I4780" s="8">
        <f>IF(OR(D4780="",E4780=""),"",E4780*(1+D4780/30))</f>
        <v/>
      </c>
      <c r="J4780">
        <f>IF(I4780="","",IF(I4780&gt;=MAXIFS($I$2:$I$5001,$B$2:$B$5001,B4780,$A$2:$A$5001,"&lt;="&amp;A4780),"PR",""))</f>
        <v/>
      </c>
    </row>
    <row r="4781">
      <c r="A4781" s="7" t="n"/>
      <c r="H4781" s="11">
        <f>IF(OR(D4781="",E4781=""),"",D4781*E4781)</f>
        <v/>
      </c>
      <c r="I4781" s="8">
        <f>IF(OR(D4781="",E4781=""),"",E4781*(1+D4781/30))</f>
        <v/>
      </c>
      <c r="J4781">
        <f>IF(I4781="","",IF(I4781&gt;=MAXIFS($I$2:$I$5001,$B$2:$B$5001,B4781,$A$2:$A$5001,"&lt;="&amp;A4781),"PR",""))</f>
        <v/>
      </c>
    </row>
    <row r="4782">
      <c r="A4782" s="7" t="n"/>
      <c r="H4782" s="11">
        <f>IF(OR(D4782="",E4782=""),"",D4782*E4782)</f>
        <v/>
      </c>
      <c r="I4782" s="8">
        <f>IF(OR(D4782="",E4782=""),"",E4782*(1+D4782/30))</f>
        <v/>
      </c>
      <c r="J4782">
        <f>IF(I4782="","",IF(I4782&gt;=MAXIFS($I$2:$I$5001,$B$2:$B$5001,B4782,$A$2:$A$5001,"&lt;="&amp;A4782),"PR",""))</f>
        <v/>
      </c>
    </row>
    <row r="4783">
      <c r="A4783" s="7" t="n"/>
      <c r="H4783" s="11">
        <f>IF(OR(D4783="",E4783=""),"",D4783*E4783)</f>
        <v/>
      </c>
      <c r="I4783" s="8">
        <f>IF(OR(D4783="",E4783=""),"",E4783*(1+D4783/30))</f>
        <v/>
      </c>
      <c r="J4783">
        <f>IF(I4783="","",IF(I4783&gt;=MAXIFS($I$2:$I$5001,$B$2:$B$5001,B4783,$A$2:$A$5001,"&lt;="&amp;A4783),"PR",""))</f>
        <v/>
      </c>
    </row>
    <row r="4784">
      <c r="A4784" s="7" t="n"/>
      <c r="H4784" s="11">
        <f>IF(OR(D4784="",E4784=""),"",D4784*E4784)</f>
        <v/>
      </c>
      <c r="I4784" s="8">
        <f>IF(OR(D4784="",E4784=""),"",E4784*(1+D4784/30))</f>
        <v/>
      </c>
      <c r="J4784">
        <f>IF(I4784="","",IF(I4784&gt;=MAXIFS($I$2:$I$5001,$B$2:$B$5001,B4784,$A$2:$A$5001,"&lt;="&amp;A4784),"PR",""))</f>
        <v/>
      </c>
    </row>
    <row r="4785">
      <c r="A4785" s="7" t="n"/>
      <c r="H4785" s="11">
        <f>IF(OR(D4785="",E4785=""),"",D4785*E4785)</f>
        <v/>
      </c>
      <c r="I4785" s="8">
        <f>IF(OR(D4785="",E4785=""),"",E4785*(1+D4785/30))</f>
        <v/>
      </c>
      <c r="J4785">
        <f>IF(I4785="","",IF(I4785&gt;=MAXIFS($I$2:$I$5001,$B$2:$B$5001,B4785,$A$2:$A$5001,"&lt;="&amp;A4785),"PR",""))</f>
        <v/>
      </c>
    </row>
    <row r="4786">
      <c r="A4786" s="7" t="n"/>
      <c r="H4786" s="11">
        <f>IF(OR(D4786="",E4786=""),"",D4786*E4786)</f>
        <v/>
      </c>
      <c r="I4786" s="8">
        <f>IF(OR(D4786="",E4786=""),"",E4786*(1+D4786/30))</f>
        <v/>
      </c>
      <c r="J4786">
        <f>IF(I4786="","",IF(I4786&gt;=MAXIFS($I$2:$I$5001,$B$2:$B$5001,B4786,$A$2:$A$5001,"&lt;="&amp;A4786),"PR",""))</f>
        <v/>
      </c>
    </row>
    <row r="4787">
      <c r="A4787" s="7" t="n"/>
      <c r="H4787" s="11">
        <f>IF(OR(D4787="",E4787=""),"",D4787*E4787)</f>
        <v/>
      </c>
      <c r="I4787" s="8">
        <f>IF(OR(D4787="",E4787=""),"",E4787*(1+D4787/30))</f>
        <v/>
      </c>
      <c r="J4787">
        <f>IF(I4787="","",IF(I4787&gt;=MAXIFS($I$2:$I$5001,$B$2:$B$5001,B4787,$A$2:$A$5001,"&lt;="&amp;A4787),"PR",""))</f>
        <v/>
      </c>
    </row>
    <row r="4788">
      <c r="A4788" s="7" t="n"/>
      <c r="H4788" s="11">
        <f>IF(OR(D4788="",E4788=""),"",D4788*E4788)</f>
        <v/>
      </c>
      <c r="I4788" s="8">
        <f>IF(OR(D4788="",E4788=""),"",E4788*(1+D4788/30))</f>
        <v/>
      </c>
      <c r="J4788">
        <f>IF(I4788="","",IF(I4788&gt;=MAXIFS($I$2:$I$5001,$B$2:$B$5001,B4788,$A$2:$A$5001,"&lt;="&amp;A4788),"PR",""))</f>
        <v/>
      </c>
    </row>
    <row r="4789">
      <c r="A4789" s="7" t="n"/>
      <c r="H4789" s="11">
        <f>IF(OR(D4789="",E4789=""),"",D4789*E4789)</f>
        <v/>
      </c>
      <c r="I4789" s="8">
        <f>IF(OR(D4789="",E4789=""),"",E4789*(1+D4789/30))</f>
        <v/>
      </c>
      <c r="J4789">
        <f>IF(I4789="","",IF(I4789&gt;=MAXIFS($I$2:$I$5001,$B$2:$B$5001,B4789,$A$2:$A$5001,"&lt;="&amp;A4789),"PR",""))</f>
        <v/>
      </c>
    </row>
    <row r="4790">
      <c r="A4790" s="7" t="n"/>
      <c r="H4790" s="11">
        <f>IF(OR(D4790="",E4790=""),"",D4790*E4790)</f>
        <v/>
      </c>
      <c r="I4790" s="8">
        <f>IF(OR(D4790="",E4790=""),"",E4790*(1+D4790/30))</f>
        <v/>
      </c>
      <c r="J4790">
        <f>IF(I4790="","",IF(I4790&gt;=MAXIFS($I$2:$I$5001,$B$2:$B$5001,B4790,$A$2:$A$5001,"&lt;="&amp;A4790),"PR",""))</f>
        <v/>
      </c>
    </row>
    <row r="4791">
      <c r="A4791" s="7" t="n"/>
      <c r="H4791" s="11">
        <f>IF(OR(D4791="",E4791=""),"",D4791*E4791)</f>
        <v/>
      </c>
      <c r="I4791" s="8">
        <f>IF(OR(D4791="",E4791=""),"",E4791*(1+D4791/30))</f>
        <v/>
      </c>
      <c r="J4791">
        <f>IF(I4791="","",IF(I4791&gt;=MAXIFS($I$2:$I$5001,$B$2:$B$5001,B4791,$A$2:$A$5001,"&lt;="&amp;A4791),"PR",""))</f>
        <v/>
      </c>
    </row>
    <row r="4792">
      <c r="A4792" s="7" t="n"/>
      <c r="H4792" s="11">
        <f>IF(OR(D4792="",E4792=""),"",D4792*E4792)</f>
        <v/>
      </c>
      <c r="I4792" s="8">
        <f>IF(OR(D4792="",E4792=""),"",E4792*(1+D4792/30))</f>
        <v/>
      </c>
      <c r="J4792">
        <f>IF(I4792="","",IF(I4792&gt;=MAXIFS($I$2:$I$5001,$B$2:$B$5001,B4792,$A$2:$A$5001,"&lt;="&amp;A4792),"PR",""))</f>
        <v/>
      </c>
    </row>
    <row r="4793">
      <c r="A4793" s="7" t="n"/>
      <c r="H4793" s="11">
        <f>IF(OR(D4793="",E4793=""),"",D4793*E4793)</f>
        <v/>
      </c>
      <c r="I4793" s="8">
        <f>IF(OR(D4793="",E4793=""),"",E4793*(1+D4793/30))</f>
        <v/>
      </c>
      <c r="J4793">
        <f>IF(I4793="","",IF(I4793&gt;=MAXIFS($I$2:$I$5001,$B$2:$B$5001,B4793,$A$2:$A$5001,"&lt;="&amp;A4793),"PR",""))</f>
        <v/>
      </c>
    </row>
    <row r="4794">
      <c r="A4794" s="7" t="n"/>
      <c r="H4794" s="11">
        <f>IF(OR(D4794="",E4794=""),"",D4794*E4794)</f>
        <v/>
      </c>
      <c r="I4794" s="8">
        <f>IF(OR(D4794="",E4794=""),"",E4794*(1+D4794/30))</f>
        <v/>
      </c>
      <c r="J4794">
        <f>IF(I4794="","",IF(I4794&gt;=MAXIFS($I$2:$I$5001,$B$2:$B$5001,B4794,$A$2:$A$5001,"&lt;="&amp;A4794),"PR",""))</f>
        <v/>
      </c>
    </row>
    <row r="4795">
      <c r="A4795" s="7" t="n"/>
      <c r="H4795" s="11">
        <f>IF(OR(D4795="",E4795=""),"",D4795*E4795)</f>
        <v/>
      </c>
      <c r="I4795" s="8">
        <f>IF(OR(D4795="",E4795=""),"",E4795*(1+D4795/30))</f>
        <v/>
      </c>
      <c r="J4795">
        <f>IF(I4795="","",IF(I4795&gt;=MAXIFS($I$2:$I$5001,$B$2:$B$5001,B4795,$A$2:$A$5001,"&lt;="&amp;A4795),"PR",""))</f>
        <v/>
      </c>
    </row>
    <row r="4796">
      <c r="A4796" s="7" t="n"/>
      <c r="H4796" s="11">
        <f>IF(OR(D4796="",E4796=""),"",D4796*E4796)</f>
        <v/>
      </c>
      <c r="I4796" s="8">
        <f>IF(OR(D4796="",E4796=""),"",E4796*(1+D4796/30))</f>
        <v/>
      </c>
      <c r="J4796">
        <f>IF(I4796="","",IF(I4796&gt;=MAXIFS($I$2:$I$5001,$B$2:$B$5001,B4796,$A$2:$A$5001,"&lt;="&amp;A4796),"PR",""))</f>
        <v/>
      </c>
    </row>
    <row r="4797">
      <c r="A4797" s="7" t="n"/>
      <c r="H4797" s="11">
        <f>IF(OR(D4797="",E4797=""),"",D4797*E4797)</f>
        <v/>
      </c>
      <c r="I4797" s="8">
        <f>IF(OR(D4797="",E4797=""),"",E4797*(1+D4797/30))</f>
        <v/>
      </c>
      <c r="J4797">
        <f>IF(I4797="","",IF(I4797&gt;=MAXIFS($I$2:$I$5001,$B$2:$B$5001,B4797,$A$2:$A$5001,"&lt;="&amp;A4797),"PR",""))</f>
        <v/>
      </c>
    </row>
    <row r="4798">
      <c r="A4798" s="7" t="n"/>
      <c r="H4798" s="11">
        <f>IF(OR(D4798="",E4798=""),"",D4798*E4798)</f>
        <v/>
      </c>
      <c r="I4798" s="8">
        <f>IF(OR(D4798="",E4798=""),"",E4798*(1+D4798/30))</f>
        <v/>
      </c>
      <c r="J4798">
        <f>IF(I4798="","",IF(I4798&gt;=MAXIFS($I$2:$I$5001,$B$2:$B$5001,B4798,$A$2:$A$5001,"&lt;="&amp;A4798),"PR",""))</f>
        <v/>
      </c>
    </row>
    <row r="4799">
      <c r="A4799" s="7" t="n"/>
      <c r="H4799" s="11">
        <f>IF(OR(D4799="",E4799=""),"",D4799*E4799)</f>
        <v/>
      </c>
      <c r="I4799" s="8">
        <f>IF(OR(D4799="",E4799=""),"",E4799*(1+D4799/30))</f>
        <v/>
      </c>
      <c r="J4799">
        <f>IF(I4799="","",IF(I4799&gt;=MAXIFS($I$2:$I$5001,$B$2:$B$5001,B4799,$A$2:$A$5001,"&lt;="&amp;A4799),"PR",""))</f>
        <v/>
      </c>
    </row>
    <row r="4800">
      <c r="A4800" s="7" t="n"/>
      <c r="H4800" s="11">
        <f>IF(OR(D4800="",E4800=""),"",D4800*E4800)</f>
        <v/>
      </c>
      <c r="I4800" s="8">
        <f>IF(OR(D4800="",E4800=""),"",E4800*(1+D4800/30))</f>
        <v/>
      </c>
      <c r="J4800">
        <f>IF(I4800="","",IF(I4800&gt;=MAXIFS($I$2:$I$5001,$B$2:$B$5001,B4800,$A$2:$A$5001,"&lt;="&amp;A4800),"PR",""))</f>
        <v/>
      </c>
    </row>
    <row r="4801">
      <c r="A4801" s="7" t="n"/>
      <c r="H4801" s="11">
        <f>IF(OR(D4801="",E4801=""),"",D4801*E4801)</f>
        <v/>
      </c>
      <c r="I4801" s="8">
        <f>IF(OR(D4801="",E4801=""),"",E4801*(1+D4801/30))</f>
        <v/>
      </c>
      <c r="J4801">
        <f>IF(I4801="","",IF(I4801&gt;=MAXIFS($I$2:$I$5001,$B$2:$B$5001,B4801,$A$2:$A$5001,"&lt;="&amp;A4801),"PR",""))</f>
        <v/>
      </c>
    </row>
    <row r="4802">
      <c r="A4802" s="7" t="n"/>
      <c r="H4802" s="11">
        <f>IF(OR(D4802="",E4802=""),"",D4802*E4802)</f>
        <v/>
      </c>
      <c r="I4802" s="8">
        <f>IF(OR(D4802="",E4802=""),"",E4802*(1+D4802/30))</f>
        <v/>
      </c>
      <c r="J4802">
        <f>IF(I4802="","",IF(I4802&gt;=MAXIFS($I$2:$I$5001,$B$2:$B$5001,B4802,$A$2:$A$5001,"&lt;="&amp;A4802),"PR",""))</f>
        <v/>
      </c>
    </row>
    <row r="4803">
      <c r="A4803" s="7" t="n"/>
      <c r="H4803" s="11">
        <f>IF(OR(D4803="",E4803=""),"",D4803*E4803)</f>
        <v/>
      </c>
      <c r="I4803" s="8">
        <f>IF(OR(D4803="",E4803=""),"",E4803*(1+D4803/30))</f>
        <v/>
      </c>
      <c r="J4803">
        <f>IF(I4803="","",IF(I4803&gt;=MAXIFS($I$2:$I$5001,$B$2:$B$5001,B4803,$A$2:$A$5001,"&lt;="&amp;A4803),"PR",""))</f>
        <v/>
      </c>
    </row>
    <row r="4804">
      <c r="A4804" s="7" t="n"/>
      <c r="H4804" s="11">
        <f>IF(OR(D4804="",E4804=""),"",D4804*E4804)</f>
        <v/>
      </c>
      <c r="I4804" s="8">
        <f>IF(OR(D4804="",E4804=""),"",E4804*(1+D4804/30))</f>
        <v/>
      </c>
      <c r="J4804">
        <f>IF(I4804="","",IF(I4804&gt;=MAXIFS($I$2:$I$5001,$B$2:$B$5001,B4804,$A$2:$A$5001,"&lt;="&amp;A4804),"PR",""))</f>
        <v/>
      </c>
    </row>
    <row r="4805">
      <c r="A4805" s="7" t="n"/>
      <c r="H4805" s="11">
        <f>IF(OR(D4805="",E4805=""),"",D4805*E4805)</f>
        <v/>
      </c>
      <c r="I4805" s="8">
        <f>IF(OR(D4805="",E4805=""),"",E4805*(1+D4805/30))</f>
        <v/>
      </c>
      <c r="J4805">
        <f>IF(I4805="","",IF(I4805&gt;=MAXIFS($I$2:$I$5001,$B$2:$B$5001,B4805,$A$2:$A$5001,"&lt;="&amp;A4805),"PR",""))</f>
        <v/>
      </c>
    </row>
    <row r="4806">
      <c r="A4806" s="7" t="n"/>
      <c r="H4806" s="11">
        <f>IF(OR(D4806="",E4806=""),"",D4806*E4806)</f>
        <v/>
      </c>
      <c r="I4806" s="8">
        <f>IF(OR(D4806="",E4806=""),"",E4806*(1+D4806/30))</f>
        <v/>
      </c>
      <c r="J4806">
        <f>IF(I4806="","",IF(I4806&gt;=MAXIFS($I$2:$I$5001,$B$2:$B$5001,B4806,$A$2:$A$5001,"&lt;="&amp;A4806),"PR",""))</f>
        <v/>
      </c>
    </row>
    <row r="4807">
      <c r="A4807" s="7" t="n"/>
      <c r="H4807" s="11">
        <f>IF(OR(D4807="",E4807=""),"",D4807*E4807)</f>
        <v/>
      </c>
      <c r="I4807" s="8">
        <f>IF(OR(D4807="",E4807=""),"",E4807*(1+D4807/30))</f>
        <v/>
      </c>
      <c r="J4807">
        <f>IF(I4807="","",IF(I4807&gt;=MAXIFS($I$2:$I$5001,$B$2:$B$5001,B4807,$A$2:$A$5001,"&lt;="&amp;A4807),"PR",""))</f>
        <v/>
      </c>
    </row>
    <row r="4808">
      <c r="A4808" s="7" t="n"/>
      <c r="H4808" s="11">
        <f>IF(OR(D4808="",E4808=""),"",D4808*E4808)</f>
        <v/>
      </c>
      <c r="I4808" s="8">
        <f>IF(OR(D4808="",E4808=""),"",E4808*(1+D4808/30))</f>
        <v/>
      </c>
      <c r="J4808">
        <f>IF(I4808="","",IF(I4808&gt;=MAXIFS($I$2:$I$5001,$B$2:$B$5001,B4808,$A$2:$A$5001,"&lt;="&amp;A4808),"PR",""))</f>
        <v/>
      </c>
    </row>
    <row r="4809">
      <c r="A4809" s="7" t="n"/>
      <c r="H4809" s="11">
        <f>IF(OR(D4809="",E4809=""),"",D4809*E4809)</f>
        <v/>
      </c>
      <c r="I4809" s="8">
        <f>IF(OR(D4809="",E4809=""),"",E4809*(1+D4809/30))</f>
        <v/>
      </c>
      <c r="J4809">
        <f>IF(I4809="","",IF(I4809&gt;=MAXIFS($I$2:$I$5001,$B$2:$B$5001,B4809,$A$2:$A$5001,"&lt;="&amp;A4809),"PR",""))</f>
        <v/>
      </c>
    </row>
    <row r="4810">
      <c r="A4810" s="7" t="n"/>
      <c r="H4810" s="11">
        <f>IF(OR(D4810="",E4810=""),"",D4810*E4810)</f>
        <v/>
      </c>
      <c r="I4810" s="8">
        <f>IF(OR(D4810="",E4810=""),"",E4810*(1+D4810/30))</f>
        <v/>
      </c>
      <c r="J4810">
        <f>IF(I4810="","",IF(I4810&gt;=MAXIFS($I$2:$I$5001,$B$2:$B$5001,B4810,$A$2:$A$5001,"&lt;="&amp;A4810),"PR",""))</f>
        <v/>
      </c>
    </row>
    <row r="4811">
      <c r="A4811" s="7" t="n"/>
      <c r="H4811" s="11">
        <f>IF(OR(D4811="",E4811=""),"",D4811*E4811)</f>
        <v/>
      </c>
      <c r="I4811" s="8">
        <f>IF(OR(D4811="",E4811=""),"",E4811*(1+D4811/30))</f>
        <v/>
      </c>
      <c r="J4811">
        <f>IF(I4811="","",IF(I4811&gt;=MAXIFS($I$2:$I$5001,$B$2:$B$5001,B4811,$A$2:$A$5001,"&lt;="&amp;A4811),"PR",""))</f>
        <v/>
      </c>
    </row>
    <row r="4812">
      <c r="A4812" s="7" t="n"/>
      <c r="H4812" s="11">
        <f>IF(OR(D4812="",E4812=""),"",D4812*E4812)</f>
        <v/>
      </c>
      <c r="I4812" s="8">
        <f>IF(OR(D4812="",E4812=""),"",E4812*(1+D4812/30))</f>
        <v/>
      </c>
      <c r="J4812">
        <f>IF(I4812="","",IF(I4812&gt;=MAXIFS($I$2:$I$5001,$B$2:$B$5001,B4812,$A$2:$A$5001,"&lt;="&amp;A4812),"PR",""))</f>
        <v/>
      </c>
    </row>
    <row r="4813">
      <c r="A4813" s="7" t="n"/>
      <c r="H4813" s="11">
        <f>IF(OR(D4813="",E4813=""),"",D4813*E4813)</f>
        <v/>
      </c>
      <c r="I4813" s="8">
        <f>IF(OR(D4813="",E4813=""),"",E4813*(1+D4813/30))</f>
        <v/>
      </c>
      <c r="J4813">
        <f>IF(I4813="","",IF(I4813&gt;=MAXIFS($I$2:$I$5001,$B$2:$B$5001,B4813,$A$2:$A$5001,"&lt;="&amp;A4813),"PR",""))</f>
        <v/>
      </c>
    </row>
    <row r="4814">
      <c r="A4814" s="7" t="n"/>
      <c r="H4814" s="11">
        <f>IF(OR(D4814="",E4814=""),"",D4814*E4814)</f>
        <v/>
      </c>
      <c r="I4814" s="8">
        <f>IF(OR(D4814="",E4814=""),"",E4814*(1+D4814/30))</f>
        <v/>
      </c>
      <c r="J4814">
        <f>IF(I4814="","",IF(I4814&gt;=MAXIFS($I$2:$I$5001,$B$2:$B$5001,B4814,$A$2:$A$5001,"&lt;="&amp;A4814),"PR",""))</f>
        <v/>
      </c>
    </row>
    <row r="4815">
      <c r="A4815" s="7" t="n"/>
      <c r="H4815" s="11">
        <f>IF(OR(D4815="",E4815=""),"",D4815*E4815)</f>
        <v/>
      </c>
      <c r="I4815" s="8">
        <f>IF(OR(D4815="",E4815=""),"",E4815*(1+D4815/30))</f>
        <v/>
      </c>
      <c r="J4815">
        <f>IF(I4815="","",IF(I4815&gt;=MAXIFS($I$2:$I$5001,$B$2:$B$5001,B4815,$A$2:$A$5001,"&lt;="&amp;A4815),"PR",""))</f>
        <v/>
      </c>
    </row>
    <row r="4816">
      <c r="A4816" s="7" t="n"/>
      <c r="H4816" s="11">
        <f>IF(OR(D4816="",E4816=""),"",D4816*E4816)</f>
        <v/>
      </c>
      <c r="I4816" s="8">
        <f>IF(OR(D4816="",E4816=""),"",E4816*(1+D4816/30))</f>
        <v/>
      </c>
      <c r="J4816">
        <f>IF(I4816="","",IF(I4816&gt;=MAXIFS($I$2:$I$5001,$B$2:$B$5001,B4816,$A$2:$A$5001,"&lt;="&amp;A4816),"PR",""))</f>
        <v/>
      </c>
    </row>
    <row r="4817">
      <c r="A4817" s="7" t="n"/>
      <c r="H4817" s="11">
        <f>IF(OR(D4817="",E4817=""),"",D4817*E4817)</f>
        <v/>
      </c>
      <c r="I4817" s="8">
        <f>IF(OR(D4817="",E4817=""),"",E4817*(1+D4817/30))</f>
        <v/>
      </c>
      <c r="J4817">
        <f>IF(I4817="","",IF(I4817&gt;=MAXIFS($I$2:$I$5001,$B$2:$B$5001,B4817,$A$2:$A$5001,"&lt;="&amp;A4817),"PR",""))</f>
        <v/>
      </c>
    </row>
    <row r="4818">
      <c r="A4818" s="7" t="n"/>
      <c r="H4818" s="11">
        <f>IF(OR(D4818="",E4818=""),"",D4818*E4818)</f>
        <v/>
      </c>
      <c r="I4818" s="8">
        <f>IF(OR(D4818="",E4818=""),"",E4818*(1+D4818/30))</f>
        <v/>
      </c>
      <c r="J4818">
        <f>IF(I4818="","",IF(I4818&gt;=MAXIFS($I$2:$I$5001,$B$2:$B$5001,B4818,$A$2:$A$5001,"&lt;="&amp;A4818),"PR",""))</f>
        <v/>
      </c>
    </row>
    <row r="4819">
      <c r="A4819" s="7" t="n"/>
      <c r="H4819" s="11">
        <f>IF(OR(D4819="",E4819=""),"",D4819*E4819)</f>
        <v/>
      </c>
      <c r="I4819" s="8">
        <f>IF(OR(D4819="",E4819=""),"",E4819*(1+D4819/30))</f>
        <v/>
      </c>
      <c r="J4819">
        <f>IF(I4819="","",IF(I4819&gt;=MAXIFS($I$2:$I$5001,$B$2:$B$5001,B4819,$A$2:$A$5001,"&lt;="&amp;A4819),"PR",""))</f>
        <v/>
      </c>
    </row>
    <row r="4820">
      <c r="A4820" s="7" t="n"/>
      <c r="H4820" s="11">
        <f>IF(OR(D4820="",E4820=""),"",D4820*E4820)</f>
        <v/>
      </c>
      <c r="I4820" s="8">
        <f>IF(OR(D4820="",E4820=""),"",E4820*(1+D4820/30))</f>
        <v/>
      </c>
      <c r="J4820">
        <f>IF(I4820="","",IF(I4820&gt;=MAXIFS($I$2:$I$5001,$B$2:$B$5001,B4820,$A$2:$A$5001,"&lt;="&amp;A4820),"PR",""))</f>
        <v/>
      </c>
    </row>
    <row r="4821">
      <c r="A4821" s="7" t="n"/>
      <c r="H4821" s="11">
        <f>IF(OR(D4821="",E4821=""),"",D4821*E4821)</f>
        <v/>
      </c>
      <c r="I4821" s="8">
        <f>IF(OR(D4821="",E4821=""),"",E4821*(1+D4821/30))</f>
        <v/>
      </c>
      <c r="J4821">
        <f>IF(I4821="","",IF(I4821&gt;=MAXIFS($I$2:$I$5001,$B$2:$B$5001,B4821,$A$2:$A$5001,"&lt;="&amp;A4821),"PR",""))</f>
        <v/>
      </c>
    </row>
    <row r="4822">
      <c r="A4822" s="7" t="n"/>
      <c r="H4822" s="11">
        <f>IF(OR(D4822="",E4822=""),"",D4822*E4822)</f>
        <v/>
      </c>
      <c r="I4822" s="8">
        <f>IF(OR(D4822="",E4822=""),"",E4822*(1+D4822/30))</f>
        <v/>
      </c>
      <c r="J4822">
        <f>IF(I4822="","",IF(I4822&gt;=MAXIFS($I$2:$I$5001,$B$2:$B$5001,B4822,$A$2:$A$5001,"&lt;="&amp;A4822),"PR",""))</f>
        <v/>
      </c>
    </row>
    <row r="4823">
      <c r="A4823" s="7" t="n"/>
      <c r="H4823" s="11">
        <f>IF(OR(D4823="",E4823=""),"",D4823*E4823)</f>
        <v/>
      </c>
      <c r="I4823" s="8">
        <f>IF(OR(D4823="",E4823=""),"",E4823*(1+D4823/30))</f>
        <v/>
      </c>
      <c r="J4823">
        <f>IF(I4823="","",IF(I4823&gt;=MAXIFS($I$2:$I$5001,$B$2:$B$5001,B4823,$A$2:$A$5001,"&lt;="&amp;A4823),"PR",""))</f>
        <v/>
      </c>
    </row>
    <row r="4824">
      <c r="A4824" s="7" t="n"/>
      <c r="H4824" s="11">
        <f>IF(OR(D4824="",E4824=""),"",D4824*E4824)</f>
        <v/>
      </c>
      <c r="I4824" s="8">
        <f>IF(OR(D4824="",E4824=""),"",E4824*(1+D4824/30))</f>
        <v/>
      </c>
      <c r="J4824">
        <f>IF(I4824="","",IF(I4824&gt;=MAXIFS($I$2:$I$5001,$B$2:$B$5001,B4824,$A$2:$A$5001,"&lt;="&amp;A4824),"PR",""))</f>
        <v/>
      </c>
    </row>
    <row r="4825">
      <c r="A4825" s="7" t="n"/>
      <c r="H4825" s="11">
        <f>IF(OR(D4825="",E4825=""),"",D4825*E4825)</f>
        <v/>
      </c>
      <c r="I4825" s="8">
        <f>IF(OR(D4825="",E4825=""),"",E4825*(1+D4825/30))</f>
        <v/>
      </c>
      <c r="J4825">
        <f>IF(I4825="","",IF(I4825&gt;=MAXIFS($I$2:$I$5001,$B$2:$B$5001,B4825,$A$2:$A$5001,"&lt;="&amp;A4825),"PR",""))</f>
        <v/>
      </c>
    </row>
    <row r="4826">
      <c r="A4826" s="7" t="n"/>
      <c r="H4826" s="11">
        <f>IF(OR(D4826="",E4826=""),"",D4826*E4826)</f>
        <v/>
      </c>
      <c r="I4826" s="8">
        <f>IF(OR(D4826="",E4826=""),"",E4826*(1+D4826/30))</f>
        <v/>
      </c>
      <c r="J4826">
        <f>IF(I4826="","",IF(I4826&gt;=MAXIFS($I$2:$I$5001,$B$2:$B$5001,B4826,$A$2:$A$5001,"&lt;="&amp;A4826),"PR",""))</f>
        <v/>
      </c>
    </row>
    <row r="4827">
      <c r="A4827" s="7" t="n"/>
      <c r="H4827" s="11">
        <f>IF(OR(D4827="",E4827=""),"",D4827*E4827)</f>
        <v/>
      </c>
      <c r="I4827" s="8">
        <f>IF(OR(D4827="",E4827=""),"",E4827*(1+D4827/30))</f>
        <v/>
      </c>
      <c r="J4827">
        <f>IF(I4827="","",IF(I4827&gt;=MAXIFS($I$2:$I$5001,$B$2:$B$5001,B4827,$A$2:$A$5001,"&lt;="&amp;A4827),"PR",""))</f>
        <v/>
      </c>
    </row>
    <row r="4828">
      <c r="A4828" s="7" t="n"/>
      <c r="H4828" s="11">
        <f>IF(OR(D4828="",E4828=""),"",D4828*E4828)</f>
        <v/>
      </c>
      <c r="I4828" s="8">
        <f>IF(OR(D4828="",E4828=""),"",E4828*(1+D4828/30))</f>
        <v/>
      </c>
      <c r="J4828">
        <f>IF(I4828="","",IF(I4828&gt;=MAXIFS($I$2:$I$5001,$B$2:$B$5001,B4828,$A$2:$A$5001,"&lt;="&amp;A4828),"PR",""))</f>
        <v/>
      </c>
    </row>
    <row r="4829">
      <c r="A4829" s="7" t="n"/>
      <c r="H4829" s="11">
        <f>IF(OR(D4829="",E4829=""),"",D4829*E4829)</f>
        <v/>
      </c>
      <c r="I4829" s="8">
        <f>IF(OR(D4829="",E4829=""),"",E4829*(1+D4829/30))</f>
        <v/>
      </c>
      <c r="J4829">
        <f>IF(I4829="","",IF(I4829&gt;=MAXIFS($I$2:$I$5001,$B$2:$B$5001,B4829,$A$2:$A$5001,"&lt;="&amp;A4829),"PR",""))</f>
        <v/>
      </c>
    </row>
    <row r="4830">
      <c r="A4830" s="7" t="n"/>
      <c r="H4830" s="11">
        <f>IF(OR(D4830="",E4830=""),"",D4830*E4830)</f>
        <v/>
      </c>
      <c r="I4830" s="8">
        <f>IF(OR(D4830="",E4830=""),"",E4830*(1+D4830/30))</f>
        <v/>
      </c>
      <c r="J4830">
        <f>IF(I4830="","",IF(I4830&gt;=MAXIFS($I$2:$I$5001,$B$2:$B$5001,B4830,$A$2:$A$5001,"&lt;="&amp;A4830),"PR",""))</f>
        <v/>
      </c>
    </row>
    <row r="4831">
      <c r="A4831" s="7" t="n"/>
      <c r="H4831" s="11">
        <f>IF(OR(D4831="",E4831=""),"",D4831*E4831)</f>
        <v/>
      </c>
      <c r="I4831" s="8">
        <f>IF(OR(D4831="",E4831=""),"",E4831*(1+D4831/30))</f>
        <v/>
      </c>
      <c r="J4831">
        <f>IF(I4831="","",IF(I4831&gt;=MAXIFS($I$2:$I$5001,$B$2:$B$5001,B4831,$A$2:$A$5001,"&lt;="&amp;A4831),"PR",""))</f>
        <v/>
      </c>
    </row>
    <row r="4832">
      <c r="A4832" s="7" t="n"/>
      <c r="H4832" s="11">
        <f>IF(OR(D4832="",E4832=""),"",D4832*E4832)</f>
        <v/>
      </c>
      <c r="I4832" s="8">
        <f>IF(OR(D4832="",E4832=""),"",E4832*(1+D4832/30))</f>
        <v/>
      </c>
      <c r="J4832">
        <f>IF(I4832="","",IF(I4832&gt;=MAXIFS($I$2:$I$5001,$B$2:$B$5001,B4832,$A$2:$A$5001,"&lt;="&amp;A4832),"PR",""))</f>
        <v/>
      </c>
    </row>
    <row r="4833">
      <c r="A4833" s="7" t="n"/>
      <c r="H4833" s="11">
        <f>IF(OR(D4833="",E4833=""),"",D4833*E4833)</f>
        <v/>
      </c>
      <c r="I4833" s="8">
        <f>IF(OR(D4833="",E4833=""),"",E4833*(1+D4833/30))</f>
        <v/>
      </c>
      <c r="J4833">
        <f>IF(I4833="","",IF(I4833&gt;=MAXIFS($I$2:$I$5001,$B$2:$B$5001,B4833,$A$2:$A$5001,"&lt;="&amp;A4833),"PR",""))</f>
        <v/>
      </c>
    </row>
    <row r="4834">
      <c r="A4834" s="7" t="n"/>
      <c r="H4834" s="11">
        <f>IF(OR(D4834="",E4834=""),"",D4834*E4834)</f>
        <v/>
      </c>
      <c r="I4834" s="8">
        <f>IF(OR(D4834="",E4834=""),"",E4834*(1+D4834/30))</f>
        <v/>
      </c>
      <c r="J4834">
        <f>IF(I4834="","",IF(I4834&gt;=MAXIFS($I$2:$I$5001,$B$2:$B$5001,B4834,$A$2:$A$5001,"&lt;="&amp;A4834),"PR",""))</f>
        <v/>
      </c>
    </row>
    <row r="4835">
      <c r="A4835" s="7" t="n"/>
      <c r="H4835" s="11">
        <f>IF(OR(D4835="",E4835=""),"",D4835*E4835)</f>
        <v/>
      </c>
      <c r="I4835" s="8">
        <f>IF(OR(D4835="",E4835=""),"",E4835*(1+D4835/30))</f>
        <v/>
      </c>
      <c r="J4835">
        <f>IF(I4835="","",IF(I4835&gt;=MAXIFS($I$2:$I$5001,$B$2:$B$5001,B4835,$A$2:$A$5001,"&lt;="&amp;A4835),"PR",""))</f>
        <v/>
      </c>
    </row>
    <row r="4836">
      <c r="A4836" s="7" t="n"/>
      <c r="H4836" s="11">
        <f>IF(OR(D4836="",E4836=""),"",D4836*E4836)</f>
        <v/>
      </c>
      <c r="I4836" s="8">
        <f>IF(OR(D4836="",E4836=""),"",E4836*(1+D4836/30))</f>
        <v/>
      </c>
      <c r="J4836">
        <f>IF(I4836="","",IF(I4836&gt;=MAXIFS($I$2:$I$5001,$B$2:$B$5001,B4836,$A$2:$A$5001,"&lt;="&amp;A4836),"PR",""))</f>
        <v/>
      </c>
    </row>
    <row r="4837">
      <c r="A4837" s="7" t="n"/>
      <c r="H4837" s="11">
        <f>IF(OR(D4837="",E4837=""),"",D4837*E4837)</f>
        <v/>
      </c>
      <c r="I4837" s="8">
        <f>IF(OR(D4837="",E4837=""),"",E4837*(1+D4837/30))</f>
        <v/>
      </c>
      <c r="J4837">
        <f>IF(I4837="","",IF(I4837&gt;=MAXIFS($I$2:$I$5001,$B$2:$B$5001,B4837,$A$2:$A$5001,"&lt;="&amp;A4837),"PR",""))</f>
        <v/>
      </c>
    </row>
    <row r="4838">
      <c r="A4838" s="7" t="n"/>
      <c r="H4838" s="11">
        <f>IF(OR(D4838="",E4838=""),"",D4838*E4838)</f>
        <v/>
      </c>
      <c r="I4838" s="8">
        <f>IF(OR(D4838="",E4838=""),"",E4838*(1+D4838/30))</f>
        <v/>
      </c>
      <c r="J4838">
        <f>IF(I4838="","",IF(I4838&gt;=MAXIFS($I$2:$I$5001,$B$2:$B$5001,B4838,$A$2:$A$5001,"&lt;="&amp;A4838),"PR",""))</f>
        <v/>
      </c>
    </row>
    <row r="4839">
      <c r="A4839" s="7" t="n"/>
      <c r="H4839" s="11">
        <f>IF(OR(D4839="",E4839=""),"",D4839*E4839)</f>
        <v/>
      </c>
      <c r="I4839" s="8">
        <f>IF(OR(D4839="",E4839=""),"",E4839*(1+D4839/30))</f>
        <v/>
      </c>
      <c r="J4839">
        <f>IF(I4839="","",IF(I4839&gt;=MAXIFS($I$2:$I$5001,$B$2:$B$5001,B4839,$A$2:$A$5001,"&lt;="&amp;A4839),"PR",""))</f>
        <v/>
      </c>
    </row>
    <row r="4840">
      <c r="A4840" s="7" t="n"/>
      <c r="H4840" s="11">
        <f>IF(OR(D4840="",E4840=""),"",D4840*E4840)</f>
        <v/>
      </c>
      <c r="I4840" s="8">
        <f>IF(OR(D4840="",E4840=""),"",E4840*(1+D4840/30))</f>
        <v/>
      </c>
      <c r="J4840">
        <f>IF(I4840="","",IF(I4840&gt;=MAXIFS($I$2:$I$5001,$B$2:$B$5001,B4840,$A$2:$A$5001,"&lt;="&amp;A4840),"PR",""))</f>
        <v/>
      </c>
    </row>
    <row r="4841">
      <c r="A4841" s="7" t="n"/>
      <c r="H4841" s="11">
        <f>IF(OR(D4841="",E4841=""),"",D4841*E4841)</f>
        <v/>
      </c>
      <c r="I4841" s="8">
        <f>IF(OR(D4841="",E4841=""),"",E4841*(1+D4841/30))</f>
        <v/>
      </c>
      <c r="J4841">
        <f>IF(I4841="","",IF(I4841&gt;=MAXIFS($I$2:$I$5001,$B$2:$B$5001,B4841,$A$2:$A$5001,"&lt;="&amp;A4841),"PR",""))</f>
        <v/>
      </c>
    </row>
    <row r="4842">
      <c r="A4842" s="7" t="n"/>
      <c r="H4842" s="11">
        <f>IF(OR(D4842="",E4842=""),"",D4842*E4842)</f>
        <v/>
      </c>
      <c r="I4842" s="8">
        <f>IF(OR(D4842="",E4842=""),"",E4842*(1+D4842/30))</f>
        <v/>
      </c>
      <c r="J4842">
        <f>IF(I4842="","",IF(I4842&gt;=MAXIFS($I$2:$I$5001,$B$2:$B$5001,B4842,$A$2:$A$5001,"&lt;="&amp;A4842),"PR",""))</f>
        <v/>
      </c>
    </row>
    <row r="4843">
      <c r="A4843" s="7" t="n"/>
      <c r="H4843" s="11">
        <f>IF(OR(D4843="",E4843=""),"",D4843*E4843)</f>
        <v/>
      </c>
      <c r="I4843" s="8">
        <f>IF(OR(D4843="",E4843=""),"",E4843*(1+D4843/30))</f>
        <v/>
      </c>
      <c r="J4843">
        <f>IF(I4843="","",IF(I4843&gt;=MAXIFS($I$2:$I$5001,$B$2:$B$5001,B4843,$A$2:$A$5001,"&lt;="&amp;A4843),"PR",""))</f>
        <v/>
      </c>
    </row>
    <row r="4844">
      <c r="A4844" s="7" t="n"/>
      <c r="H4844" s="11">
        <f>IF(OR(D4844="",E4844=""),"",D4844*E4844)</f>
        <v/>
      </c>
      <c r="I4844" s="8">
        <f>IF(OR(D4844="",E4844=""),"",E4844*(1+D4844/30))</f>
        <v/>
      </c>
      <c r="J4844">
        <f>IF(I4844="","",IF(I4844&gt;=MAXIFS($I$2:$I$5001,$B$2:$B$5001,B4844,$A$2:$A$5001,"&lt;="&amp;A4844),"PR",""))</f>
        <v/>
      </c>
    </row>
    <row r="4845">
      <c r="A4845" s="7" t="n"/>
      <c r="H4845" s="11">
        <f>IF(OR(D4845="",E4845=""),"",D4845*E4845)</f>
        <v/>
      </c>
      <c r="I4845" s="8">
        <f>IF(OR(D4845="",E4845=""),"",E4845*(1+D4845/30))</f>
        <v/>
      </c>
      <c r="J4845">
        <f>IF(I4845="","",IF(I4845&gt;=MAXIFS($I$2:$I$5001,$B$2:$B$5001,B4845,$A$2:$A$5001,"&lt;="&amp;A4845),"PR",""))</f>
        <v/>
      </c>
    </row>
    <row r="4846">
      <c r="A4846" s="7" t="n"/>
      <c r="H4846" s="11">
        <f>IF(OR(D4846="",E4846=""),"",D4846*E4846)</f>
        <v/>
      </c>
      <c r="I4846" s="8">
        <f>IF(OR(D4846="",E4846=""),"",E4846*(1+D4846/30))</f>
        <v/>
      </c>
      <c r="J4846">
        <f>IF(I4846="","",IF(I4846&gt;=MAXIFS($I$2:$I$5001,$B$2:$B$5001,B4846,$A$2:$A$5001,"&lt;="&amp;A4846),"PR",""))</f>
        <v/>
      </c>
    </row>
    <row r="4847">
      <c r="A4847" s="7" t="n"/>
      <c r="H4847" s="11">
        <f>IF(OR(D4847="",E4847=""),"",D4847*E4847)</f>
        <v/>
      </c>
      <c r="I4847" s="8">
        <f>IF(OR(D4847="",E4847=""),"",E4847*(1+D4847/30))</f>
        <v/>
      </c>
      <c r="J4847">
        <f>IF(I4847="","",IF(I4847&gt;=MAXIFS($I$2:$I$5001,$B$2:$B$5001,B4847,$A$2:$A$5001,"&lt;="&amp;A4847),"PR",""))</f>
        <v/>
      </c>
    </row>
    <row r="4848">
      <c r="A4848" s="7" t="n"/>
      <c r="H4848" s="11">
        <f>IF(OR(D4848="",E4848=""),"",D4848*E4848)</f>
        <v/>
      </c>
      <c r="I4848" s="8">
        <f>IF(OR(D4848="",E4848=""),"",E4848*(1+D4848/30))</f>
        <v/>
      </c>
      <c r="J4848">
        <f>IF(I4848="","",IF(I4848&gt;=MAXIFS($I$2:$I$5001,$B$2:$B$5001,B4848,$A$2:$A$5001,"&lt;="&amp;A4848),"PR",""))</f>
        <v/>
      </c>
    </row>
    <row r="4849">
      <c r="A4849" s="7" t="n"/>
      <c r="H4849" s="11">
        <f>IF(OR(D4849="",E4849=""),"",D4849*E4849)</f>
        <v/>
      </c>
      <c r="I4849" s="8">
        <f>IF(OR(D4849="",E4849=""),"",E4849*(1+D4849/30))</f>
        <v/>
      </c>
      <c r="J4849">
        <f>IF(I4849="","",IF(I4849&gt;=MAXIFS($I$2:$I$5001,$B$2:$B$5001,B4849,$A$2:$A$5001,"&lt;="&amp;A4849),"PR",""))</f>
        <v/>
      </c>
    </row>
    <row r="4850">
      <c r="A4850" s="7" t="n"/>
      <c r="H4850" s="11">
        <f>IF(OR(D4850="",E4850=""),"",D4850*E4850)</f>
        <v/>
      </c>
      <c r="I4850" s="8">
        <f>IF(OR(D4850="",E4850=""),"",E4850*(1+D4850/30))</f>
        <v/>
      </c>
      <c r="J4850">
        <f>IF(I4850="","",IF(I4850&gt;=MAXIFS($I$2:$I$5001,$B$2:$B$5001,B4850,$A$2:$A$5001,"&lt;="&amp;A4850),"PR",""))</f>
        <v/>
      </c>
    </row>
    <row r="4851">
      <c r="A4851" s="7" t="n"/>
      <c r="H4851" s="11">
        <f>IF(OR(D4851="",E4851=""),"",D4851*E4851)</f>
        <v/>
      </c>
      <c r="I4851" s="8">
        <f>IF(OR(D4851="",E4851=""),"",E4851*(1+D4851/30))</f>
        <v/>
      </c>
      <c r="J4851">
        <f>IF(I4851="","",IF(I4851&gt;=MAXIFS($I$2:$I$5001,$B$2:$B$5001,B4851,$A$2:$A$5001,"&lt;="&amp;A4851),"PR",""))</f>
        <v/>
      </c>
    </row>
    <row r="4852">
      <c r="A4852" s="7" t="n"/>
      <c r="H4852" s="11">
        <f>IF(OR(D4852="",E4852=""),"",D4852*E4852)</f>
        <v/>
      </c>
      <c r="I4852" s="8">
        <f>IF(OR(D4852="",E4852=""),"",E4852*(1+D4852/30))</f>
        <v/>
      </c>
      <c r="J4852">
        <f>IF(I4852="","",IF(I4852&gt;=MAXIFS($I$2:$I$5001,$B$2:$B$5001,B4852,$A$2:$A$5001,"&lt;="&amp;A4852),"PR",""))</f>
        <v/>
      </c>
    </row>
    <row r="4853">
      <c r="A4853" s="7" t="n"/>
      <c r="H4853" s="11">
        <f>IF(OR(D4853="",E4853=""),"",D4853*E4853)</f>
        <v/>
      </c>
      <c r="I4853" s="8">
        <f>IF(OR(D4853="",E4853=""),"",E4853*(1+D4853/30))</f>
        <v/>
      </c>
      <c r="J4853">
        <f>IF(I4853="","",IF(I4853&gt;=MAXIFS($I$2:$I$5001,$B$2:$B$5001,B4853,$A$2:$A$5001,"&lt;="&amp;A4853),"PR",""))</f>
        <v/>
      </c>
    </row>
    <row r="4854">
      <c r="A4854" s="7" t="n"/>
      <c r="H4854" s="11">
        <f>IF(OR(D4854="",E4854=""),"",D4854*E4854)</f>
        <v/>
      </c>
      <c r="I4854" s="8">
        <f>IF(OR(D4854="",E4854=""),"",E4854*(1+D4854/30))</f>
        <v/>
      </c>
      <c r="J4854">
        <f>IF(I4854="","",IF(I4854&gt;=MAXIFS($I$2:$I$5001,$B$2:$B$5001,B4854,$A$2:$A$5001,"&lt;="&amp;A4854),"PR",""))</f>
        <v/>
      </c>
    </row>
    <row r="4855">
      <c r="A4855" s="7" t="n"/>
      <c r="H4855" s="11">
        <f>IF(OR(D4855="",E4855=""),"",D4855*E4855)</f>
        <v/>
      </c>
      <c r="I4855" s="8">
        <f>IF(OR(D4855="",E4855=""),"",E4855*(1+D4855/30))</f>
        <v/>
      </c>
      <c r="J4855">
        <f>IF(I4855="","",IF(I4855&gt;=MAXIFS($I$2:$I$5001,$B$2:$B$5001,B4855,$A$2:$A$5001,"&lt;="&amp;A4855),"PR",""))</f>
        <v/>
      </c>
    </row>
    <row r="4856">
      <c r="A4856" s="7" t="n"/>
      <c r="H4856" s="11">
        <f>IF(OR(D4856="",E4856=""),"",D4856*E4856)</f>
        <v/>
      </c>
      <c r="I4856" s="8">
        <f>IF(OR(D4856="",E4856=""),"",E4856*(1+D4856/30))</f>
        <v/>
      </c>
      <c r="J4856">
        <f>IF(I4856="","",IF(I4856&gt;=MAXIFS($I$2:$I$5001,$B$2:$B$5001,B4856,$A$2:$A$5001,"&lt;="&amp;A4856),"PR",""))</f>
        <v/>
      </c>
    </row>
    <row r="4857">
      <c r="A4857" s="7" t="n"/>
      <c r="H4857" s="11">
        <f>IF(OR(D4857="",E4857=""),"",D4857*E4857)</f>
        <v/>
      </c>
      <c r="I4857" s="8">
        <f>IF(OR(D4857="",E4857=""),"",E4857*(1+D4857/30))</f>
        <v/>
      </c>
      <c r="J4857">
        <f>IF(I4857="","",IF(I4857&gt;=MAXIFS($I$2:$I$5001,$B$2:$B$5001,B4857,$A$2:$A$5001,"&lt;="&amp;A4857),"PR",""))</f>
        <v/>
      </c>
    </row>
    <row r="4858">
      <c r="A4858" s="7" t="n"/>
      <c r="H4858" s="11">
        <f>IF(OR(D4858="",E4858=""),"",D4858*E4858)</f>
        <v/>
      </c>
      <c r="I4858" s="8">
        <f>IF(OR(D4858="",E4858=""),"",E4858*(1+D4858/30))</f>
        <v/>
      </c>
      <c r="J4858">
        <f>IF(I4858="","",IF(I4858&gt;=MAXIFS($I$2:$I$5001,$B$2:$B$5001,B4858,$A$2:$A$5001,"&lt;="&amp;A4858),"PR",""))</f>
        <v/>
      </c>
    </row>
    <row r="4859">
      <c r="A4859" s="7" t="n"/>
      <c r="H4859" s="11">
        <f>IF(OR(D4859="",E4859=""),"",D4859*E4859)</f>
        <v/>
      </c>
      <c r="I4859" s="8">
        <f>IF(OR(D4859="",E4859=""),"",E4859*(1+D4859/30))</f>
        <v/>
      </c>
      <c r="J4859">
        <f>IF(I4859="","",IF(I4859&gt;=MAXIFS($I$2:$I$5001,$B$2:$B$5001,B4859,$A$2:$A$5001,"&lt;="&amp;A4859),"PR",""))</f>
        <v/>
      </c>
    </row>
    <row r="4860">
      <c r="A4860" s="7" t="n"/>
      <c r="H4860" s="11">
        <f>IF(OR(D4860="",E4860=""),"",D4860*E4860)</f>
        <v/>
      </c>
      <c r="I4860" s="8">
        <f>IF(OR(D4860="",E4860=""),"",E4860*(1+D4860/30))</f>
        <v/>
      </c>
      <c r="J4860">
        <f>IF(I4860="","",IF(I4860&gt;=MAXIFS($I$2:$I$5001,$B$2:$B$5001,B4860,$A$2:$A$5001,"&lt;="&amp;A4860),"PR",""))</f>
        <v/>
      </c>
    </row>
    <row r="4861">
      <c r="A4861" s="7" t="n"/>
      <c r="H4861" s="11">
        <f>IF(OR(D4861="",E4861=""),"",D4861*E4861)</f>
        <v/>
      </c>
      <c r="I4861" s="8">
        <f>IF(OR(D4861="",E4861=""),"",E4861*(1+D4861/30))</f>
        <v/>
      </c>
      <c r="J4861">
        <f>IF(I4861="","",IF(I4861&gt;=MAXIFS($I$2:$I$5001,$B$2:$B$5001,B4861,$A$2:$A$5001,"&lt;="&amp;A4861),"PR",""))</f>
        <v/>
      </c>
    </row>
    <row r="4862">
      <c r="A4862" s="7" t="n"/>
      <c r="H4862" s="11">
        <f>IF(OR(D4862="",E4862=""),"",D4862*E4862)</f>
        <v/>
      </c>
      <c r="I4862" s="8">
        <f>IF(OR(D4862="",E4862=""),"",E4862*(1+D4862/30))</f>
        <v/>
      </c>
      <c r="J4862">
        <f>IF(I4862="","",IF(I4862&gt;=MAXIFS($I$2:$I$5001,$B$2:$B$5001,B4862,$A$2:$A$5001,"&lt;="&amp;A4862),"PR",""))</f>
        <v/>
      </c>
    </row>
    <row r="4863">
      <c r="A4863" s="7" t="n"/>
      <c r="H4863" s="11">
        <f>IF(OR(D4863="",E4863=""),"",D4863*E4863)</f>
        <v/>
      </c>
      <c r="I4863" s="8">
        <f>IF(OR(D4863="",E4863=""),"",E4863*(1+D4863/30))</f>
        <v/>
      </c>
      <c r="J4863">
        <f>IF(I4863="","",IF(I4863&gt;=MAXIFS($I$2:$I$5001,$B$2:$B$5001,B4863,$A$2:$A$5001,"&lt;="&amp;A4863),"PR",""))</f>
        <v/>
      </c>
    </row>
    <row r="4864">
      <c r="A4864" s="7" t="n"/>
      <c r="H4864" s="11">
        <f>IF(OR(D4864="",E4864=""),"",D4864*E4864)</f>
        <v/>
      </c>
      <c r="I4864" s="8">
        <f>IF(OR(D4864="",E4864=""),"",E4864*(1+D4864/30))</f>
        <v/>
      </c>
      <c r="J4864">
        <f>IF(I4864="","",IF(I4864&gt;=MAXIFS($I$2:$I$5001,$B$2:$B$5001,B4864,$A$2:$A$5001,"&lt;="&amp;A4864),"PR",""))</f>
        <v/>
      </c>
    </row>
    <row r="4865">
      <c r="A4865" s="7" t="n"/>
      <c r="H4865" s="11">
        <f>IF(OR(D4865="",E4865=""),"",D4865*E4865)</f>
        <v/>
      </c>
      <c r="I4865" s="8">
        <f>IF(OR(D4865="",E4865=""),"",E4865*(1+D4865/30))</f>
        <v/>
      </c>
      <c r="J4865">
        <f>IF(I4865="","",IF(I4865&gt;=MAXIFS($I$2:$I$5001,$B$2:$B$5001,B4865,$A$2:$A$5001,"&lt;="&amp;A4865),"PR",""))</f>
        <v/>
      </c>
    </row>
    <row r="4866">
      <c r="A4866" s="7" t="n"/>
      <c r="H4866" s="11">
        <f>IF(OR(D4866="",E4866=""),"",D4866*E4866)</f>
        <v/>
      </c>
      <c r="I4866" s="8">
        <f>IF(OR(D4866="",E4866=""),"",E4866*(1+D4866/30))</f>
        <v/>
      </c>
      <c r="J4866">
        <f>IF(I4866="","",IF(I4866&gt;=MAXIFS($I$2:$I$5001,$B$2:$B$5001,B4866,$A$2:$A$5001,"&lt;="&amp;A4866),"PR",""))</f>
        <v/>
      </c>
    </row>
    <row r="4867">
      <c r="A4867" s="7" t="n"/>
      <c r="H4867" s="11">
        <f>IF(OR(D4867="",E4867=""),"",D4867*E4867)</f>
        <v/>
      </c>
      <c r="I4867" s="8">
        <f>IF(OR(D4867="",E4867=""),"",E4867*(1+D4867/30))</f>
        <v/>
      </c>
      <c r="J4867">
        <f>IF(I4867="","",IF(I4867&gt;=MAXIFS($I$2:$I$5001,$B$2:$B$5001,B4867,$A$2:$A$5001,"&lt;="&amp;A4867),"PR",""))</f>
        <v/>
      </c>
    </row>
    <row r="4868">
      <c r="A4868" s="7" t="n"/>
      <c r="H4868" s="11">
        <f>IF(OR(D4868="",E4868=""),"",D4868*E4868)</f>
        <v/>
      </c>
      <c r="I4868" s="8">
        <f>IF(OR(D4868="",E4868=""),"",E4868*(1+D4868/30))</f>
        <v/>
      </c>
      <c r="J4868">
        <f>IF(I4868="","",IF(I4868&gt;=MAXIFS($I$2:$I$5001,$B$2:$B$5001,B4868,$A$2:$A$5001,"&lt;="&amp;A4868),"PR",""))</f>
        <v/>
      </c>
    </row>
    <row r="4869">
      <c r="A4869" s="7" t="n"/>
      <c r="H4869" s="11">
        <f>IF(OR(D4869="",E4869=""),"",D4869*E4869)</f>
        <v/>
      </c>
      <c r="I4869" s="8">
        <f>IF(OR(D4869="",E4869=""),"",E4869*(1+D4869/30))</f>
        <v/>
      </c>
      <c r="J4869">
        <f>IF(I4869="","",IF(I4869&gt;=MAXIFS($I$2:$I$5001,$B$2:$B$5001,B4869,$A$2:$A$5001,"&lt;="&amp;A4869),"PR",""))</f>
        <v/>
      </c>
    </row>
    <row r="4870">
      <c r="A4870" s="7" t="n"/>
      <c r="H4870" s="11">
        <f>IF(OR(D4870="",E4870=""),"",D4870*E4870)</f>
        <v/>
      </c>
      <c r="I4870" s="8">
        <f>IF(OR(D4870="",E4870=""),"",E4870*(1+D4870/30))</f>
        <v/>
      </c>
      <c r="J4870">
        <f>IF(I4870="","",IF(I4870&gt;=MAXIFS($I$2:$I$5001,$B$2:$B$5001,B4870,$A$2:$A$5001,"&lt;="&amp;A4870),"PR",""))</f>
        <v/>
      </c>
    </row>
    <row r="4871">
      <c r="A4871" s="7" t="n"/>
      <c r="H4871" s="11">
        <f>IF(OR(D4871="",E4871=""),"",D4871*E4871)</f>
        <v/>
      </c>
      <c r="I4871" s="8">
        <f>IF(OR(D4871="",E4871=""),"",E4871*(1+D4871/30))</f>
        <v/>
      </c>
      <c r="J4871">
        <f>IF(I4871="","",IF(I4871&gt;=MAXIFS($I$2:$I$5001,$B$2:$B$5001,B4871,$A$2:$A$5001,"&lt;="&amp;A4871),"PR",""))</f>
        <v/>
      </c>
    </row>
    <row r="4872">
      <c r="A4872" s="7" t="n"/>
      <c r="H4872" s="11">
        <f>IF(OR(D4872="",E4872=""),"",D4872*E4872)</f>
        <v/>
      </c>
      <c r="I4872" s="8">
        <f>IF(OR(D4872="",E4872=""),"",E4872*(1+D4872/30))</f>
        <v/>
      </c>
      <c r="J4872">
        <f>IF(I4872="","",IF(I4872&gt;=MAXIFS($I$2:$I$5001,$B$2:$B$5001,B4872,$A$2:$A$5001,"&lt;="&amp;A4872),"PR",""))</f>
        <v/>
      </c>
    </row>
    <row r="4873">
      <c r="A4873" s="7" t="n"/>
      <c r="H4873" s="11">
        <f>IF(OR(D4873="",E4873=""),"",D4873*E4873)</f>
        <v/>
      </c>
      <c r="I4873" s="8">
        <f>IF(OR(D4873="",E4873=""),"",E4873*(1+D4873/30))</f>
        <v/>
      </c>
      <c r="J4873">
        <f>IF(I4873="","",IF(I4873&gt;=MAXIFS($I$2:$I$5001,$B$2:$B$5001,B4873,$A$2:$A$5001,"&lt;="&amp;A4873),"PR",""))</f>
        <v/>
      </c>
    </row>
    <row r="4874">
      <c r="A4874" s="7" t="n"/>
      <c r="H4874" s="11">
        <f>IF(OR(D4874="",E4874=""),"",D4874*E4874)</f>
        <v/>
      </c>
      <c r="I4874" s="8">
        <f>IF(OR(D4874="",E4874=""),"",E4874*(1+D4874/30))</f>
        <v/>
      </c>
      <c r="J4874">
        <f>IF(I4874="","",IF(I4874&gt;=MAXIFS($I$2:$I$5001,$B$2:$B$5001,B4874,$A$2:$A$5001,"&lt;="&amp;A4874),"PR",""))</f>
        <v/>
      </c>
    </row>
    <row r="4875">
      <c r="A4875" s="7" t="n"/>
      <c r="H4875" s="11">
        <f>IF(OR(D4875="",E4875=""),"",D4875*E4875)</f>
        <v/>
      </c>
      <c r="I4875" s="8">
        <f>IF(OR(D4875="",E4875=""),"",E4875*(1+D4875/30))</f>
        <v/>
      </c>
      <c r="J4875">
        <f>IF(I4875="","",IF(I4875&gt;=MAXIFS($I$2:$I$5001,$B$2:$B$5001,B4875,$A$2:$A$5001,"&lt;="&amp;A4875),"PR",""))</f>
        <v/>
      </c>
    </row>
    <row r="4876">
      <c r="A4876" s="7" t="n"/>
      <c r="H4876" s="11">
        <f>IF(OR(D4876="",E4876=""),"",D4876*E4876)</f>
        <v/>
      </c>
      <c r="I4876" s="8">
        <f>IF(OR(D4876="",E4876=""),"",E4876*(1+D4876/30))</f>
        <v/>
      </c>
      <c r="J4876">
        <f>IF(I4876="","",IF(I4876&gt;=MAXIFS($I$2:$I$5001,$B$2:$B$5001,B4876,$A$2:$A$5001,"&lt;="&amp;A4876),"PR",""))</f>
        <v/>
      </c>
    </row>
    <row r="4877">
      <c r="A4877" s="7" t="n"/>
      <c r="H4877" s="11">
        <f>IF(OR(D4877="",E4877=""),"",D4877*E4877)</f>
        <v/>
      </c>
      <c r="I4877" s="8">
        <f>IF(OR(D4877="",E4877=""),"",E4877*(1+D4877/30))</f>
        <v/>
      </c>
      <c r="J4877">
        <f>IF(I4877="","",IF(I4877&gt;=MAXIFS($I$2:$I$5001,$B$2:$B$5001,B4877,$A$2:$A$5001,"&lt;="&amp;A4877),"PR",""))</f>
        <v/>
      </c>
    </row>
    <row r="4878">
      <c r="A4878" s="7" t="n"/>
      <c r="H4878" s="11">
        <f>IF(OR(D4878="",E4878=""),"",D4878*E4878)</f>
        <v/>
      </c>
      <c r="I4878" s="8">
        <f>IF(OR(D4878="",E4878=""),"",E4878*(1+D4878/30))</f>
        <v/>
      </c>
      <c r="J4878">
        <f>IF(I4878="","",IF(I4878&gt;=MAXIFS($I$2:$I$5001,$B$2:$B$5001,B4878,$A$2:$A$5001,"&lt;="&amp;A4878),"PR",""))</f>
        <v/>
      </c>
    </row>
    <row r="4879">
      <c r="A4879" s="7" t="n"/>
      <c r="H4879" s="11">
        <f>IF(OR(D4879="",E4879=""),"",D4879*E4879)</f>
        <v/>
      </c>
      <c r="I4879" s="8">
        <f>IF(OR(D4879="",E4879=""),"",E4879*(1+D4879/30))</f>
        <v/>
      </c>
      <c r="J4879">
        <f>IF(I4879="","",IF(I4879&gt;=MAXIFS($I$2:$I$5001,$B$2:$B$5001,B4879,$A$2:$A$5001,"&lt;="&amp;A4879),"PR",""))</f>
        <v/>
      </c>
    </row>
    <row r="4880">
      <c r="A4880" s="7" t="n"/>
      <c r="H4880" s="11">
        <f>IF(OR(D4880="",E4880=""),"",D4880*E4880)</f>
        <v/>
      </c>
      <c r="I4880" s="8">
        <f>IF(OR(D4880="",E4880=""),"",E4880*(1+D4880/30))</f>
        <v/>
      </c>
      <c r="J4880">
        <f>IF(I4880="","",IF(I4880&gt;=MAXIFS($I$2:$I$5001,$B$2:$B$5001,B4880,$A$2:$A$5001,"&lt;="&amp;A4880),"PR",""))</f>
        <v/>
      </c>
    </row>
    <row r="4881">
      <c r="A4881" s="7" t="n"/>
      <c r="H4881" s="11">
        <f>IF(OR(D4881="",E4881=""),"",D4881*E4881)</f>
        <v/>
      </c>
      <c r="I4881" s="8">
        <f>IF(OR(D4881="",E4881=""),"",E4881*(1+D4881/30))</f>
        <v/>
      </c>
      <c r="J4881">
        <f>IF(I4881="","",IF(I4881&gt;=MAXIFS($I$2:$I$5001,$B$2:$B$5001,B4881,$A$2:$A$5001,"&lt;="&amp;A4881),"PR",""))</f>
        <v/>
      </c>
    </row>
    <row r="4882">
      <c r="A4882" s="7" t="n"/>
      <c r="H4882" s="11">
        <f>IF(OR(D4882="",E4882=""),"",D4882*E4882)</f>
        <v/>
      </c>
      <c r="I4882" s="8">
        <f>IF(OR(D4882="",E4882=""),"",E4882*(1+D4882/30))</f>
        <v/>
      </c>
      <c r="J4882">
        <f>IF(I4882="","",IF(I4882&gt;=MAXIFS($I$2:$I$5001,$B$2:$B$5001,B4882,$A$2:$A$5001,"&lt;="&amp;A4882),"PR",""))</f>
        <v/>
      </c>
    </row>
    <row r="4883">
      <c r="A4883" s="7" t="n"/>
      <c r="H4883" s="11">
        <f>IF(OR(D4883="",E4883=""),"",D4883*E4883)</f>
        <v/>
      </c>
      <c r="I4883" s="8">
        <f>IF(OR(D4883="",E4883=""),"",E4883*(1+D4883/30))</f>
        <v/>
      </c>
      <c r="J4883">
        <f>IF(I4883="","",IF(I4883&gt;=MAXIFS($I$2:$I$5001,$B$2:$B$5001,B4883,$A$2:$A$5001,"&lt;="&amp;A4883),"PR",""))</f>
        <v/>
      </c>
    </row>
    <row r="4884">
      <c r="A4884" s="7" t="n"/>
      <c r="H4884" s="11">
        <f>IF(OR(D4884="",E4884=""),"",D4884*E4884)</f>
        <v/>
      </c>
      <c r="I4884" s="8">
        <f>IF(OR(D4884="",E4884=""),"",E4884*(1+D4884/30))</f>
        <v/>
      </c>
      <c r="J4884">
        <f>IF(I4884="","",IF(I4884&gt;=MAXIFS($I$2:$I$5001,$B$2:$B$5001,B4884,$A$2:$A$5001,"&lt;="&amp;A4884),"PR",""))</f>
        <v/>
      </c>
    </row>
    <row r="4885">
      <c r="A4885" s="7" t="n"/>
      <c r="H4885" s="11">
        <f>IF(OR(D4885="",E4885=""),"",D4885*E4885)</f>
        <v/>
      </c>
      <c r="I4885" s="8">
        <f>IF(OR(D4885="",E4885=""),"",E4885*(1+D4885/30))</f>
        <v/>
      </c>
      <c r="J4885">
        <f>IF(I4885="","",IF(I4885&gt;=MAXIFS($I$2:$I$5001,$B$2:$B$5001,B4885,$A$2:$A$5001,"&lt;="&amp;A4885),"PR",""))</f>
        <v/>
      </c>
    </row>
    <row r="4886">
      <c r="A4886" s="7" t="n"/>
      <c r="H4886" s="11">
        <f>IF(OR(D4886="",E4886=""),"",D4886*E4886)</f>
        <v/>
      </c>
      <c r="I4886" s="8">
        <f>IF(OR(D4886="",E4886=""),"",E4886*(1+D4886/30))</f>
        <v/>
      </c>
      <c r="J4886">
        <f>IF(I4886="","",IF(I4886&gt;=MAXIFS($I$2:$I$5001,$B$2:$B$5001,B4886,$A$2:$A$5001,"&lt;="&amp;A4886),"PR",""))</f>
        <v/>
      </c>
    </row>
    <row r="4887">
      <c r="A4887" s="7" t="n"/>
      <c r="H4887" s="11">
        <f>IF(OR(D4887="",E4887=""),"",D4887*E4887)</f>
        <v/>
      </c>
      <c r="I4887" s="8">
        <f>IF(OR(D4887="",E4887=""),"",E4887*(1+D4887/30))</f>
        <v/>
      </c>
      <c r="J4887">
        <f>IF(I4887="","",IF(I4887&gt;=MAXIFS($I$2:$I$5001,$B$2:$B$5001,B4887,$A$2:$A$5001,"&lt;="&amp;A4887),"PR",""))</f>
        <v/>
      </c>
    </row>
    <row r="4888">
      <c r="A4888" s="7" t="n"/>
      <c r="H4888" s="11">
        <f>IF(OR(D4888="",E4888=""),"",D4888*E4888)</f>
        <v/>
      </c>
      <c r="I4888" s="8">
        <f>IF(OR(D4888="",E4888=""),"",E4888*(1+D4888/30))</f>
        <v/>
      </c>
      <c r="J4888">
        <f>IF(I4888="","",IF(I4888&gt;=MAXIFS($I$2:$I$5001,$B$2:$B$5001,B4888,$A$2:$A$5001,"&lt;="&amp;A4888),"PR",""))</f>
        <v/>
      </c>
    </row>
    <row r="4889">
      <c r="A4889" s="7" t="n"/>
      <c r="H4889" s="11">
        <f>IF(OR(D4889="",E4889=""),"",D4889*E4889)</f>
        <v/>
      </c>
      <c r="I4889" s="8">
        <f>IF(OR(D4889="",E4889=""),"",E4889*(1+D4889/30))</f>
        <v/>
      </c>
      <c r="J4889">
        <f>IF(I4889="","",IF(I4889&gt;=MAXIFS($I$2:$I$5001,$B$2:$B$5001,B4889,$A$2:$A$5001,"&lt;="&amp;A4889),"PR",""))</f>
        <v/>
      </c>
    </row>
    <row r="4890">
      <c r="A4890" s="7" t="n"/>
      <c r="H4890" s="11">
        <f>IF(OR(D4890="",E4890=""),"",D4890*E4890)</f>
        <v/>
      </c>
      <c r="I4890" s="8">
        <f>IF(OR(D4890="",E4890=""),"",E4890*(1+D4890/30))</f>
        <v/>
      </c>
      <c r="J4890">
        <f>IF(I4890="","",IF(I4890&gt;=MAXIFS($I$2:$I$5001,$B$2:$B$5001,B4890,$A$2:$A$5001,"&lt;="&amp;A4890),"PR",""))</f>
        <v/>
      </c>
    </row>
    <row r="4891">
      <c r="A4891" s="7" t="n"/>
      <c r="H4891" s="11">
        <f>IF(OR(D4891="",E4891=""),"",D4891*E4891)</f>
        <v/>
      </c>
      <c r="I4891" s="8">
        <f>IF(OR(D4891="",E4891=""),"",E4891*(1+D4891/30))</f>
        <v/>
      </c>
      <c r="J4891">
        <f>IF(I4891="","",IF(I4891&gt;=MAXIFS($I$2:$I$5001,$B$2:$B$5001,B4891,$A$2:$A$5001,"&lt;="&amp;A4891),"PR",""))</f>
        <v/>
      </c>
    </row>
    <row r="4892">
      <c r="A4892" s="7" t="n"/>
      <c r="H4892" s="11">
        <f>IF(OR(D4892="",E4892=""),"",D4892*E4892)</f>
        <v/>
      </c>
      <c r="I4892" s="8">
        <f>IF(OR(D4892="",E4892=""),"",E4892*(1+D4892/30))</f>
        <v/>
      </c>
      <c r="J4892">
        <f>IF(I4892="","",IF(I4892&gt;=MAXIFS($I$2:$I$5001,$B$2:$B$5001,B4892,$A$2:$A$5001,"&lt;="&amp;A4892),"PR",""))</f>
        <v/>
      </c>
    </row>
    <row r="4893">
      <c r="A4893" s="7" t="n"/>
      <c r="H4893" s="11">
        <f>IF(OR(D4893="",E4893=""),"",D4893*E4893)</f>
        <v/>
      </c>
      <c r="I4893" s="8">
        <f>IF(OR(D4893="",E4893=""),"",E4893*(1+D4893/30))</f>
        <v/>
      </c>
      <c r="J4893">
        <f>IF(I4893="","",IF(I4893&gt;=MAXIFS($I$2:$I$5001,$B$2:$B$5001,B4893,$A$2:$A$5001,"&lt;="&amp;A4893),"PR",""))</f>
        <v/>
      </c>
    </row>
    <row r="4894">
      <c r="A4894" s="7" t="n"/>
      <c r="H4894" s="11">
        <f>IF(OR(D4894="",E4894=""),"",D4894*E4894)</f>
        <v/>
      </c>
      <c r="I4894" s="8">
        <f>IF(OR(D4894="",E4894=""),"",E4894*(1+D4894/30))</f>
        <v/>
      </c>
      <c r="J4894">
        <f>IF(I4894="","",IF(I4894&gt;=MAXIFS($I$2:$I$5001,$B$2:$B$5001,B4894,$A$2:$A$5001,"&lt;="&amp;A4894),"PR",""))</f>
        <v/>
      </c>
    </row>
    <row r="4895">
      <c r="A4895" s="7" t="n"/>
      <c r="H4895" s="11">
        <f>IF(OR(D4895="",E4895=""),"",D4895*E4895)</f>
        <v/>
      </c>
      <c r="I4895" s="8">
        <f>IF(OR(D4895="",E4895=""),"",E4895*(1+D4895/30))</f>
        <v/>
      </c>
      <c r="J4895">
        <f>IF(I4895="","",IF(I4895&gt;=MAXIFS($I$2:$I$5001,$B$2:$B$5001,B4895,$A$2:$A$5001,"&lt;="&amp;A4895),"PR",""))</f>
        <v/>
      </c>
    </row>
    <row r="4896">
      <c r="A4896" s="7" t="n"/>
      <c r="H4896" s="11">
        <f>IF(OR(D4896="",E4896=""),"",D4896*E4896)</f>
        <v/>
      </c>
      <c r="I4896" s="8">
        <f>IF(OR(D4896="",E4896=""),"",E4896*(1+D4896/30))</f>
        <v/>
      </c>
      <c r="J4896">
        <f>IF(I4896="","",IF(I4896&gt;=MAXIFS($I$2:$I$5001,$B$2:$B$5001,B4896,$A$2:$A$5001,"&lt;="&amp;A4896),"PR",""))</f>
        <v/>
      </c>
    </row>
    <row r="4897">
      <c r="A4897" s="7" t="n"/>
      <c r="H4897" s="11">
        <f>IF(OR(D4897="",E4897=""),"",D4897*E4897)</f>
        <v/>
      </c>
      <c r="I4897" s="8">
        <f>IF(OR(D4897="",E4897=""),"",E4897*(1+D4897/30))</f>
        <v/>
      </c>
      <c r="J4897">
        <f>IF(I4897="","",IF(I4897&gt;=MAXIFS($I$2:$I$5001,$B$2:$B$5001,B4897,$A$2:$A$5001,"&lt;="&amp;A4897),"PR",""))</f>
        <v/>
      </c>
    </row>
    <row r="4898">
      <c r="A4898" s="7" t="n"/>
      <c r="H4898" s="11">
        <f>IF(OR(D4898="",E4898=""),"",D4898*E4898)</f>
        <v/>
      </c>
      <c r="I4898" s="8">
        <f>IF(OR(D4898="",E4898=""),"",E4898*(1+D4898/30))</f>
        <v/>
      </c>
      <c r="J4898">
        <f>IF(I4898="","",IF(I4898&gt;=MAXIFS($I$2:$I$5001,$B$2:$B$5001,B4898,$A$2:$A$5001,"&lt;="&amp;A4898),"PR",""))</f>
        <v/>
      </c>
    </row>
    <row r="4899">
      <c r="A4899" s="7" t="n"/>
      <c r="H4899" s="11">
        <f>IF(OR(D4899="",E4899=""),"",D4899*E4899)</f>
        <v/>
      </c>
      <c r="I4899" s="8">
        <f>IF(OR(D4899="",E4899=""),"",E4899*(1+D4899/30))</f>
        <v/>
      </c>
      <c r="J4899">
        <f>IF(I4899="","",IF(I4899&gt;=MAXIFS($I$2:$I$5001,$B$2:$B$5001,B4899,$A$2:$A$5001,"&lt;="&amp;A4899),"PR",""))</f>
        <v/>
      </c>
    </row>
    <row r="4900">
      <c r="A4900" s="7" t="n"/>
      <c r="H4900" s="11">
        <f>IF(OR(D4900="",E4900=""),"",D4900*E4900)</f>
        <v/>
      </c>
      <c r="I4900" s="8">
        <f>IF(OR(D4900="",E4900=""),"",E4900*(1+D4900/30))</f>
        <v/>
      </c>
      <c r="J4900">
        <f>IF(I4900="","",IF(I4900&gt;=MAXIFS($I$2:$I$5001,$B$2:$B$5001,B4900,$A$2:$A$5001,"&lt;="&amp;A4900),"PR",""))</f>
        <v/>
      </c>
    </row>
    <row r="4901">
      <c r="A4901" s="7" t="n"/>
      <c r="H4901" s="11">
        <f>IF(OR(D4901="",E4901=""),"",D4901*E4901)</f>
        <v/>
      </c>
      <c r="I4901" s="8">
        <f>IF(OR(D4901="",E4901=""),"",E4901*(1+D4901/30))</f>
        <v/>
      </c>
      <c r="J4901">
        <f>IF(I4901="","",IF(I4901&gt;=MAXIFS($I$2:$I$5001,$B$2:$B$5001,B4901,$A$2:$A$5001,"&lt;="&amp;A4901),"PR",""))</f>
        <v/>
      </c>
    </row>
    <row r="4902">
      <c r="A4902" s="7" t="n"/>
      <c r="H4902" s="11">
        <f>IF(OR(D4902="",E4902=""),"",D4902*E4902)</f>
        <v/>
      </c>
      <c r="I4902" s="8">
        <f>IF(OR(D4902="",E4902=""),"",E4902*(1+D4902/30))</f>
        <v/>
      </c>
      <c r="J4902">
        <f>IF(I4902="","",IF(I4902&gt;=MAXIFS($I$2:$I$5001,$B$2:$B$5001,B4902,$A$2:$A$5001,"&lt;="&amp;A4902),"PR",""))</f>
        <v/>
      </c>
    </row>
    <row r="4903">
      <c r="A4903" s="7" t="n"/>
      <c r="H4903" s="11">
        <f>IF(OR(D4903="",E4903=""),"",D4903*E4903)</f>
        <v/>
      </c>
      <c r="I4903" s="8">
        <f>IF(OR(D4903="",E4903=""),"",E4903*(1+D4903/30))</f>
        <v/>
      </c>
      <c r="J4903">
        <f>IF(I4903="","",IF(I4903&gt;=MAXIFS($I$2:$I$5001,$B$2:$B$5001,B4903,$A$2:$A$5001,"&lt;="&amp;A4903),"PR",""))</f>
        <v/>
      </c>
    </row>
    <row r="4904">
      <c r="A4904" s="7" t="n"/>
      <c r="H4904" s="11">
        <f>IF(OR(D4904="",E4904=""),"",D4904*E4904)</f>
        <v/>
      </c>
      <c r="I4904" s="8">
        <f>IF(OR(D4904="",E4904=""),"",E4904*(1+D4904/30))</f>
        <v/>
      </c>
      <c r="J4904">
        <f>IF(I4904="","",IF(I4904&gt;=MAXIFS($I$2:$I$5001,$B$2:$B$5001,B4904,$A$2:$A$5001,"&lt;="&amp;A4904),"PR",""))</f>
        <v/>
      </c>
    </row>
    <row r="4905">
      <c r="A4905" s="7" t="n"/>
      <c r="H4905" s="11">
        <f>IF(OR(D4905="",E4905=""),"",D4905*E4905)</f>
        <v/>
      </c>
      <c r="I4905" s="8">
        <f>IF(OR(D4905="",E4905=""),"",E4905*(1+D4905/30))</f>
        <v/>
      </c>
      <c r="J4905">
        <f>IF(I4905="","",IF(I4905&gt;=MAXIFS($I$2:$I$5001,$B$2:$B$5001,B4905,$A$2:$A$5001,"&lt;="&amp;A4905),"PR",""))</f>
        <v/>
      </c>
    </row>
    <row r="4906">
      <c r="A4906" s="7" t="n"/>
      <c r="H4906" s="11">
        <f>IF(OR(D4906="",E4906=""),"",D4906*E4906)</f>
        <v/>
      </c>
      <c r="I4906" s="8">
        <f>IF(OR(D4906="",E4906=""),"",E4906*(1+D4906/30))</f>
        <v/>
      </c>
      <c r="J4906">
        <f>IF(I4906="","",IF(I4906&gt;=MAXIFS($I$2:$I$5001,$B$2:$B$5001,B4906,$A$2:$A$5001,"&lt;="&amp;A4906),"PR",""))</f>
        <v/>
      </c>
    </row>
    <row r="4907">
      <c r="A4907" s="7" t="n"/>
      <c r="H4907" s="11">
        <f>IF(OR(D4907="",E4907=""),"",D4907*E4907)</f>
        <v/>
      </c>
      <c r="I4907" s="8">
        <f>IF(OR(D4907="",E4907=""),"",E4907*(1+D4907/30))</f>
        <v/>
      </c>
      <c r="J4907">
        <f>IF(I4907="","",IF(I4907&gt;=MAXIFS($I$2:$I$5001,$B$2:$B$5001,B4907,$A$2:$A$5001,"&lt;="&amp;A4907),"PR",""))</f>
        <v/>
      </c>
    </row>
    <row r="4908">
      <c r="A4908" s="7" t="n"/>
      <c r="H4908" s="11">
        <f>IF(OR(D4908="",E4908=""),"",D4908*E4908)</f>
        <v/>
      </c>
      <c r="I4908" s="8">
        <f>IF(OR(D4908="",E4908=""),"",E4908*(1+D4908/30))</f>
        <v/>
      </c>
      <c r="J4908">
        <f>IF(I4908="","",IF(I4908&gt;=MAXIFS($I$2:$I$5001,$B$2:$B$5001,B4908,$A$2:$A$5001,"&lt;="&amp;A4908),"PR",""))</f>
        <v/>
      </c>
    </row>
    <row r="4909">
      <c r="A4909" s="7" t="n"/>
      <c r="H4909" s="11">
        <f>IF(OR(D4909="",E4909=""),"",D4909*E4909)</f>
        <v/>
      </c>
      <c r="I4909" s="8">
        <f>IF(OR(D4909="",E4909=""),"",E4909*(1+D4909/30))</f>
        <v/>
      </c>
      <c r="J4909">
        <f>IF(I4909="","",IF(I4909&gt;=MAXIFS($I$2:$I$5001,$B$2:$B$5001,B4909,$A$2:$A$5001,"&lt;="&amp;A4909),"PR",""))</f>
        <v/>
      </c>
    </row>
    <row r="4910">
      <c r="A4910" s="7" t="n"/>
      <c r="H4910" s="11">
        <f>IF(OR(D4910="",E4910=""),"",D4910*E4910)</f>
        <v/>
      </c>
      <c r="I4910" s="8">
        <f>IF(OR(D4910="",E4910=""),"",E4910*(1+D4910/30))</f>
        <v/>
      </c>
      <c r="J4910">
        <f>IF(I4910="","",IF(I4910&gt;=MAXIFS($I$2:$I$5001,$B$2:$B$5001,B4910,$A$2:$A$5001,"&lt;="&amp;A4910),"PR",""))</f>
        <v/>
      </c>
    </row>
    <row r="4911">
      <c r="A4911" s="7" t="n"/>
      <c r="H4911" s="11">
        <f>IF(OR(D4911="",E4911=""),"",D4911*E4911)</f>
        <v/>
      </c>
      <c r="I4911" s="8">
        <f>IF(OR(D4911="",E4911=""),"",E4911*(1+D4911/30))</f>
        <v/>
      </c>
      <c r="J4911">
        <f>IF(I4911="","",IF(I4911&gt;=MAXIFS($I$2:$I$5001,$B$2:$B$5001,B4911,$A$2:$A$5001,"&lt;="&amp;A4911),"PR",""))</f>
        <v/>
      </c>
    </row>
    <row r="4912">
      <c r="A4912" s="7" t="n"/>
      <c r="H4912" s="11">
        <f>IF(OR(D4912="",E4912=""),"",D4912*E4912)</f>
        <v/>
      </c>
      <c r="I4912" s="8">
        <f>IF(OR(D4912="",E4912=""),"",E4912*(1+D4912/30))</f>
        <v/>
      </c>
      <c r="J4912">
        <f>IF(I4912="","",IF(I4912&gt;=MAXIFS($I$2:$I$5001,$B$2:$B$5001,B4912,$A$2:$A$5001,"&lt;="&amp;A4912),"PR",""))</f>
        <v/>
      </c>
    </row>
    <row r="4913">
      <c r="A4913" s="7" t="n"/>
      <c r="H4913" s="11">
        <f>IF(OR(D4913="",E4913=""),"",D4913*E4913)</f>
        <v/>
      </c>
      <c r="I4913" s="8">
        <f>IF(OR(D4913="",E4913=""),"",E4913*(1+D4913/30))</f>
        <v/>
      </c>
      <c r="J4913">
        <f>IF(I4913="","",IF(I4913&gt;=MAXIFS($I$2:$I$5001,$B$2:$B$5001,B4913,$A$2:$A$5001,"&lt;="&amp;A4913),"PR",""))</f>
        <v/>
      </c>
    </row>
    <row r="4914">
      <c r="A4914" s="7" t="n"/>
      <c r="H4914" s="11">
        <f>IF(OR(D4914="",E4914=""),"",D4914*E4914)</f>
        <v/>
      </c>
      <c r="I4914" s="8">
        <f>IF(OR(D4914="",E4914=""),"",E4914*(1+D4914/30))</f>
        <v/>
      </c>
      <c r="J4914">
        <f>IF(I4914="","",IF(I4914&gt;=MAXIFS($I$2:$I$5001,$B$2:$B$5001,B4914,$A$2:$A$5001,"&lt;="&amp;A4914),"PR",""))</f>
        <v/>
      </c>
    </row>
    <row r="4915">
      <c r="A4915" s="7" t="n"/>
      <c r="H4915" s="11">
        <f>IF(OR(D4915="",E4915=""),"",D4915*E4915)</f>
        <v/>
      </c>
      <c r="I4915" s="8">
        <f>IF(OR(D4915="",E4915=""),"",E4915*(1+D4915/30))</f>
        <v/>
      </c>
      <c r="J4915">
        <f>IF(I4915="","",IF(I4915&gt;=MAXIFS($I$2:$I$5001,$B$2:$B$5001,B4915,$A$2:$A$5001,"&lt;="&amp;A4915),"PR",""))</f>
        <v/>
      </c>
    </row>
    <row r="4916">
      <c r="A4916" s="7" t="n"/>
      <c r="H4916" s="11">
        <f>IF(OR(D4916="",E4916=""),"",D4916*E4916)</f>
        <v/>
      </c>
      <c r="I4916" s="8">
        <f>IF(OR(D4916="",E4916=""),"",E4916*(1+D4916/30))</f>
        <v/>
      </c>
      <c r="J4916">
        <f>IF(I4916="","",IF(I4916&gt;=MAXIFS($I$2:$I$5001,$B$2:$B$5001,B4916,$A$2:$A$5001,"&lt;="&amp;A4916),"PR",""))</f>
        <v/>
      </c>
    </row>
    <row r="4917">
      <c r="A4917" s="7" t="n"/>
      <c r="H4917" s="11">
        <f>IF(OR(D4917="",E4917=""),"",D4917*E4917)</f>
        <v/>
      </c>
      <c r="I4917" s="8">
        <f>IF(OR(D4917="",E4917=""),"",E4917*(1+D4917/30))</f>
        <v/>
      </c>
      <c r="J4917">
        <f>IF(I4917="","",IF(I4917&gt;=MAXIFS($I$2:$I$5001,$B$2:$B$5001,B4917,$A$2:$A$5001,"&lt;="&amp;A4917),"PR",""))</f>
        <v/>
      </c>
    </row>
    <row r="4918">
      <c r="A4918" s="7" t="n"/>
      <c r="H4918" s="11">
        <f>IF(OR(D4918="",E4918=""),"",D4918*E4918)</f>
        <v/>
      </c>
      <c r="I4918" s="8">
        <f>IF(OR(D4918="",E4918=""),"",E4918*(1+D4918/30))</f>
        <v/>
      </c>
      <c r="J4918">
        <f>IF(I4918="","",IF(I4918&gt;=MAXIFS($I$2:$I$5001,$B$2:$B$5001,B4918,$A$2:$A$5001,"&lt;="&amp;A4918),"PR",""))</f>
        <v/>
      </c>
    </row>
    <row r="4919">
      <c r="A4919" s="7" t="n"/>
      <c r="H4919" s="11">
        <f>IF(OR(D4919="",E4919=""),"",D4919*E4919)</f>
        <v/>
      </c>
      <c r="I4919" s="8">
        <f>IF(OR(D4919="",E4919=""),"",E4919*(1+D4919/30))</f>
        <v/>
      </c>
      <c r="J4919">
        <f>IF(I4919="","",IF(I4919&gt;=MAXIFS($I$2:$I$5001,$B$2:$B$5001,B4919,$A$2:$A$5001,"&lt;="&amp;A4919),"PR",""))</f>
        <v/>
      </c>
    </row>
    <row r="4920">
      <c r="A4920" s="7" t="n"/>
      <c r="H4920" s="11">
        <f>IF(OR(D4920="",E4920=""),"",D4920*E4920)</f>
        <v/>
      </c>
      <c r="I4920" s="8">
        <f>IF(OR(D4920="",E4920=""),"",E4920*(1+D4920/30))</f>
        <v/>
      </c>
      <c r="J4920">
        <f>IF(I4920="","",IF(I4920&gt;=MAXIFS($I$2:$I$5001,$B$2:$B$5001,B4920,$A$2:$A$5001,"&lt;="&amp;A4920),"PR",""))</f>
        <v/>
      </c>
    </row>
    <row r="4921">
      <c r="A4921" s="7" t="n"/>
      <c r="H4921" s="11">
        <f>IF(OR(D4921="",E4921=""),"",D4921*E4921)</f>
        <v/>
      </c>
      <c r="I4921" s="8">
        <f>IF(OR(D4921="",E4921=""),"",E4921*(1+D4921/30))</f>
        <v/>
      </c>
      <c r="J4921">
        <f>IF(I4921="","",IF(I4921&gt;=MAXIFS($I$2:$I$5001,$B$2:$B$5001,B4921,$A$2:$A$5001,"&lt;="&amp;A4921),"PR",""))</f>
        <v/>
      </c>
    </row>
    <row r="4922">
      <c r="A4922" s="7" t="n"/>
      <c r="H4922" s="11">
        <f>IF(OR(D4922="",E4922=""),"",D4922*E4922)</f>
        <v/>
      </c>
      <c r="I4922" s="8">
        <f>IF(OR(D4922="",E4922=""),"",E4922*(1+D4922/30))</f>
        <v/>
      </c>
      <c r="J4922">
        <f>IF(I4922="","",IF(I4922&gt;=MAXIFS($I$2:$I$5001,$B$2:$B$5001,B4922,$A$2:$A$5001,"&lt;="&amp;A4922),"PR",""))</f>
        <v/>
      </c>
    </row>
    <row r="4923">
      <c r="A4923" s="7" t="n"/>
      <c r="H4923" s="11">
        <f>IF(OR(D4923="",E4923=""),"",D4923*E4923)</f>
        <v/>
      </c>
      <c r="I4923" s="8">
        <f>IF(OR(D4923="",E4923=""),"",E4923*(1+D4923/30))</f>
        <v/>
      </c>
      <c r="J4923">
        <f>IF(I4923="","",IF(I4923&gt;=MAXIFS($I$2:$I$5001,$B$2:$B$5001,B4923,$A$2:$A$5001,"&lt;="&amp;A4923),"PR",""))</f>
        <v/>
      </c>
    </row>
    <row r="4924">
      <c r="A4924" s="7" t="n"/>
      <c r="H4924" s="11">
        <f>IF(OR(D4924="",E4924=""),"",D4924*E4924)</f>
        <v/>
      </c>
      <c r="I4924" s="8">
        <f>IF(OR(D4924="",E4924=""),"",E4924*(1+D4924/30))</f>
        <v/>
      </c>
      <c r="J4924">
        <f>IF(I4924="","",IF(I4924&gt;=MAXIFS($I$2:$I$5001,$B$2:$B$5001,B4924,$A$2:$A$5001,"&lt;="&amp;A4924),"PR",""))</f>
        <v/>
      </c>
    </row>
    <row r="4925">
      <c r="A4925" s="7" t="n"/>
      <c r="H4925" s="11">
        <f>IF(OR(D4925="",E4925=""),"",D4925*E4925)</f>
        <v/>
      </c>
      <c r="I4925" s="8">
        <f>IF(OR(D4925="",E4925=""),"",E4925*(1+D4925/30))</f>
        <v/>
      </c>
      <c r="J4925">
        <f>IF(I4925="","",IF(I4925&gt;=MAXIFS($I$2:$I$5001,$B$2:$B$5001,B4925,$A$2:$A$5001,"&lt;="&amp;A4925),"PR",""))</f>
        <v/>
      </c>
    </row>
    <row r="4926">
      <c r="A4926" s="7" t="n"/>
      <c r="H4926" s="11">
        <f>IF(OR(D4926="",E4926=""),"",D4926*E4926)</f>
        <v/>
      </c>
      <c r="I4926" s="8">
        <f>IF(OR(D4926="",E4926=""),"",E4926*(1+D4926/30))</f>
        <v/>
      </c>
      <c r="J4926">
        <f>IF(I4926="","",IF(I4926&gt;=MAXIFS($I$2:$I$5001,$B$2:$B$5001,B4926,$A$2:$A$5001,"&lt;="&amp;A4926),"PR",""))</f>
        <v/>
      </c>
    </row>
    <row r="4927">
      <c r="A4927" s="7" t="n"/>
      <c r="H4927" s="11">
        <f>IF(OR(D4927="",E4927=""),"",D4927*E4927)</f>
        <v/>
      </c>
      <c r="I4927" s="8">
        <f>IF(OR(D4927="",E4927=""),"",E4927*(1+D4927/30))</f>
        <v/>
      </c>
      <c r="J4927">
        <f>IF(I4927="","",IF(I4927&gt;=MAXIFS($I$2:$I$5001,$B$2:$B$5001,B4927,$A$2:$A$5001,"&lt;="&amp;A4927),"PR",""))</f>
        <v/>
      </c>
    </row>
    <row r="4928">
      <c r="A4928" s="7" t="n"/>
      <c r="H4928" s="11">
        <f>IF(OR(D4928="",E4928=""),"",D4928*E4928)</f>
        <v/>
      </c>
      <c r="I4928" s="8">
        <f>IF(OR(D4928="",E4928=""),"",E4928*(1+D4928/30))</f>
        <v/>
      </c>
      <c r="J4928">
        <f>IF(I4928="","",IF(I4928&gt;=MAXIFS($I$2:$I$5001,$B$2:$B$5001,B4928,$A$2:$A$5001,"&lt;="&amp;A4928),"PR",""))</f>
        <v/>
      </c>
    </row>
    <row r="4929">
      <c r="A4929" s="7" t="n"/>
      <c r="H4929" s="11">
        <f>IF(OR(D4929="",E4929=""),"",D4929*E4929)</f>
        <v/>
      </c>
      <c r="I4929" s="8">
        <f>IF(OR(D4929="",E4929=""),"",E4929*(1+D4929/30))</f>
        <v/>
      </c>
      <c r="J4929">
        <f>IF(I4929="","",IF(I4929&gt;=MAXIFS($I$2:$I$5001,$B$2:$B$5001,B4929,$A$2:$A$5001,"&lt;="&amp;A4929),"PR",""))</f>
        <v/>
      </c>
    </row>
    <row r="4930">
      <c r="A4930" s="7" t="n"/>
      <c r="H4930" s="11">
        <f>IF(OR(D4930="",E4930=""),"",D4930*E4930)</f>
        <v/>
      </c>
      <c r="I4930" s="8">
        <f>IF(OR(D4930="",E4930=""),"",E4930*(1+D4930/30))</f>
        <v/>
      </c>
      <c r="J4930">
        <f>IF(I4930="","",IF(I4930&gt;=MAXIFS($I$2:$I$5001,$B$2:$B$5001,B4930,$A$2:$A$5001,"&lt;="&amp;A4930),"PR",""))</f>
        <v/>
      </c>
    </row>
    <row r="4931">
      <c r="A4931" s="7" t="n"/>
      <c r="H4931" s="11">
        <f>IF(OR(D4931="",E4931=""),"",D4931*E4931)</f>
        <v/>
      </c>
      <c r="I4931" s="8">
        <f>IF(OR(D4931="",E4931=""),"",E4931*(1+D4931/30))</f>
        <v/>
      </c>
      <c r="J4931">
        <f>IF(I4931="","",IF(I4931&gt;=MAXIFS($I$2:$I$5001,$B$2:$B$5001,B4931,$A$2:$A$5001,"&lt;="&amp;A4931),"PR",""))</f>
        <v/>
      </c>
    </row>
    <row r="4932">
      <c r="A4932" s="7" t="n"/>
      <c r="H4932" s="11">
        <f>IF(OR(D4932="",E4932=""),"",D4932*E4932)</f>
        <v/>
      </c>
      <c r="I4932" s="8">
        <f>IF(OR(D4932="",E4932=""),"",E4932*(1+D4932/30))</f>
        <v/>
      </c>
      <c r="J4932">
        <f>IF(I4932="","",IF(I4932&gt;=MAXIFS($I$2:$I$5001,$B$2:$B$5001,B4932,$A$2:$A$5001,"&lt;="&amp;A4932),"PR",""))</f>
        <v/>
      </c>
    </row>
    <row r="4933">
      <c r="A4933" s="7" t="n"/>
      <c r="H4933" s="11">
        <f>IF(OR(D4933="",E4933=""),"",D4933*E4933)</f>
        <v/>
      </c>
      <c r="I4933" s="8">
        <f>IF(OR(D4933="",E4933=""),"",E4933*(1+D4933/30))</f>
        <v/>
      </c>
      <c r="J4933">
        <f>IF(I4933="","",IF(I4933&gt;=MAXIFS($I$2:$I$5001,$B$2:$B$5001,B4933,$A$2:$A$5001,"&lt;="&amp;A4933),"PR",""))</f>
        <v/>
      </c>
    </row>
    <row r="4934">
      <c r="A4934" s="7" t="n"/>
      <c r="H4934" s="11">
        <f>IF(OR(D4934="",E4934=""),"",D4934*E4934)</f>
        <v/>
      </c>
      <c r="I4934" s="8">
        <f>IF(OR(D4934="",E4934=""),"",E4934*(1+D4934/30))</f>
        <v/>
      </c>
      <c r="J4934">
        <f>IF(I4934="","",IF(I4934&gt;=MAXIFS($I$2:$I$5001,$B$2:$B$5001,B4934,$A$2:$A$5001,"&lt;="&amp;A4934),"PR",""))</f>
        <v/>
      </c>
    </row>
    <row r="4935">
      <c r="A4935" s="7" t="n"/>
      <c r="H4935" s="11">
        <f>IF(OR(D4935="",E4935=""),"",D4935*E4935)</f>
        <v/>
      </c>
      <c r="I4935" s="8">
        <f>IF(OR(D4935="",E4935=""),"",E4935*(1+D4935/30))</f>
        <v/>
      </c>
      <c r="J4935">
        <f>IF(I4935="","",IF(I4935&gt;=MAXIFS($I$2:$I$5001,$B$2:$B$5001,B4935,$A$2:$A$5001,"&lt;="&amp;A4935),"PR",""))</f>
        <v/>
      </c>
    </row>
    <row r="4936">
      <c r="A4936" s="7" t="n"/>
      <c r="H4936" s="11">
        <f>IF(OR(D4936="",E4936=""),"",D4936*E4936)</f>
        <v/>
      </c>
      <c r="I4936" s="8">
        <f>IF(OR(D4936="",E4936=""),"",E4936*(1+D4936/30))</f>
        <v/>
      </c>
      <c r="J4936">
        <f>IF(I4936="","",IF(I4936&gt;=MAXIFS($I$2:$I$5001,$B$2:$B$5001,B4936,$A$2:$A$5001,"&lt;="&amp;A4936),"PR",""))</f>
        <v/>
      </c>
    </row>
    <row r="4937">
      <c r="A4937" s="7" t="n"/>
      <c r="H4937" s="11">
        <f>IF(OR(D4937="",E4937=""),"",D4937*E4937)</f>
        <v/>
      </c>
      <c r="I4937" s="8">
        <f>IF(OR(D4937="",E4937=""),"",E4937*(1+D4937/30))</f>
        <v/>
      </c>
      <c r="J4937">
        <f>IF(I4937="","",IF(I4937&gt;=MAXIFS($I$2:$I$5001,$B$2:$B$5001,B4937,$A$2:$A$5001,"&lt;="&amp;A4937),"PR",""))</f>
        <v/>
      </c>
    </row>
    <row r="4938">
      <c r="A4938" s="7" t="n"/>
      <c r="H4938" s="11">
        <f>IF(OR(D4938="",E4938=""),"",D4938*E4938)</f>
        <v/>
      </c>
      <c r="I4938" s="8">
        <f>IF(OR(D4938="",E4938=""),"",E4938*(1+D4938/30))</f>
        <v/>
      </c>
      <c r="J4938">
        <f>IF(I4938="","",IF(I4938&gt;=MAXIFS($I$2:$I$5001,$B$2:$B$5001,B4938,$A$2:$A$5001,"&lt;="&amp;A4938),"PR",""))</f>
        <v/>
      </c>
    </row>
    <row r="4939">
      <c r="A4939" s="7" t="n"/>
      <c r="H4939" s="11">
        <f>IF(OR(D4939="",E4939=""),"",D4939*E4939)</f>
        <v/>
      </c>
      <c r="I4939" s="8">
        <f>IF(OR(D4939="",E4939=""),"",E4939*(1+D4939/30))</f>
        <v/>
      </c>
      <c r="J4939">
        <f>IF(I4939="","",IF(I4939&gt;=MAXIFS($I$2:$I$5001,$B$2:$B$5001,B4939,$A$2:$A$5001,"&lt;="&amp;A4939),"PR",""))</f>
        <v/>
      </c>
    </row>
    <row r="4940">
      <c r="A4940" s="7" t="n"/>
      <c r="H4940" s="11">
        <f>IF(OR(D4940="",E4940=""),"",D4940*E4940)</f>
        <v/>
      </c>
      <c r="I4940" s="8">
        <f>IF(OR(D4940="",E4940=""),"",E4940*(1+D4940/30))</f>
        <v/>
      </c>
      <c r="J4940">
        <f>IF(I4940="","",IF(I4940&gt;=MAXIFS($I$2:$I$5001,$B$2:$B$5001,B4940,$A$2:$A$5001,"&lt;="&amp;A4940),"PR",""))</f>
        <v/>
      </c>
    </row>
    <row r="4941">
      <c r="A4941" s="7" t="n"/>
      <c r="H4941" s="11">
        <f>IF(OR(D4941="",E4941=""),"",D4941*E4941)</f>
        <v/>
      </c>
      <c r="I4941" s="8">
        <f>IF(OR(D4941="",E4941=""),"",E4941*(1+D4941/30))</f>
        <v/>
      </c>
      <c r="J4941">
        <f>IF(I4941="","",IF(I4941&gt;=MAXIFS($I$2:$I$5001,$B$2:$B$5001,B4941,$A$2:$A$5001,"&lt;="&amp;A4941),"PR",""))</f>
        <v/>
      </c>
    </row>
    <row r="4942">
      <c r="A4942" s="7" t="n"/>
      <c r="H4942" s="11">
        <f>IF(OR(D4942="",E4942=""),"",D4942*E4942)</f>
        <v/>
      </c>
      <c r="I4942" s="8">
        <f>IF(OR(D4942="",E4942=""),"",E4942*(1+D4942/30))</f>
        <v/>
      </c>
      <c r="J4942">
        <f>IF(I4942="","",IF(I4942&gt;=MAXIFS($I$2:$I$5001,$B$2:$B$5001,B4942,$A$2:$A$5001,"&lt;="&amp;A4942),"PR",""))</f>
        <v/>
      </c>
    </row>
    <row r="4943">
      <c r="A4943" s="7" t="n"/>
      <c r="H4943" s="11">
        <f>IF(OR(D4943="",E4943=""),"",D4943*E4943)</f>
        <v/>
      </c>
      <c r="I4943" s="8">
        <f>IF(OR(D4943="",E4943=""),"",E4943*(1+D4943/30))</f>
        <v/>
      </c>
      <c r="J4943">
        <f>IF(I4943="","",IF(I4943&gt;=MAXIFS($I$2:$I$5001,$B$2:$B$5001,B4943,$A$2:$A$5001,"&lt;="&amp;A4943),"PR",""))</f>
        <v/>
      </c>
    </row>
    <row r="4944">
      <c r="A4944" s="7" t="n"/>
      <c r="H4944" s="11">
        <f>IF(OR(D4944="",E4944=""),"",D4944*E4944)</f>
        <v/>
      </c>
      <c r="I4944" s="8">
        <f>IF(OR(D4944="",E4944=""),"",E4944*(1+D4944/30))</f>
        <v/>
      </c>
      <c r="J4944">
        <f>IF(I4944="","",IF(I4944&gt;=MAXIFS($I$2:$I$5001,$B$2:$B$5001,B4944,$A$2:$A$5001,"&lt;="&amp;A4944),"PR",""))</f>
        <v/>
      </c>
    </row>
    <row r="4945">
      <c r="A4945" s="7" t="n"/>
      <c r="H4945" s="11">
        <f>IF(OR(D4945="",E4945=""),"",D4945*E4945)</f>
        <v/>
      </c>
      <c r="I4945" s="8">
        <f>IF(OR(D4945="",E4945=""),"",E4945*(1+D4945/30))</f>
        <v/>
      </c>
      <c r="J4945">
        <f>IF(I4945="","",IF(I4945&gt;=MAXIFS($I$2:$I$5001,$B$2:$B$5001,B4945,$A$2:$A$5001,"&lt;="&amp;A4945),"PR",""))</f>
        <v/>
      </c>
    </row>
    <row r="4946">
      <c r="A4946" s="7" t="n"/>
      <c r="H4946" s="11">
        <f>IF(OR(D4946="",E4946=""),"",D4946*E4946)</f>
        <v/>
      </c>
      <c r="I4946" s="8">
        <f>IF(OR(D4946="",E4946=""),"",E4946*(1+D4946/30))</f>
        <v/>
      </c>
      <c r="J4946">
        <f>IF(I4946="","",IF(I4946&gt;=MAXIFS($I$2:$I$5001,$B$2:$B$5001,B4946,$A$2:$A$5001,"&lt;="&amp;A4946),"PR",""))</f>
        <v/>
      </c>
    </row>
    <row r="4947">
      <c r="A4947" s="7" t="n"/>
      <c r="H4947" s="11">
        <f>IF(OR(D4947="",E4947=""),"",D4947*E4947)</f>
        <v/>
      </c>
      <c r="I4947" s="8">
        <f>IF(OR(D4947="",E4947=""),"",E4947*(1+D4947/30))</f>
        <v/>
      </c>
      <c r="J4947">
        <f>IF(I4947="","",IF(I4947&gt;=MAXIFS($I$2:$I$5001,$B$2:$B$5001,B4947,$A$2:$A$5001,"&lt;="&amp;A4947),"PR",""))</f>
        <v/>
      </c>
    </row>
    <row r="4948">
      <c r="A4948" s="7" t="n"/>
      <c r="H4948" s="11">
        <f>IF(OR(D4948="",E4948=""),"",D4948*E4948)</f>
        <v/>
      </c>
      <c r="I4948" s="8">
        <f>IF(OR(D4948="",E4948=""),"",E4948*(1+D4948/30))</f>
        <v/>
      </c>
      <c r="J4948">
        <f>IF(I4948="","",IF(I4948&gt;=MAXIFS($I$2:$I$5001,$B$2:$B$5001,B4948,$A$2:$A$5001,"&lt;="&amp;A4948),"PR",""))</f>
        <v/>
      </c>
    </row>
    <row r="4949">
      <c r="A4949" s="7" t="n"/>
      <c r="H4949" s="11">
        <f>IF(OR(D4949="",E4949=""),"",D4949*E4949)</f>
        <v/>
      </c>
      <c r="I4949" s="8">
        <f>IF(OR(D4949="",E4949=""),"",E4949*(1+D4949/30))</f>
        <v/>
      </c>
      <c r="J4949">
        <f>IF(I4949="","",IF(I4949&gt;=MAXIFS($I$2:$I$5001,$B$2:$B$5001,B4949,$A$2:$A$5001,"&lt;="&amp;A4949),"PR",""))</f>
        <v/>
      </c>
    </row>
    <row r="4950">
      <c r="A4950" s="7" t="n"/>
      <c r="H4950" s="11">
        <f>IF(OR(D4950="",E4950=""),"",D4950*E4950)</f>
        <v/>
      </c>
      <c r="I4950" s="8">
        <f>IF(OR(D4950="",E4950=""),"",E4950*(1+D4950/30))</f>
        <v/>
      </c>
      <c r="J4950">
        <f>IF(I4950="","",IF(I4950&gt;=MAXIFS($I$2:$I$5001,$B$2:$B$5001,B4950,$A$2:$A$5001,"&lt;="&amp;A4950),"PR",""))</f>
        <v/>
      </c>
    </row>
    <row r="4951">
      <c r="A4951" s="7" t="n"/>
      <c r="H4951" s="11">
        <f>IF(OR(D4951="",E4951=""),"",D4951*E4951)</f>
        <v/>
      </c>
      <c r="I4951" s="8">
        <f>IF(OR(D4951="",E4951=""),"",E4951*(1+D4951/30))</f>
        <v/>
      </c>
      <c r="J4951">
        <f>IF(I4951="","",IF(I4951&gt;=MAXIFS($I$2:$I$5001,$B$2:$B$5001,B4951,$A$2:$A$5001,"&lt;="&amp;A4951),"PR",""))</f>
        <v/>
      </c>
    </row>
    <row r="4952">
      <c r="A4952" s="7" t="n"/>
      <c r="H4952" s="11">
        <f>IF(OR(D4952="",E4952=""),"",D4952*E4952)</f>
        <v/>
      </c>
      <c r="I4952" s="8">
        <f>IF(OR(D4952="",E4952=""),"",E4952*(1+D4952/30))</f>
        <v/>
      </c>
      <c r="J4952">
        <f>IF(I4952="","",IF(I4952&gt;=MAXIFS($I$2:$I$5001,$B$2:$B$5001,B4952,$A$2:$A$5001,"&lt;="&amp;A4952),"PR",""))</f>
        <v/>
      </c>
    </row>
    <row r="4953">
      <c r="A4953" s="7" t="n"/>
      <c r="H4953" s="11">
        <f>IF(OR(D4953="",E4953=""),"",D4953*E4953)</f>
        <v/>
      </c>
      <c r="I4953" s="8">
        <f>IF(OR(D4953="",E4953=""),"",E4953*(1+D4953/30))</f>
        <v/>
      </c>
      <c r="J4953">
        <f>IF(I4953="","",IF(I4953&gt;=MAXIFS($I$2:$I$5001,$B$2:$B$5001,B4953,$A$2:$A$5001,"&lt;="&amp;A4953),"PR",""))</f>
        <v/>
      </c>
    </row>
    <row r="4954">
      <c r="A4954" s="7" t="n"/>
      <c r="H4954" s="11">
        <f>IF(OR(D4954="",E4954=""),"",D4954*E4954)</f>
        <v/>
      </c>
      <c r="I4954" s="8">
        <f>IF(OR(D4954="",E4954=""),"",E4954*(1+D4954/30))</f>
        <v/>
      </c>
      <c r="J4954">
        <f>IF(I4954="","",IF(I4954&gt;=MAXIFS($I$2:$I$5001,$B$2:$B$5001,B4954,$A$2:$A$5001,"&lt;="&amp;A4954),"PR",""))</f>
        <v/>
      </c>
    </row>
    <row r="4955">
      <c r="A4955" s="7" t="n"/>
      <c r="H4955" s="11">
        <f>IF(OR(D4955="",E4955=""),"",D4955*E4955)</f>
        <v/>
      </c>
      <c r="I4955" s="8">
        <f>IF(OR(D4955="",E4955=""),"",E4955*(1+D4955/30))</f>
        <v/>
      </c>
      <c r="J4955">
        <f>IF(I4955="","",IF(I4955&gt;=MAXIFS($I$2:$I$5001,$B$2:$B$5001,B4955,$A$2:$A$5001,"&lt;="&amp;A4955),"PR",""))</f>
        <v/>
      </c>
    </row>
    <row r="4956">
      <c r="A4956" s="7" t="n"/>
      <c r="H4956" s="11">
        <f>IF(OR(D4956="",E4956=""),"",D4956*E4956)</f>
        <v/>
      </c>
      <c r="I4956" s="8">
        <f>IF(OR(D4956="",E4956=""),"",E4956*(1+D4956/30))</f>
        <v/>
      </c>
      <c r="J4956">
        <f>IF(I4956="","",IF(I4956&gt;=MAXIFS($I$2:$I$5001,$B$2:$B$5001,B4956,$A$2:$A$5001,"&lt;="&amp;A4956),"PR",""))</f>
        <v/>
      </c>
    </row>
    <row r="4957">
      <c r="A4957" s="7" t="n"/>
      <c r="H4957" s="11">
        <f>IF(OR(D4957="",E4957=""),"",D4957*E4957)</f>
        <v/>
      </c>
      <c r="I4957" s="8">
        <f>IF(OR(D4957="",E4957=""),"",E4957*(1+D4957/30))</f>
        <v/>
      </c>
      <c r="J4957">
        <f>IF(I4957="","",IF(I4957&gt;=MAXIFS($I$2:$I$5001,$B$2:$B$5001,B4957,$A$2:$A$5001,"&lt;="&amp;A4957),"PR",""))</f>
        <v/>
      </c>
    </row>
    <row r="4958">
      <c r="A4958" s="7" t="n"/>
      <c r="H4958" s="11">
        <f>IF(OR(D4958="",E4958=""),"",D4958*E4958)</f>
        <v/>
      </c>
      <c r="I4958" s="8">
        <f>IF(OR(D4958="",E4958=""),"",E4958*(1+D4958/30))</f>
        <v/>
      </c>
      <c r="J4958">
        <f>IF(I4958="","",IF(I4958&gt;=MAXIFS($I$2:$I$5001,$B$2:$B$5001,B4958,$A$2:$A$5001,"&lt;="&amp;A4958),"PR",""))</f>
        <v/>
      </c>
    </row>
    <row r="4959">
      <c r="A4959" s="7" t="n"/>
      <c r="H4959" s="11">
        <f>IF(OR(D4959="",E4959=""),"",D4959*E4959)</f>
        <v/>
      </c>
      <c r="I4959" s="8">
        <f>IF(OR(D4959="",E4959=""),"",E4959*(1+D4959/30))</f>
        <v/>
      </c>
      <c r="J4959">
        <f>IF(I4959="","",IF(I4959&gt;=MAXIFS($I$2:$I$5001,$B$2:$B$5001,B4959,$A$2:$A$5001,"&lt;="&amp;A4959),"PR",""))</f>
        <v/>
      </c>
    </row>
    <row r="4960">
      <c r="A4960" s="7" t="n"/>
      <c r="H4960" s="11">
        <f>IF(OR(D4960="",E4960=""),"",D4960*E4960)</f>
        <v/>
      </c>
      <c r="I4960" s="8">
        <f>IF(OR(D4960="",E4960=""),"",E4960*(1+D4960/30))</f>
        <v/>
      </c>
      <c r="J4960">
        <f>IF(I4960="","",IF(I4960&gt;=MAXIFS($I$2:$I$5001,$B$2:$B$5001,B4960,$A$2:$A$5001,"&lt;="&amp;A4960),"PR",""))</f>
        <v/>
      </c>
    </row>
    <row r="4961">
      <c r="A4961" s="7" t="n"/>
      <c r="H4961" s="11">
        <f>IF(OR(D4961="",E4961=""),"",D4961*E4961)</f>
        <v/>
      </c>
      <c r="I4961" s="8">
        <f>IF(OR(D4961="",E4961=""),"",E4961*(1+D4961/30))</f>
        <v/>
      </c>
      <c r="J4961">
        <f>IF(I4961="","",IF(I4961&gt;=MAXIFS($I$2:$I$5001,$B$2:$B$5001,B4961,$A$2:$A$5001,"&lt;="&amp;A4961),"PR",""))</f>
        <v/>
      </c>
    </row>
    <row r="4962">
      <c r="A4962" s="7" t="n"/>
      <c r="H4962" s="11">
        <f>IF(OR(D4962="",E4962=""),"",D4962*E4962)</f>
        <v/>
      </c>
      <c r="I4962" s="8">
        <f>IF(OR(D4962="",E4962=""),"",E4962*(1+D4962/30))</f>
        <v/>
      </c>
      <c r="J4962">
        <f>IF(I4962="","",IF(I4962&gt;=MAXIFS($I$2:$I$5001,$B$2:$B$5001,B4962,$A$2:$A$5001,"&lt;="&amp;A4962),"PR",""))</f>
        <v/>
      </c>
    </row>
    <row r="4963">
      <c r="A4963" s="7" t="n"/>
      <c r="H4963" s="11">
        <f>IF(OR(D4963="",E4963=""),"",D4963*E4963)</f>
        <v/>
      </c>
      <c r="I4963" s="8">
        <f>IF(OR(D4963="",E4963=""),"",E4963*(1+D4963/30))</f>
        <v/>
      </c>
      <c r="J4963">
        <f>IF(I4963="","",IF(I4963&gt;=MAXIFS($I$2:$I$5001,$B$2:$B$5001,B4963,$A$2:$A$5001,"&lt;="&amp;A4963),"PR",""))</f>
        <v/>
      </c>
    </row>
    <row r="4964">
      <c r="A4964" s="7" t="n"/>
      <c r="H4964" s="11">
        <f>IF(OR(D4964="",E4964=""),"",D4964*E4964)</f>
        <v/>
      </c>
      <c r="I4964" s="8">
        <f>IF(OR(D4964="",E4964=""),"",E4964*(1+D4964/30))</f>
        <v/>
      </c>
      <c r="J4964">
        <f>IF(I4964="","",IF(I4964&gt;=MAXIFS($I$2:$I$5001,$B$2:$B$5001,B4964,$A$2:$A$5001,"&lt;="&amp;A4964),"PR",""))</f>
        <v/>
      </c>
    </row>
    <row r="4965">
      <c r="A4965" s="7" t="n"/>
      <c r="H4965" s="11">
        <f>IF(OR(D4965="",E4965=""),"",D4965*E4965)</f>
        <v/>
      </c>
      <c r="I4965" s="8">
        <f>IF(OR(D4965="",E4965=""),"",E4965*(1+D4965/30))</f>
        <v/>
      </c>
      <c r="J4965">
        <f>IF(I4965="","",IF(I4965&gt;=MAXIFS($I$2:$I$5001,$B$2:$B$5001,B4965,$A$2:$A$5001,"&lt;="&amp;A4965),"PR",""))</f>
        <v/>
      </c>
    </row>
    <row r="4966">
      <c r="A4966" s="7" t="n"/>
      <c r="H4966" s="11">
        <f>IF(OR(D4966="",E4966=""),"",D4966*E4966)</f>
        <v/>
      </c>
      <c r="I4966" s="8">
        <f>IF(OR(D4966="",E4966=""),"",E4966*(1+D4966/30))</f>
        <v/>
      </c>
      <c r="J4966">
        <f>IF(I4966="","",IF(I4966&gt;=MAXIFS($I$2:$I$5001,$B$2:$B$5001,B4966,$A$2:$A$5001,"&lt;="&amp;A4966),"PR",""))</f>
        <v/>
      </c>
    </row>
    <row r="4967">
      <c r="A4967" s="7" t="n"/>
      <c r="H4967" s="11">
        <f>IF(OR(D4967="",E4967=""),"",D4967*E4967)</f>
        <v/>
      </c>
      <c r="I4967" s="8">
        <f>IF(OR(D4967="",E4967=""),"",E4967*(1+D4967/30))</f>
        <v/>
      </c>
      <c r="J4967">
        <f>IF(I4967="","",IF(I4967&gt;=MAXIFS($I$2:$I$5001,$B$2:$B$5001,B4967,$A$2:$A$5001,"&lt;="&amp;A4967),"PR",""))</f>
        <v/>
      </c>
    </row>
    <row r="4968">
      <c r="A4968" s="7" t="n"/>
      <c r="H4968" s="11">
        <f>IF(OR(D4968="",E4968=""),"",D4968*E4968)</f>
        <v/>
      </c>
      <c r="I4968" s="8">
        <f>IF(OR(D4968="",E4968=""),"",E4968*(1+D4968/30))</f>
        <v/>
      </c>
      <c r="J4968">
        <f>IF(I4968="","",IF(I4968&gt;=MAXIFS($I$2:$I$5001,$B$2:$B$5001,B4968,$A$2:$A$5001,"&lt;="&amp;A4968),"PR",""))</f>
        <v/>
      </c>
    </row>
    <row r="4969">
      <c r="A4969" s="7" t="n"/>
      <c r="H4969" s="11">
        <f>IF(OR(D4969="",E4969=""),"",D4969*E4969)</f>
        <v/>
      </c>
      <c r="I4969" s="8">
        <f>IF(OR(D4969="",E4969=""),"",E4969*(1+D4969/30))</f>
        <v/>
      </c>
      <c r="J4969">
        <f>IF(I4969="","",IF(I4969&gt;=MAXIFS($I$2:$I$5001,$B$2:$B$5001,B4969,$A$2:$A$5001,"&lt;="&amp;A4969),"PR",""))</f>
        <v/>
      </c>
    </row>
    <row r="4970">
      <c r="A4970" s="7" t="n"/>
      <c r="H4970" s="11">
        <f>IF(OR(D4970="",E4970=""),"",D4970*E4970)</f>
        <v/>
      </c>
      <c r="I4970" s="8">
        <f>IF(OR(D4970="",E4970=""),"",E4970*(1+D4970/30))</f>
        <v/>
      </c>
      <c r="J4970">
        <f>IF(I4970="","",IF(I4970&gt;=MAXIFS($I$2:$I$5001,$B$2:$B$5001,B4970,$A$2:$A$5001,"&lt;="&amp;A4970),"PR",""))</f>
        <v/>
      </c>
    </row>
    <row r="4971">
      <c r="A4971" s="7" t="n"/>
      <c r="H4971" s="11">
        <f>IF(OR(D4971="",E4971=""),"",D4971*E4971)</f>
        <v/>
      </c>
      <c r="I4971" s="8">
        <f>IF(OR(D4971="",E4971=""),"",E4971*(1+D4971/30))</f>
        <v/>
      </c>
      <c r="J4971">
        <f>IF(I4971="","",IF(I4971&gt;=MAXIFS($I$2:$I$5001,$B$2:$B$5001,B4971,$A$2:$A$5001,"&lt;="&amp;A4971),"PR",""))</f>
        <v/>
      </c>
    </row>
    <row r="4972">
      <c r="A4972" s="7" t="n"/>
      <c r="H4972" s="11">
        <f>IF(OR(D4972="",E4972=""),"",D4972*E4972)</f>
        <v/>
      </c>
      <c r="I4972" s="8">
        <f>IF(OR(D4972="",E4972=""),"",E4972*(1+D4972/30))</f>
        <v/>
      </c>
      <c r="J4972">
        <f>IF(I4972="","",IF(I4972&gt;=MAXIFS($I$2:$I$5001,$B$2:$B$5001,B4972,$A$2:$A$5001,"&lt;="&amp;A4972),"PR",""))</f>
        <v/>
      </c>
    </row>
    <row r="4973">
      <c r="A4973" s="7" t="n"/>
      <c r="H4973" s="11">
        <f>IF(OR(D4973="",E4973=""),"",D4973*E4973)</f>
        <v/>
      </c>
      <c r="I4973" s="8">
        <f>IF(OR(D4973="",E4973=""),"",E4973*(1+D4973/30))</f>
        <v/>
      </c>
      <c r="J4973">
        <f>IF(I4973="","",IF(I4973&gt;=MAXIFS($I$2:$I$5001,$B$2:$B$5001,B4973,$A$2:$A$5001,"&lt;="&amp;A4973),"PR",""))</f>
        <v/>
      </c>
    </row>
    <row r="4974">
      <c r="A4974" s="7" t="n"/>
      <c r="H4974" s="11">
        <f>IF(OR(D4974="",E4974=""),"",D4974*E4974)</f>
        <v/>
      </c>
      <c r="I4974" s="8">
        <f>IF(OR(D4974="",E4974=""),"",E4974*(1+D4974/30))</f>
        <v/>
      </c>
      <c r="J4974">
        <f>IF(I4974="","",IF(I4974&gt;=MAXIFS($I$2:$I$5001,$B$2:$B$5001,B4974,$A$2:$A$5001,"&lt;="&amp;A4974),"PR",""))</f>
        <v/>
      </c>
    </row>
    <row r="4975">
      <c r="A4975" s="7" t="n"/>
      <c r="H4975" s="11">
        <f>IF(OR(D4975="",E4975=""),"",D4975*E4975)</f>
        <v/>
      </c>
      <c r="I4975" s="8">
        <f>IF(OR(D4975="",E4975=""),"",E4975*(1+D4975/30))</f>
        <v/>
      </c>
      <c r="J4975">
        <f>IF(I4975="","",IF(I4975&gt;=MAXIFS($I$2:$I$5001,$B$2:$B$5001,B4975,$A$2:$A$5001,"&lt;="&amp;A4975),"PR",""))</f>
        <v/>
      </c>
    </row>
    <row r="4976">
      <c r="A4976" s="7" t="n"/>
      <c r="H4976" s="11">
        <f>IF(OR(D4976="",E4976=""),"",D4976*E4976)</f>
        <v/>
      </c>
      <c r="I4976" s="8">
        <f>IF(OR(D4976="",E4976=""),"",E4976*(1+D4976/30))</f>
        <v/>
      </c>
      <c r="J4976">
        <f>IF(I4976="","",IF(I4976&gt;=MAXIFS($I$2:$I$5001,$B$2:$B$5001,B4976,$A$2:$A$5001,"&lt;="&amp;A4976),"PR",""))</f>
        <v/>
      </c>
    </row>
    <row r="4977">
      <c r="A4977" s="7" t="n"/>
      <c r="H4977" s="11">
        <f>IF(OR(D4977="",E4977=""),"",D4977*E4977)</f>
        <v/>
      </c>
      <c r="I4977" s="8">
        <f>IF(OR(D4977="",E4977=""),"",E4977*(1+D4977/30))</f>
        <v/>
      </c>
      <c r="J4977">
        <f>IF(I4977="","",IF(I4977&gt;=MAXIFS($I$2:$I$5001,$B$2:$B$5001,B4977,$A$2:$A$5001,"&lt;="&amp;A4977),"PR",""))</f>
        <v/>
      </c>
    </row>
    <row r="4978">
      <c r="A4978" s="7" t="n"/>
      <c r="H4978" s="11">
        <f>IF(OR(D4978="",E4978=""),"",D4978*E4978)</f>
        <v/>
      </c>
      <c r="I4978" s="8">
        <f>IF(OR(D4978="",E4978=""),"",E4978*(1+D4978/30))</f>
        <v/>
      </c>
      <c r="J4978">
        <f>IF(I4978="","",IF(I4978&gt;=MAXIFS($I$2:$I$5001,$B$2:$B$5001,B4978,$A$2:$A$5001,"&lt;="&amp;A4978),"PR",""))</f>
        <v/>
      </c>
    </row>
    <row r="4979">
      <c r="A4979" s="7" t="n"/>
      <c r="H4979" s="11">
        <f>IF(OR(D4979="",E4979=""),"",D4979*E4979)</f>
        <v/>
      </c>
      <c r="I4979" s="8">
        <f>IF(OR(D4979="",E4979=""),"",E4979*(1+D4979/30))</f>
        <v/>
      </c>
      <c r="J4979">
        <f>IF(I4979="","",IF(I4979&gt;=MAXIFS($I$2:$I$5001,$B$2:$B$5001,B4979,$A$2:$A$5001,"&lt;="&amp;A4979),"PR",""))</f>
        <v/>
      </c>
    </row>
    <row r="4980">
      <c r="A4980" s="7" t="n"/>
      <c r="H4980" s="11">
        <f>IF(OR(D4980="",E4980=""),"",D4980*E4980)</f>
        <v/>
      </c>
      <c r="I4980" s="8">
        <f>IF(OR(D4980="",E4980=""),"",E4980*(1+D4980/30))</f>
        <v/>
      </c>
      <c r="J4980">
        <f>IF(I4980="","",IF(I4980&gt;=MAXIFS($I$2:$I$5001,$B$2:$B$5001,B4980,$A$2:$A$5001,"&lt;="&amp;A4980),"PR",""))</f>
        <v/>
      </c>
    </row>
    <row r="4981">
      <c r="A4981" s="7" t="n"/>
      <c r="H4981" s="11">
        <f>IF(OR(D4981="",E4981=""),"",D4981*E4981)</f>
        <v/>
      </c>
      <c r="I4981" s="8">
        <f>IF(OR(D4981="",E4981=""),"",E4981*(1+D4981/30))</f>
        <v/>
      </c>
      <c r="J4981">
        <f>IF(I4981="","",IF(I4981&gt;=MAXIFS($I$2:$I$5001,$B$2:$B$5001,B4981,$A$2:$A$5001,"&lt;="&amp;A4981),"PR",""))</f>
        <v/>
      </c>
    </row>
    <row r="4982">
      <c r="A4982" s="7" t="n"/>
      <c r="H4982" s="11">
        <f>IF(OR(D4982="",E4982=""),"",D4982*E4982)</f>
        <v/>
      </c>
      <c r="I4982" s="8">
        <f>IF(OR(D4982="",E4982=""),"",E4982*(1+D4982/30))</f>
        <v/>
      </c>
      <c r="J4982">
        <f>IF(I4982="","",IF(I4982&gt;=MAXIFS($I$2:$I$5001,$B$2:$B$5001,B4982,$A$2:$A$5001,"&lt;="&amp;A4982),"PR",""))</f>
        <v/>
      </c>
    </row>
    <row r="4983">
      <c r="A4983" s="7" t="n"/>
      <c r="H4983" s="11">
        <f>IF(OR(D4983="",E4983=""),"",D4983*E4983)</f>
        <v/>
      </c>
      <c r="I4983" s="8">
        <f>IF(OR(D4983="",E4983=""),"",E4983*(1+D4983/30))</f>
        <v/>
      </c>
      <c r="J4983">
        <f>IF(I4983="","",IF(I4983&gt;=MAXIFS($I$2:$I$5001,$B$2:$B$5001,B4983,$A$2:$A$5001,"&lt;="&amp;A4983),"PR",""))</f>
        <v/>
      </c>
    </row>
    <row r="4984">
      <c r="A4984" s="7" t="n"/>
      <c r="H4984" s="11">
        <f>IF(OR(D4984="",E4984=""),"",D4984*E4984)</f>
        <v/>
      </c>
      <c r="I4984" s="8">
        <f>IF(OR(D4984="",E4984=""),"",E4984*(1+D4984/30))</f>
        <v/>
      </c>
      <c r="J4984">
        <f>IF(I4984="","",IF(I4984&gt;=MAXIFS($I$2:$I$5001,$B$2:$B$5001,B4984,$A$2:$A$5001,"&lt;="&amp;A4984),"PR",""))</f>
        <v/>
      </c>
    </row>
    <row r="4985">
      <c r="A4985" s="7" t="n"/>
      <c r="H4985" s="11">
        <f>IF(OR(D4985="",E4985=""),"",D4985*E4985)</f>
        <v/>
      </c>
      <c r="I4985" s="8">
        <f>IF(OR(D4985="",E4985=""),"",E4985*(1+D4985/30))</f>
        <v/>
      </c>
      <c r="J4985">
        <f>IF(I4985="","",IF(I4985&gt;=MAXIFS($I$2:$I$5001,$B$2:$B$5001,B4985,$A$2:$A$5001,"&lt;="&amp;A4985),"PR",""))</f>
        <v/>
      </c>
    </row>
    <row r="4986">
      <c r="A4986" s="7" t="n"/>
      <c r="H4986" s="11">
        <f>IF(OR(D4986="",E4986=""),"",D4986*E4986)</f>
        <v/>
      </c>
      <c r="I4986" s="8">
        <f>IF(OR(D4986="",E4986=""),"",E4986*(1+D4986/30))</f>
        <v/>
      </c>
      <c r="J4986">
        <f>IF(I4986="","",IF(I4986&gt;=MAXIFS($I$2:$I$5001,$B$2:$B$5001,B4986,$A$2:$A$5001,"&lt;="&amp;A4986),"PR",""))</f>
        <v/>
      </c>
    </row>
    <row r="4987">
      <c r="A4987" s="7" t="n"/>
      <c r="H4987" s="11">
        <f>IF(OR(D4987="",E4987=""),"",D4987*E4987)</f>
        <v/>
      </c>
      <c r="I4987" s="8">
        <f>IF(OR(D4987="",E4987=""),"",E4987*(1+D4987/30))</f>
        <v/>
      </c>
      <c r="J4987">
        <f>IF(I4987="","",IF(I4987&gt;=MAXIFS($I$2:$I$5001,$B$2:$B$5001,B4987,$A$2:$A$5001,"&lt;="&amp;A4987),"PR",""))</f>
        <v/>
      </c>
    </row>
    <row r="4988">
      <c r="A4988" s="7" t="n"/>
      <c r="H4988" s="11">
        <f>IF(OR(D4988="",E4988=""),"",D4988*E4988)</f>
        <v/>
      </c>
      <c r="I4988" s="8">
        <f>IF(OR(D4988="",E4988=""),"",E4988*(1+D4988/30))</f>
        <v/>
      </c>
      <c r="J4988">
        <f>IF(I4988="","",IF(I4988&gt;=MAXIFS($I$2:$I$5001,$B$2:$B$5001,B4988,$A$2:$A$5001,"&lt;="&amp;A4988),"PR",""))</f>
        <v/>
      </c>
    </row>
    <row r="4989">
      <c r="A4989" s="7" t="n"/>
      <c r="H4989" s="11">
        <f>IF(OR(D4989="",E4989=""),"",D4989*E4989)</f>
        <v/>
      </c>
      <c r="I4989" s="8">
        <f>IF(OR(D4989="",E4989=""),"",E4989*(1+D4989/30))</f>
        <v/>
      </c>
      <c r="J4989">
        <f>IF(I4989="","",IF(I4989&gt;=MAXIFS($I$2:$I$5001,$B$2:$B$5001,B4989,$A$2:$A$5001,"&lt;="&amp;A4989),"PR",""))</f>
        <v/>
      </c>
    </row>
    <row r="4990">
      <c r="A4990" s="7" t="n"/>
      <c r="H4990" s="11">
        <f>IF(OR(D4990="",E4990=""),"",D4990*E4990)</f>
        <v/>
      </c>
      <c r="I4990" s="8">
        <f>IF(OR(D4990="",E4990=""),"",E4990*(1+D4990/30))</f>
        <v/>
      </c>
      <c r="J4990">
        <f>IF(I4990="","",IF(I4990&gt;=MAXIFS($I$2:$I$5001,$B$2:$B$5001,B4990,$A$2:$A$5001,"&lt;="&amp;A4990),"PR",""))</f>
        <v/>
      </c>
    </row>
    <row r="4991">
      <c r="A4991" s="7" t="n"/>
      <c r="H4991" s="11">
        <f>IF(OR(D4991="",E4991=""),"",D4991*E4991)</f>
        <v/>
      </c>
      <c r="I4991" s="8">
        <f>IF(OR(D4991="",E4991=""),"",E4991*(1+D4991/30))</f>
        <v/>
      </c>
      <c r="J4991">
        <f>IF(I4991="","",IF(I4991&gt;=MAXIFS($I$2:$I$5001,$B$2:$B$5001,B4991,$A$2:$A$5001,"&lt;="&amp;A4991),"PR",""))</f>
        <v/>
      </c>
    </row>
    <row r="4992">
      <c r="A4992" s="7" t="n"/>
      <c r="H4992" s="11">
        <f>IF(OR(D4992="",E4992=""),"",D4992*E4992)</f>
        <v/>
      </c>
      <c r="I4992" s="8">
        <f>IF(OR(D4992="",E4992=""),"",E4992*(1+D4992/30))</f>
        <v/>
      </c>
      <c r="J4992">
        <f>IF(I4992="","",IF(I4992&gt;=MAXIFS($I$2:$I$5001,$B$2:$B$5001,B4992,$A$2:$A$5001,"&lt;="&amp;A4992),"PR",""))</f>
        <v/>
      </c>
    </row>
    <row r="4993">
      <c r="A4993" s="7" t="n"/>
      <c r="H4993" s="11">
        <f>IF(OR(D4993="",E4993=""),"",D4993*E4993)</f>
        <v/>
      </c>
      <c r="I4993" s="8">
        <f>IF(OR(D4993="",E4993=""),"",E4993*(1+D4993/30))</f>
        <v/>
      </c>
      <c r="J4993">
        <f>IF(I4993="","",IF(I4993&gt;=MAXIFS($I$2:$I$5001,$B$2:$B$5001,B4993,$A$2:$A$5001,"&lt;="&amp;A4993),"PR",""))</f>
        <v/>
      </c>
    </row>
    <row r="4994">
      <c r="A4994" s="7" t="n"/>
      <c r="H4994" s="11">
        <f>IF(OR(D4994="",E4994=""),"",D4994*E4994)</f>
        <v/>
      </c>
      <c r="I4994" s="8">
        <f>IF(OR(D4994="",E4994=""),"",E4994*(1+D4994/30))</f>
        <v/>
      </c>
      <c r="J4994">
        <f>IF(I4994="","",IF(I4994&gt;=MAXIFS($I$2:$I$5001,$B$2:$B$5001,B4994,$A$2:$A$5001,"&lt;="&amp;A4994),"PR",""))</f>
        <v/>
      </c>
    </row>
    <row r="4995">
      <c r="A4995" s="7" t="n"/>
      <c r="H4995" s="11">
        <f>IF(OR(D4995="",E4995=""),"",D4995*E4995)</f>
        <v/>
      </c>
      <c r="I4995" s="8">
        <f>IF(OR(D4995="",E4995=""),"",E4995*(1+D4995/30))</f>
        <v/>
      </c>
      <c r="J4995">
        <f>IF(I4995="","",IF(I4995&gt;=MAXIFS($I$2:$I$5001,$B$2:$B$5001,B4995,$A$2:$A$5001,"&lt;="&amp;A4995),"PR",""))</f>
        <v/>
      </c>
    </row>
    <row r="4996">
      <c r="A4996" s="7" t="n"/>
      <c r="H4996" s="11">
        <f>IF(OR(D4996="",E4996=""),"",D4996*E4996)</f>
        <v/>
      </c>
      <c r="I4996" s="8">
        <f>IF(OR(D4996="",E4996=""),"",E4996*(1+D4996/30))</f>
        <v/>
      </c>
      <c r="J4996">
        <f>IF(I4996="","",IF(I4996&gt;=MAXIFS($I$2:$I$5001,$B$2:$B$5001,B4996,$A$2:$A$5001,"&lt;="&amp;A4996),"PR",""))</f>
        <v/>
      </c>
    </row>
    <row r="4997">
      <c r="A4997" s="7" t="n"/>
      <c r="H4997" s="11">
        <f>IF(OR(D4997="",E4997=""),"",D4997*E4997)</f>
        <v/>
      </c>
      <c r="I4997" s="8">
        <f>IF(OR(D4997="",E4997=""),"",E4997*(1+D4997/30))</f>
        <v/>
      </c>
      <c r="J4997">
        <f>IF(I4997="","",IF(I4997&gt;=MAXIFS($I$2:$I$5001,$B$2:$B$5001,B4997,$A$2:$A$5001,"&lt;="&amp;A4997),"PR",""))</f>
        <v/>
      </c>
    </row>
    <row r="4998">
      <c r="A4998" s="7" t="n"/>
      <c r="H4998" s="11">
        <f>IF(OR(D4998="",E4998=""),"",D4998*E4998)</f>
        <v/>
      </c>
      <c r="I4998" s="8">
        <f>IF(OR(D4998="",E4998=""),"",E4998*(1+D4998/30))</f>
        <v/>
      </c>
      <c r="J4998">
        <f>IF(I4998="","",IF(I4998&gt;=MAXIFS($I$2:$I$5001,$B$2:$B$5001,B4998,$A$2:$A$5001,"&lt;="&amp;A4998),"PR",""))</f>
        <v/>
      </c>
    </row>
    <row r="4999">
      <c r="A4999" s="7" t="n"/>
      <c r="H4999" s="11">
        <f>IF(OR(D4999="",E4999=""),"",D4999*E4999)</f>
        <v/>
      </c>
      <c r="I4999" s="8">
        <f>IF(OR(D4999="",E4999=""),"",E4999*(1+D4999/30))</f>
        <v/>
      </c>
      <c r="J4999">
        <f>IF(I4999="","",IF(I4999&gt;=MAXIFS($I$2:$I$5001,$B$2:$B$5001,B4999,$A$2:$A$5001,"&lt;="&amp;A4999),"PR",""))</f>
        <v/>
      </c>
    </row>
    <row r="5000">
      <c r="A5000" s="7" t="n"/>
      <c r="H5000" s="11">
        <f>IF(OR(D5000="",E5000=""),"",D5000*E5000)</f>
        <v/>
      </c>
      <c r="I5000" s="8">
        <f>IF(OR(D5000="",E5000=""),"",E5000*(1+D5000/30))</f>
        <v/>
      </c>
      <c r="J5000">
        <f>IF(I5000="","",IF(I5000&gt;=MAXIFS($I$2:$I$5001,$B$2:$B$5001,B5000,$A$2:$A$5001,"&lt;="&amp;A5000),"PR",""))</f>
        <v/>
      </c>
    </row>
    <row r="5001">
      <c r="A5001" s="7" t="n"/>
      <c r="H5001" s="11">
        <f>IF(OR(D5001="",E5001=""),"",D5001*E5001)</f>
        <v/>
      </c>
      <c r="I5001" s="8">
        <f>IF(OR(D5001="",E5001=""),"",E5001*(1+D5001/30))</f>
        <v/>
      </c>
      <c r="J5001">
        <f>IF(I5001="","",IF(I5001&gt;=MAXIFS($I$2:$I$5001,$B$2:$B$5001,B5001,$A$2:$A$5001,"&lt;="&amp;A5001),"PR",""))</f>
        <v/>
      </c>
    </row>
  </sheetData>
  <conditionalFormatting sqref="A2:J5001">
    <cfRule type="expression" priority="1" dxfId="0">
      <formula>$J2="PR"</formula>
    </cfRule>
  </conditionalFormatting>
  <dataValidations count="1">
    <dataValidation sqref="B2:B5001" showDropDown="0" showInputMessage="0" showErrorMessage="0" allowBlank="1" errorTitle="Unknown exercise" error="Exercise not in library. Add it to Exercise Library first." promptTitle="Exercise" prompt="Pick from Exercise Library" type="list">
      <formula1>='Exercise Library'!$A$2:$A$201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6" customWidth="1" min="3" max="3"/>
    <col width="22" customWidth="1" min="4" max="4"/>
    <col width="12" customWidth="1" min="5" max="5"/>
    <col width="14" customWidth="1" min="6" max="6"/>
    <col width="12" customWidth="1" min="7" max="7"/>
    <col width="14" customWidth="1" min="8" max="8"/>
    <col width="36" customWidth="1" min="9" max="9"/>
  </cols>
  <sheetData>
    <row r="1">
      <c r="A1" s="2" t="inlineStr">
        <is>
          <t>Exercise</t>
        </is>
      </c>
      <c r="B1" s="2" t="inlineStr">
        <is>
          <t>Category</t>
        </is>
      </c>
      <c r="C1" s="2" t="inlineStr">
        <is>
          <t>Primary Muscle</t>
        </is>
      </c>
      <c r="D1" s="2" t="inlineStr">
        <is>
          <t>Secondary</t>
        </is>
      </c>
      <c r="E1" s="2" t="inlineStr">
        <is>
          <t>Equipment</t>
        </is>
      </c>
      <c r="F1" s="2" t="inlineStr">
        <is>
          <t>Heaviest Weight</t>
        </is>
      </c>
      <c r="G1" s="2" t="inlineStr">
        <is>
          <t>Best e1RM</t>
        </is>
      </c>
      <c r="H1" s="2" t="inlineStr">
        <is>
          <t>Last Performed</t>
        </is>
      </c>
      <c r="I1" s="2" t="inlineStr">
        <is>
          <t>Last Session</t>
        </is>
      </c>
    </row>
    <row r="2">
      <c r="A2" t="inlineStr">
        <is>
          <t>Back Squat</t>
        </is>
      </c>
      <c r="B2" t="inlineStr">
        <is>
          <t>Legs</t>
        </is>
      </c>
      <c r="C2" t="inlineStr">
        <is>
          <t>Quads</t>
        </is>
      </c>
      <c r="D2" t="inlineStr">
        <is>
          <t>Glutes, Hamstrings</t>
        </is>
      </c>
      <c r="E2" t="inlineStr">
        <is>
          <t>Barbell</t>
        </is>
      </c>
      <c r="F2" s="8">
        <f>IF(A2="","",IFERROR(MAXIFS(WL_Weight,WL_Exercise,A2),""))</f>
        <v/>
      </c>
      <c r="G2" s="8">
        <f>IF(A2="","",IFERROR(MAXIFS(WL_e1RM,WL_Exercise,A2),""))</f>
        <v/>
      </c>
      <c r="H2" s="7">
        <f>IF(A2="","",IFERROR(MAXIFS(WL_Date,WL_Exercise,A2),""))</f>
        <v/>
      </c>
      <c r="I2">
        <f>IF(OR(A2="",H2=""),"",IFERROR(TEXTJOIN(", ",TRUE,IF((WL_Exercise=A2)*(WL_Date=H2),WL_Reps&amp;"×"&amp;WL_Weight,"")),""))</f>
        <v/>
      </c>
    </row>
    <row r="3">
      <c r="A3" t="inlineStr">
        <is>
          <t>Front Squat</t>
        </is>
      </c>
      <c r="B3" t="inlineStr">
        <is>
          <t>Legs</t>
        </is>
      </c>
      <c r="C3" t="inlineStr">
        <is>
          <t>Quads</t>
        </is>
      </c>
      <c r="D3" t="inlineStr">
        <is>
          <t>Glutes, Core</t>
        </is>
      </c>
      <c r="E3" t="inlineStr">
        <is>
          <t>Barbell</t>
        </is>
      </c>
      <c r="F3" s="8">
        <f>IF(A3="","",IFERROR(MAXIFS(WL_Weight,WL_Exercise,A3),""))</f>
        <v/>
      </c>
      <c r="G3" s="8">
        <f>IF(A3="","",IFERROR(MAXIFS(WL_e1RM,WL_Exercise,A3),""))</f>
        <v/>
      </c>
      <c r="H3" s="7">
        <f>IF(A3="","",IFERROR(MAXIFS(WL_Date,WL_Exercise,A3),""))</f>
        <v/>
      </c>
      <c r="I3">
        <f>IF(OR(A3="",H3=""),"",IFERROR(TEXTJOIN(", ",TRUE,IF((WL_Exercise=A3)*(WL_Date=H3),WL_Reps&amp;"×"&amp;WL_Weight,"")),""))</f>
        <v/>
      </c>
    </row>
    <row r="4">
      <c r="A4" t="inlineStr">
        <is>
          <t>Deadlift</t>
        </is>
      </c>
      <c r="B4" t="inlineStr">
        <is>
          <t>Pull</t>
        </is>
      </c>
      <c r="C4" t="inlineStr">
        <is>
          <t>Posterior</t>
        </is>
      </c>
      <c r="D4" t="inlineStr">
        <is>
          <t>Back, Hamstrings</t>
        </is>
      </c>
      <c r="E4" t="inlineStr">
        <is>
          <t>Barbell</t>
        </is>
      </c>
      <c r="F4" s="8">
        <f>IF(A4="","",IFERROR(MAXIFS(WL_Weight,WL_Exercise,A4),""))</f>
        <v/>
      </c>
      <c r="G4" s="8">
        <f>IF(A4="","",IFERROR(MAXIFS(WL_e1RM,WL_Exercise,A4),""))</f>
        <v/>
      </c>
      <c r="H4" s="7">
        <f>IF(A4="","",IFERROR(MAXIFS(WL_Date,WL_Exercise,A4),""))</f>
        <v/>
      </c>
      <c r="I4">
        <f>IF(OR(A4="",H4=""),"",IFERROR(TEXTJOIN(", ",TRUE,IF((WL_Exercise=A4)*(WL_Date=H4),WL_Reps&amp;"×"&amp;WL_Weight,"")),""))</f>
        <v/>
      </c>
    </row>
    <row r="5">
      <c r="A5" t="inlineStr">
        <is>
          <t>Romanian Deadlift</t>
        </is>
      </c>
      <c r="B5" t="inlineStr">
        <is>
          <t>Pull</t>
        </is>
      </c>
      <c r="C5" t="inlineStr">
        <is>
          <t>Hamstrings</t>
        </is>
      </c>
      <c r="D5" t="inlineStr">
        <is>
          <t>Glutes, Back</t>
        </is>
      </c>
      <c r="E5" t="inlineStr">
        <is>
          <t>Barbell</t>
        </is>
      </c>
      <c r="F5" s="8">
        <f>IF(A5="","",IFERROR(MAXIFS(WL_Weight,WL_Exercise,A5),""))</f>
        <v/>
      </c>
      <c r="G5" s="8">
        <f>IF(A5="","",IFERROR(MAXIFS(WL_e1RM,WL_Exercise,A5),""))</f>
        <v/>
      </c>
      <c r="H5" s="7">
        <f>IF(A5="","",IFERROR(MAXIFS(WL_Date,WL_Exercise,A5),""))</f>
        <v/>
      </c>
      <c r="I5">
        <f>IF(OR(A5="",H5=""),"",IFERROR(TEXTJOIN(", ",TRUE,IF((WL_Exercise=A5)*(WL_Date=H5),WL_Reps&amp;"×"&amp;WL_Weight,"")),""))</f>
        <v/>
      </c>
    </row>
    <row r="6">
      <c r="A6" t="inlineStr">
        <is>
          <t>Bench Press</t>
        </is>
      </c>
      <c r="B6" t="inlineStr">
        <is>
          <t>Push</t>
        </is>
      </c>
      <c r="C6" t="inlineStr">
        <is>
          <t>Chest</t>
        </is>
      </c>
      <c r="D6" t="inlineStr">
        <is>
          <t>Triceps, Shoulders</t>
        </is>
      </c>
      <c r="E6" t="inlineStr">
        <is>
          <t>Barbell</t>
        </is>
      </c>
      <c r="F6" s="8">
        <f>IF(A6="","",IFERROR(MAXIFS(WL_Weight,WL_Exercise,A6),""))</f>
        <v/>
      </c>
      <c r="G6" s="8">
        <f>IF(A6="","",IFERROR(MAXIFS(WL_e1RM,WL_Exercise,A6),""))</f>
        <v/>
      </c>
      <c r="H6" s="7">
        <f>IF(A6="","",IFERROR(MAXIFS(WL_Date,WL_Exercise,A6),""))</f>
        <v/>
      </c>
      <c r="I6">
        <f>IF(OR(A6="",H6=""),"",IFERROR(TEXTJOIN(", ",TRUE,IF((WL_Exercise=A6)*(WL_Date=H6),WL_Reps&amp;"×"&amp;WL_Weight,"")),""))</f>
        <v/>
      </c>
    </row>
    <row r="7">
      <c r="A7" t="inlineStr">
        <is>
          <t>Incline Bench</t>
        </is>
      </c>
      <c r="B7" t="inlineStr">
        <is>
          <t>Push</t>
        </is>
      </c>
      <c r="C7" t="inlineStr">
        <is>
          <t>Upper Chest</t>
        </is>
      </c>
      <c r="D7" t="inlineStr">
        <is>
          <t>Triceps, Shoulders</t>
        </is>
      </c>
      <c r="E7" t="inlineStr">
        <is>
          <t>Barbell</t>
        </is>
      </c>
      <c r="F7" s="8">
        <f>IF(A7="","",IFERROR(MAXIFS(WL_Weight,WL_Exercise,A7),""))</f>
        <v/>
      </c>
      <c r="G7" s="8">
        <f>IF(A7="","",IFERROR(MAXIFS(WL_e1RM,WL_Exercise,A7),""))</f>
        <v/>
      </c>
      <c r="H7" s="7">
        <f>IF(A7="","",IFERROR(MAXIFS(WL_Date,WL_Exercise,A7),""))</f>
        <v/>
      </c>
      <c r="I7">
        <f>IF(OR(A7="",H7=""),"",IFERROR(TEXTJOIN(", ",TRUE,IF((WL_Exercise=A7)*(WL_Date=H7),WL_Reps&amp;"×"&amp;WL_Weight,"")),""))</f>
        <v/>
      </c>
    </row>
    <row r="8">
      <c r="A8" t="inlineStr">
        <is>
          <t>Overhead Press</t>
        </is>
      </c>
      <c r="B8" t="inlineStr">
        <is>
          <t>Push</t>
        </is>
      </c>
      <c r="C8" t="inlineStr">
        <is>
          <t>Shoulders</t>
        </is>
      </c>
      <c r="D8" t="inlineStr">
        <is>
          <t>Triceps</t>
        </is>
      </c>
      <c r="E8" t="inlineStr">
        <is>
          <t>Barbell</t>
        </is>
      </c>
      <c r="F8" s="8">
        <f>IF(A8="","",IFERROR(MAXIFS(WL_Weight,WL_Exercise,A8),""))</f>
        <v/>
      </c>
      <c r="G8" s="8">
        <f>IF(A8="","",IFERROR(MAXIFS(WL_e1RM,WL_Exercise,A8),""))</f>
        <v/>
      </c>
      <c r="H8" s="7">
        <f>IF(A8="","",IFERROR(MAXIFS(WL_Date,WL_Exercise,A8),""))</f>
        <v/>
      </c>
      <c r="I8">
        <f>IF(OR(A8="",H8=""),"",IFERROR(TEXTJOIN(", ",TRUE,IF((WL_Exercise=A8)*(WL_Date=H8),WL_Reps&amp;"×"&amp;WL_Weight,"")),""))</f>
        <v/>
      </c>
    </row>
    <row r="9">
      <c r="A9" t="inlineStr">
        <is>
          <t>Barbell Row</t>
        </is>
      </c>
      <c r="B9" t="inlineStr">
        <is>
          <t>Pull</t>
        </is>
      </c>
      <c r="C9" t="inlineStr">
        <is>
          <t>Back</t>
        </is>
      </c>
      <c r="D9" t="inlineStr">
        <is>
          <t>Biceps, Rear Delts</t>
        </is>
      </c>
      <c r="E9" t="inlineStr">
        <is>
          <t>Barbell</t>
        </is>
      </c>
      <c r="F9" s="8">
        <f>IF(A9="","",IFERROR(MAXIFS(WL_Weight,WL_Exercise,A9),""))</f>
        <v/>
      </c>
      <c r="G9" s="8">
        <f>IF(A9="","",IFERROR(MAXIFS(WL_e1RM,WL_Exercise,A9),""))</f>
        <v/>
      </c>
      <c r="H9" s="7">
        <f>IF(A9="","",IFERROR(MAXIFS(WL_Date,WL_Exercise,A9),""))</f>
        <v/>
      </c>
      <c r="I9">
        <f>IF(OR(A9="",H9=""),"",IFERROR(TEXTJOIN(", ",TRUE,IF((WL_Exercise=A9)*(WL_Date=H9),WL_Reps&amp;"×"&amp;WL_Weight,"")),""))</f>
        <v/>
      </c>
    </row>
    <row r="10">
      <c r="A10" t="inlineStr">
        <is>
          <t>Pull-Up</t>
        </is>
      </c>
      <c r="B10" t="inlineStr">
        <is>
          <t>Pull</t>
        </is>
      </c>
      <c r="C10" t="inlineStr">
        <is>
          <t>Lats</t>
        </is>
      </c>
      <c r="D10" t="inlineStr">
        <is>
          <t>Biceps, Back</t>
        </is>
      </c>
      <c r="E10" t="inlineStr">
        <is>
          <t>Bodyweight</t>
        </is>
      </c>
      <c r="F10" s="8">
        <f>IF(A10="","",IFERROR(MAXIFS(WL_Weight,WL_Exercise,A10),""))</f>
        <v/>
      </c>
      <c r="G10" s="8">
        <f>IF(A10="","",IFERROR(MAXIFS(WL_e1RM,WL_Exercise,A10),""))</f>
        <v/>
      </c>
      <c r="H10" s="7">
        <f>IF(A10="","",IFERROR(MAXIFS(WL_Date,WL_Exercise,A10),""))</f>
        <v/>
      </c>
      <c r="I10">
        <f>IF(OR(A10="",H10=""),"",IFERROR(TEXTJOIN(", ",TRUE,IF((WL_Exercise=A10)*(WL_Date=H10),WL_Reps&amp;"×"&amp;WL_Weight,"")),""))</f>
        <v/>
      </c>
    </row>
    <row r="11">
      <c r="A11" t="inlineStr">
        <is>
          <t>Chin-Up</t>
        </is>
      </c>
      <c r="B11" t="inlineStr">
        <is>
          <t>Pull</t>
        </is>
      </c>
      <c r="C11" t="inlineStr">
        <is>
          <t>Biceps</t>
        </is>
      </c>
      <c r="D11" t="inlineStr">
        <is>
          <t>Lats</t>
        </is>
      </c>
      <c r="E11" t="inlineStr">
        <is>
          <t>Bodyweight</t>
        </is>
      </c>
      <c r="F11" s="8">
        <f>IF(A11="","",IFERROR(MAXIFS(WL_Weight,WL_Exercise,A11),""))</f>
        <v/>
      </c>
      <c r="G11" s="8">
        <f>IF(A11="","",IFERROR(MAXIFS(WL_e1RM,WL_Exercise,A11),""))</f>
        <v/>
      </c>
      <c r="H11" s="7">
        <f>IF(A11="","",IFERROR(MAXIFS(WL_Date,WL_Exercise,A11),""))</f>
        <v/>
      </c>
      <c r="I11">
        <f>IF(OR(A11="",H11=""),"",IFERROR(TEXTJOIN(", ",TRUE,IF((WL_Exercise=A11)*(WL_Date=H11),WL_Reps&amp;"×"&amp;WL_Weight,"")),""))</f>
        <v/>
      </c>
    </row>
    <row r="12">
      <c r="A12" t="inlineStr">
        <is>
          <t>Dip</t>
        </is>
      </c>
      <c r="B12" t="inlineStr">
        <is>
          <t>Push</t>
        </is>
      </c>
      <c r="C12" t="inlineStr">
        <is>
          <t>Chest</t>
        </is>
      </c>
      <c r="D12" t="inlineStr">
        <is>
          <t>Triceps</t>
        </is>
      </c>
      <c r="E12" t="inlineStr">
        <is>
          <t>Bodyweight</t>
        </is>
      </c>
      <c r="F12" s="8">
        <f>IF(A12="","",IFERROR(MAXIFS(WL_Weight,WL_Exercise,A12),""))</f>
        <v/>
      </c>
      <c r="G12" s="8">
        <f>IF(A12="","",IFERROR(MAXIFS(WL_e1RM,WL_Exercise,A12),""))</f>
        <v/>
      </c>
      <c r="H12" s="7">
        <f>IF(A12="","",IFERROR(MAXIFS(WL_Date,WL_Exercise,A12),""))</f>
        <v/>
      </c>
      <c r="I12">
        <f>IF(OR(A12="",H12=""),"",IFERROR(TEXTJOIN(", ",TRUE,IF((WL_Exercise=A12)*(WL_Date=H12),WL_Reps&amp;"×"&amp;WL_Weight,"")),""))</f>
        <v/>
      </c>
    </row>
    <row r="13">
      <c r="A13" t="inlineStr">
        <is>
          <t>Push-Up</t>
        </is>
      </c>
      <c r="B13" t="inlineStr">
        <is>
          <t>Push</t>
        </is>
      </c>
      <c r="C13" t="inlineStr">
        <is>
          <t>Chest</t>
        </is>
      </c>
      <c r="D13" t="inlineStr">
        <is>
          <t>Triceps, Shoulders</t>
        </is>
      </c>
      <c r="E13" t="inlineStr">
        <is>
          <t>Bodyweight</t>
        </is>
      </c>
      <c r="F13" s="8">
        <f>IF(A13="","",IFERROR(MAXIFS(WL_Weight,WL_Exercise,A13),""))</f>
        <v/>
      </c>
      <c r="G13" s="8">
        <f>IF(A13="","",IFERROR(MAXIFS(WL_e1RM,WL_Exercise,A13),""))</f>
        <v/>
      </c>
      <c r="H13" s="7">
        <f>IF(A13="","",IFERROR(MAXIFS(WL_Date,WL_Exercise,A13),""))</f>
        <v/>
      </c>
      <c r="I13">
        <f>IF(OR(A13="",H13=""),"",IFERROR(TEXTJOIN(", ",TRUE,IF((WL_Exercise=A13)*(WL_Date=H13),WL_Reps&amp;"×"&amp;WL_Weight,"")),""))</f>
        <v/>
      </c>
    </row>
    <row r="14">
      <c r="A14" t="inlineStr">
        <is>
          <t>Decline Push-Up</t>
        </is>
      </c>
      <c r="B14" t="inlineStr">
        <is>
          <t>Push</t>
        </is>
      </c>
      <c r="C14" t="inlineStr">
        <is>
          <t>Upper Chest</t>
        </is>
      </c>
      <c r="D14" t="inlineStr">
        <is>
          <t>Triceps, Shoulders</t>
        </is>
      </c>
      <c r="E14" t="inlineStr">
        <is>
          <t>Bodyweight</t>
        </is>
      </c>
      <c r="F14" s="8">
        <f>IF(A14="","",IFERROR(MAXIFS(WL_Weight,WL_Exercise,A14),""))</f>
        <v/>
      </c>
      <c r="G14" s="8">
        <f>IF(A14="","",IFERROR(MAXIFS(WL_e1RM,WL_Exercise,A14),""))</f>
        <v/>
      </c>
      <c r="H14" s="7">
        <f>IF(A14="","",IFERROR(MAXIFS(WL_Date,WL_Exercise,A14),""))</f>
        <v/>
      </c>
      <c r="I14">
        <f>IF(OR(A14="",H14=""),"",IFERROR(TEXTJOIN(", ",TRUE,IF((WL_Exercise=A14)*(WL_Date=H14),WL_Reps&amp;"×"&amp;WL_Weight,"")),""))</f>
        <v/>
      </c>
    </row>
    <row r="15">
      <c r="A15" t="inlineStr">
        <is>
          <t>Incline Push-Up</t>
        </is>
      </c>
      <c r="B15" t="inlineStr">
        <is>
          <t>Push</t>
        </is>
      </c>
      <c r="C15" t="inlineStr">
        <is>
          <t>Lower Chest</t>
        </is>
      </c>
      <c r="D15" t="inlineStr">
        <is>
          <t>Triceps, Shoulders</t>
        </is>
      </c>
      <c r="E15" t="inlineStr">
        <is>
          <t>Bodyweight</t>
        </is>
      </c>
      <c r="F15" s="8">
        <f>IF(A15="","",IFERROR(MAXIFS(WL_Weight,WL_Exercise,A15),""))</f>
        <v/>
      </c>
      <c r="G15" s="8">
        <f>IF(A15="","",IFERROR(MAXIFS(WL_e1RM,WL_Exercise,A15),""))</f>
        <v/>
      </c>
      <c r="H15" s="7">
        <f>IF(A15="","",IFERROR(MAXIFS(WL_Date,WL_Exercise,A15),""))</f>
        <v/>
      </c>
      <c r="I15">
        <f>IF(OR(A15="",H15=""),"",IFERROR(TEXTJOIN(", ",TRUE,IF((WL_Exercise=A15)*(WL_Date=H15),WL_Reps&amp;"×"&amp;WL_Weight,"")),""))</f>
        <v/>
      </c>
    </row>
    <row r="16">
      <c r="A16" t="inlineStr">
        <is>
          <t>Diamond Push-Up</t>
        </is>
      </c>
      <c r="B16" t="inlineStr">
        <is>
          <t>Push</t>
        </is>
      </c>
      <c r="C16" t="inlineStr">
        <is>
          <t>Triceps</t>
        </is>
      </c>
      <c r="D16" t="inlineStr">
        <is>
          <t>Chest, Shoulders</t>
        </is>
      </c>
      <c r="E16" t="inlineStr">
        <is>
          <t>Bodyweight</t>
        </is>
      </c>
      <c r="F16" s="8">
        <f>IF(A16="","",IFERROR(MAXIFS(WL_Weight,WL_Exercise,A16),""))</f>
        <v/>
      </c>
      <c r="G16" s="8">
        <f>IF(A16="","",IFERROR(MAXIFS(WL_e1RM,WL_Exercise,A16),""))</f>
        <v/>
      </c>
      <c r="H16" s="7">
        <f>IF(A16="","",IFERROR(MAXIFS(WL_Date,WL_Exercise,A16),""))</f>
        <v/>
      </c>
      <c r="I16">
        <f>IF(OR(A16="",H16=""),"",IFERROR(TEXTJOIN(", ",TRUE,IF((WL_Exercise=A16)*(WL_Date=H16),WL_Reps&amp;"×"&amp;WL_Weight,"")),""))</f>
        <v/>
      </c>
    </row>
    <row r="17">
      <c r="A17" t="inlineStr">
        <is>
          <t>Lunge</t>
        </is>
      </c>
      <c r="B17" t="inlineStr">
        <is>
          <t>Legs</t>
        </is>
      </c>
      <c r="C17" t="inlineStr">
        <is>
          <t>Quads</t>
        </is>
      </c>
      <c r="D17" t="inlineStr">
        <is>
          <t>Glutes</t>
        </is>
      </c>
      <c r="E17" t="inlineStr">
        <is>
          <t>Dumbbell</t>
        </is>
      </c>
      <c r="F17" s="8">
        <f>IF(A17="","",IFERROR(MAXIFS(WL_Weight,WL_Exercise,A17),""))</f>
        <v/>
      </c>
      <c r="G17" s="8">
        <f>IF(A17="","",IFERROR(MAXIFS(WL_e1RM,WL_Exercise,A17),""))</f>
        <v/>
      </c>
      <c r="H17" s="7">
        <f>IF(A17="","",IFERROR(MAXIFS(WL_Date,WL_Exercise,A17),""))</f>
        <v/>
      </c>
      <c r="I17">
        <f>IF(OR(A17="",H17=""),"",IFERROR(TEXTJOIN(", ",TRUE,IF((WL_Exercise=A17)*(WL_Date=H17),WL_Reps&amp;"×"&amp;WL_Weight,"")),""))</f>
        <v/>
      </c>
    </row>
    <row r="18">
      <c r="A18" t="inlineStr">
        <is>
          <t>Bulgarian Split</t>
        </is>
      </c>
      <c r="B18" t="inlineStr">
        <is>
          <t>Legs</t>
        </is>
      </c>
      <c r="C18" t="inlineStr">
        <is>
          <t>Quads</t>
        </is>
      </c>
      <c r="D18" t="inlineStr">
        <is>
          <t>Glutes</t>
        </is>
      </c>
      <c r="E18" t="inlineStr">
        <is>
          <t>Dumbbell</t>
        </is>
      </c>
      <c r="F18" s="8">
        <f>IF(A18="","",IFERROR(MAXIFS(WL_Weight,WL_Exercise,A18),""))</f>
        <v/>
      </c>
      <c r="G18" s="8">
        <f>IF(A18="","",IFERROR(MAXIFS(WL_e1RM,WL_Exercise,A18),""))</f>
        <v/>
      </c>
      <c r="H18" s="7">
        <f>IF(A18="","",IFERROR(MAXIFS(WL_Date,WL_Exercise,A18),""))</f>
        <v/>
      </c>
      <c r="I18">
        <f>IF(OR(A18="",H18=""),"",IFERROR(TEXTJOIN(", ",TRUE,IF((WL_Exercise=A18)*(WL_Date=H18),WL_Reps&amp;"×"&amp;WL_Weight,"")),""))</f>
        <v/>
      </c>
    </row>
    <row r="19">
      <c r="A19" t="inlineStr">
        <is>
          <t>Hip Thrust</t>
        </is>
      </c>
      <c r="B19" t="inlineStr">
        <is>
          <t>Legs</t>
        </is>
      </c>
      <c r="C19" t="inlineStr">
        <is>
          <t>Glutes</t>
        </is>
      </c>
      <c r="D19" t="inlineStr">
        <is>
          <t>Hamstrings</t>
        </is>
      </c>
      <c r="E19" t="inlineStr">
        <is>
          <t>Barbell</t>
        </is>
      </c>
      <c r="F19" s="8">
        <f>IF(A19="","",IFERROR(MAXIFS(WL_Weight,WL_Exercise,A19),""))</f>
        <v/>
      </c>
      <c r="G19" s="8">
        <f>IF(A19="","",IFERROR(MAXIFS(WL_e1RM,WL_Exercise,A19),""))</f>
        <v/>
      </c>
      <c r="H19" s="7">
        <f>IF(A19="","",IFERROR(MAXIFS(WL_Date,WL_Exercise,A19),""))</f>
        <v/>
      </c>
      <c r="I19">
        <f>IF(OR(A19="",H19=""),"",IFERROR(TEXTJOIN(", ",TRUE,IF((WL_Exercise=A19)*(WL_Date=H19),WL_Reps&amp;"×"&amp;WL_Weight,"")),""))</f>
        <v/>
      </c>
    </row>
    <row r="20">
      <c r="A20" t="inlineStr">
        <is>
          <t>Dumbbell Row</t>
        </is>
      </c>
      <c r="B20" t="inlineStr">
        <is>
          <t>Pull</t>
        </is>
      </c>
      <c r="C20" t="inlineStr">
        <is>
          <t>Back</t>
        </is>
      </c>
      <c r="D20" t="inlineStr">
        <is>
          <t>Biceps</t>
        </is>
      </c>
      <c r="E20" t="inlineStr">
        <is>
          <t>Dumbbell</t>
        </is>
      </c>
      <c r="F20" s="8">
        <f>IF(A20="","",IFERROR(MAXIFS(WL_Weight,WL_Exercise,A20),""))</f>
        <v/>
      </c>
      <c r="G20" s="8">
        <f>IF(A20="","",IFERROR(MAXIFS(WL_e1RM,WL_Exercise,A20),""))</f>
        <v/>
      </c>
      <c r="H20" s="7">
        <f>IF(A20="","",IFERROR(MAXIFS(WL_Date,WL_Exercise,A20),""))</f>
        <v/>
      </c>
      <c r="I20">
        <f>IF(OR(A20="",H20=""),"",IFERROR(TEXTJOIN(", ",TRUE,IF((WL_Exercise=A20)*(WL_Date=H20),WL_Reps&amp;"×"&amp;WL_Weight,"")),""))</f>
        <v/>
      </c>
    </row>
    <row r="21">
      <c r="A21" t="inlineStr">
        <is>
          <t>DB Bench</t>
        </is>
      </c>
      <c r="B21" t="inlineStr">
        <is>
          <t>Push</t>
        </is>
      </c>
      <c r="C21" t="inlineStr">
        <is>
          <t>Chest</t>
        </is>
      </c>
      <c r="D21" t="inlineStr">
        <is>
          <t>Triceps, Shoulders</t>
        </is>
      </c>
      <c r="E21" t="inlineStr">
        <is>
          <t>Dumbbell</t>
        </is>
      </c>
      <c r="F21" s="8">
        <f>IF(A21="","",IFERROR(MAXIFS(WL_Weight,WL_Exercise,A21),""))</f>
        <v/>
      </c>
      <c r="G21" s="8">
        <f>IF(A21="","",IFERROR(MAXIFS(WL_e1RM,WL_Exercise,A21),""))</f>
        <v/>
      </c>
      <c r="H21" s="7">
        <f>IF(A21="","",IFERROR(MAXIFS(WL_Date,WL_Exercise,A21),""))</f>
        <v/>
      </c>
      <c r="I21">
        <f>IF(OR(A21="",H21=""),"",IFERROR(TEXTJOIN(", ",TRUE,IF((WL_Exercise=A21)*(WL_Date=H21),WL_Reps&amp;"×"&amp;WL_Weight,"")),""))</f>
        <v/>
      </c>
    </row>
    <row r="22">
      <c r="A22" t="inlineStr">
        <is>
          <t>DB Press</t>
        </is>
      </c>
      <c r="B22" t="inlineStr">
        <is>
          <t>Push</t>
        </is>
      </c>
      <c r="C22" t="inlineStr">
        <is>
          <t>Shoulders</t>
        </is>
      </c>
      <c r="D22" t="inlineStr">
        <is>
          <t>Triceps</t>
        </is>
      </c>
      <c r="E22" t="inlineStr">
        <is>
          <t>Dumbbell</t>
        </is>
      </c>
      <c r="F22" s="8">
        <f>IF(A22="","",IFERROR(MAXIFS(WL_Weight,WL_Exercise,A22),""))</f>
        <v/>
      </c>
      <c r="G22" s="8">
        <f>IF(A22="","",IFERROR(MAXIFS(WL_e1RM,WL_Exercise,A22),""))</f>
        <v/>
      </c>
      <c r="H22" s="7">
        <f>IF(A22="","",IFERROR(MAXIFS(WL_Date,WL_Exercise,A22),""))</f>
        <v/>
      </c>
      <c r="I22">
        <f>IF(OR(A22="",H22=""),"",IFERROR(TEXTJOIN(", ",TRUE,IF((WL_Exercise=A22)*(WL_Date=H22),WL_Reps&amp;"×"&amp;WL_Weight,"")),""))</f>
        <v/>
      </c>
    </row>
    <row r="23">
      <c r="A23" t="inlineStr">
        <is>
          <t>Lateral Raise</t>
        </is>
      </c>
      <c r="B23" t="inlineStr">
        <is>
          <t>Push</t>
        </is>
      </c>
      <c r="C23" t="inlineStr">
        <is>
          <t>Side Delts</t>
        </is>
      </c>
      <c r="D23" t="inlineStr"/>
      <c r="E23" t="inlineStr">
        <is>
          <t>Dumbbell</t>
        </is>
      </c>
      <c r="F23" s="8">
        <f>IF(A23="","",IFERROR(MAXIFS(WL_Weight,WL_Exercise,A23),""))</f>
        <v/>
      </c>
      <c r="G23" s="8">
        <f>IF(A23="","",IFERROR(MAXIFS(WL_e1RM,WL_Exercise,A23),""))</f>
        <v/>
      </c>
      <c r="H23" s="7">
        <f>IF(A23="","",IFERROR(MAXIFS(WL_Date,WL_Exercise,A23),""))</f>
        <v/>
      </c>
      <c r="I23">
        <f>IF(OR(A23="",H23=""),"",IFERROR(TEXTJOIN(", ",TRUE,IF((WL_Exercise=A23)*(WL_Date=H23),WL_Reps&amp;"×"&amp;WL_Weight,"")),""))</f>
        <v/>
      </c>
    </row>
    <row r="24">
      <c r="A24" t="inlineStr">
        <is>
          <t>Curl</t>
        </is>
      </c>
      <c r="B24" t="inlineStr">
        <is>
          <t>Pull</t>
        </is>
      </c>
      <c r="C24" t="inlineStr">
        <is>
          <t>Biceps</t>
        </is>
      </c>
      <c r="D24" t="inlineStr">
        <is>
          <t>Forearms</t>
        </is>
      </c>
      <c r="E24" t="inlineStr">
        <is>
          <t>Dumbbell</t>
        </is>
      </c>
      <c r="F24" s="8">
        <f>IF(A24="","",IFERROR(MAXIFS(WL_Weight,WL_Exercise,A24),""))</f>
        <v/>
      </c>
      <c r="G24" s="8">
        <f>IF(A24="","",IFERROR(MAXIFS(WL_e1RM,WL_Exercise,A24),""))</f>
        <v/>
      </c>
      <c r="H24" s="7">
        <f>IF(A24="","",IFERROR(MAXIFS(WL_Date,WL_Exercise,A24),""))</f>
        <v/>
      </c>
      <c r="I24">
        <f>IF(OR(A24="",H24=""),"",IFERROR(TEXTJOIN(", ",TRUE,IF((WL_Exercise=A24)*(WL_Date=H24),WL_Reps&amp;"×"&amp;WL_Weight,"")),""))</f>
        <v/>
      </c>
    </row>
    <row r="25">
      <c r="A25" t="inlineStr">
        <is>
          <t>Tricep Extension</t>
        </is>
      </c>
      <c r="B25" t="inlineStr">
        <is>
          <t>Push</t>
        </is>
      </c>
      <c r="C25" t="inlineStr">
        <is>
          <t>Triceps</t>
        </is>
      </c>
      <c r="D25" t="inlineStr"/>
      <c r="E25" t="inlineStr">
        <is>
          <t>Dumbbell</t>
        </is>
      </c>
      <c r="F25" s="8">
        <f>IF(A25="","",IFERROR(MAXIFS(WL_Weight,WL_Exercise,A25),""))</f>
        <v/>
      </c>
      <c r="G25" s="8">
        <f>IF(A25="","",IFERROR(MAXIFS(WL_e1RM,WL_Exercise,A25),""))</f>
        <v/>
      </c>
      <c r="H25" s="7">
        <f>IF(A25="","",IFERROR(MAXIFS(WL_Date,WL_Exercise,A25),""))</f>
        <v/>
      </c>
      <c r="I25">
        <f>IF(OR(A25="",H25=""),"",IFERROR(TEXTJOIN(", ",TRUE,IF((WL_Exercise=A25)*(WL_Date=H25),WL_Reps&amp;"×"&amp;WL_Weight,"")),""))</f>
        <v/>
      </c>
    </row>
    <row r="26">
      <c r="A26" t="inlineStr">
        <is>
          <t>Plank</t>
        </is>
      </c>
      <c r="B26" t="inlineStr">
        <is>
          <t>Core</t>
        </is>
      </c>
      <c r="C26" t="inlineStr">
        <is>
          <t>Core</t>
        </is>
      </c>
      <c r="D26" t="inlineStr"/>
      <c r="E26" t="inlineStr">
        <is>
          <t>Bodyweight</t>
        </is>
      </c>
      <c r="F26" s="8">
        <f>IF(A26="","",IFERROR(MAXIFS(WL_Weight,WL_Exercise,A26),""))</f>
        <v/>
      </c>
      <c r="G26" s="8">
        <f>IF(A26="","",IFERROR(MAXIFS(WL_e1RM,WL_Exercise,A26),""))</f>
        <v/>
      </c>
      <c r="H26" s="7">
        <f>IF(A26="","",IFERROR(MAXIFS(WL_Date,WL_Exercise,A26),""))</f>
        <v/>
      </c>
      <c r="I26">
        <f>IF(OR(A26="",H26=""),"",IFERROR(TEXTJOIN(", ",TRUE,IF((WL_Exercise=A26)*(WL_Date=H26),WL_Reps&amp;"×"&amp;WL_Weight,"")),""))</f>
        <v/>
      </c>
    </row>
    <row r="27">
      <c r="A27" t="inlineStr">
        <is>
          <t>Hanging Leg Raise</t>
        </is>
      </c>
      <c r="B27" t="inlineStr">
        <is>
          <t>Core</t>
        </is>
      </c>
      <c r="C27" t="inlineStr">
        <is>
          <t>Abs</t>
        </is>
      </c>
      <c r="D27" t="inlineStr">
        <is>
          <t>Hip Flexors</t>
        </is>
      </c>
      <c r="E27" t="inlineStr">
        <is>
          <t>Bodyweight</t>
        </is>
      </c>
      <c r="F27" s="8">
        <f>IF(A27="","",IFERROR(MAXIFS(WL_Weight,WL_Exercise,A27),""))</f>
        <v/>
      </c>
      <c r="G27" s="8">
        <f>IF(A27="","",IFERROR(MAXIFS(WL_e1RM,WL_Exercise,A27),""))</f>
        <v/>
      </c>
      <c r="H27" s="7">
        <f>IF(A27="","",IFERROR(MAXIFS(WL_Date,WL_Exercise,A27),""))</f>
        <v/>
      </c>
      <c r="I27">
        <f>IF(OR(A27="",H27=""),"",IFERROR(TEXTJOIN(", ",TRUE,IF((WL_Exercise=A27)*(WL_Date=H27),WL_Reps&amp;"×"&amp;WL_Weight,"")),""))</f>
        <v/>
      </c>
    </row>
    <row r="28">
      <c r="A28" t="inlineStr">
        <is>
          <t>Run</t>
        </is>
      </c>
      <c r="B28" t="inlineStr">
        <is>
          <t>Cardio</t>
        </is>
      </c>
      <c r="C28" t="inlineStr">
        <is>
          <t>Legs</t>
        </is>
      </c>
      <c r="D28" t="inlineStr"/>
      <c r="E28" t="inlineStr">
        <is>
          <t>Cardio</t>
        </is>
      </c>
      <c r="F28" s="8">
        <f>IF(A28="","",IFERROR(MAXIFS(WL_Weight,WL_Exercise,A28),""))</f>
        <v/>
      </c>
      <c r="G28" s="8">
        <f>IF(A28="","",IFERROR(MAXIFS(WL_e1RM,WL_Exercise,A28),""))</f>
        <v/>
      </c>
      <c r="H28" s="7">
        <f>IF(A28="","",IFERROR(MAXIFS(WL_Date,WL_Exercise,A28),""))</f>
        <v/>
      </c>
      <c r="I28">
        <f>IF(OR(A28="",H28=""),"",IFERROR(TEXTJOIN(", ",TRUE,IF((WL_Exercise=A28)*(WL_Date=H28),WL_Reps&amp;"×"&amp;WL_Weight,"")),""))</f>
        <v/>
      </c>
    </row>
    <row r="29">
      <c r="A29" t="inlineStr">
        <is>
          <t>Bike</t>
        </is>
      </c>
      <c r="B29" t="inlineStr">
        <is>
          <t>Cardio</t>
        </is>
      </c>
      <c r="C29" t="inlineStr">
        <is>
          <t>Legs</t>
        </is>
      </c>
      <c r="D29" t="inlineStr"/>
      <c r="E29" t="inlineStr">
        <is>
          <t>Cardio</t>
        </is>
      </c>
      <c r="F29" s="8">
        <f>IF(A29="","",IFERROR(MAXIFS(WL_Weight,WL_Exercise,A29),""))</f>
        <v/>
      </c>
      <c r="G29" s="8">
        <f>IF(A29="","",IFERROR(MAXIFS(WL_e1RM,WL_Exercise,A29),""))</f>
        <v/>
      </c>
      <c r="H29" s="7">
        <f>IF(A29="","",IFERROR(MAXIFS(WL_Date,WL_Exercise,A29),""))</f>
        <v/>
      </c>
      <c r="I29">
        <f>IF(OR(A29="",H29=""),"",IFERROR(TEXTJOIN(", ",TRUE,IF((WL_Exercise=A29)*(WL_Date=H29),WL_Reps&amp;"×"&amp;WL_Weight,"")),""))</f>
        <v/>
      </c>
    </row>
    <row r="30">
      <c r="A30" t="inlineStr">
        <is>
          <t>Row (Erg)</t>
        </is>
      </c>
      <c r="B30" t="inlineStr">
        <is>
          <t>Cardio</t>
        </is>
      </c>
      <c r="C30" t="inlineStr">
        <is>
          <t>Full Body</t>
        </is>
      </c>
      <c r="D30" t="inlineStr"/>
      <c r="E30" t="inlineStr">
        <is>
          <t>Cardio</t>
        </is>
      </c>
      <c r="F30" s="8">
        <f>IF(A30="","",IFERROR(MAXIFS(WL_Weight,WL_Exercise,A30),""))</f>
        <v/>
      </c>
      <c r="G30" s="8">
        <f>IF(A30="","",IFERROR(MAXIFS(WL_e1RM,WL_Exercise,A30),""))</f>
        <v/>
      </c>
      <c r="H30" s="7">
        <f>IF(A30="","",IFERROR(MAXIFS(WL_Date,WL_Exercise,A30),""))</f>
        <v/>
      </c>
      <c r="I30">
        <f>IF(OR(A30="",H30=""),"",IFERROR(TEXTJOIN(", ",TRUE,IF((WL_Exercise=A30)*(WL_Date=H30),WL_Reps&amp;"×"&amp;WL_Weight,"")),""))</f>
        <v/>
      </c>
    </row>
    <row r="31">
      <c r="F31" s="8">
        <f>IF(A31="","",IFERROR(MAXIFS(WL_Weight,WL_Exercise,A31),""))</f>
        <v/>
      </c>
      <c r="G31" s="8">
        <f>IF(A31="","",IFERROR(MAXIFS(WL_e1RM,WL_Exercise,A31),""))</f>
        <v/>
      </c>
      <c r="H31" s="7">
        <f>IF(A31="","",IFERROR(MAXIFS(WL_Date,WL_Exercise,A31),""))</f>
        <v/>
      </c>
      <c r="I31">
        <f>IF(OR(A31="",H31=""),"",IFERROR(TEXTJOIN(", ",TRUE,IF((WL_Exercise=A31)*(WL_Date=H31),WL_Reps&amp;"×"&amp;WL_Weight,"")),""))</f>
        <v/>
      </c>
    </row>
    <row r="32">
      <c r="F32" s="8">
        <f>IF(A32="","",IFERROR(MAXIFS(WL_Weight,WL_Exercise,A32),""))</f>
        <v/>
      </c>
      <c r="G32" s="8">
        <f>IF(A32="","",IFERROR(MAXIFS(WL_e1RM,WL_Exercise,A32),""))</f>
        <v/>
      </c>
      <c r="H32" s="7">
        <f>IF(A32="","",IFERROR(MAXIFS(WL_Date,WL_Exercise,A32),""))</f>
        <v/>
      </c>
      <c r="I32">
        <f>IF(OR(A32="",H32=""),"",IFERROR(TEXTJOIN(", ",TRUE,IF((WL_Exercise=A32)*(WL_Date=H32),WL_Reps&amp;"×"&amp;WL_Weight,"")),""))</f>
        <v/>
      </c>
    </row>
    <row r="33">
      <c r="F33" s="8">
        <f>IF(A33="","",IFERROR(MAXIFS(WL_Weight,WL_Exercise,A33),""))</f>
        <v/>
      </c>
      <c r="G33" s="8">
        <f>IF(A33="","",IFERROR(MAXIFS(WL_e1RM,WL_Exercise,A33),""))</f>
        <v/>
      </c>
      <c r="H33" s="7">
        <f>IF(A33="","",IFERROR(MAXIFS(WL_Date,WL_Exercise,A33),""))</f>
        <v/>
      </c>
      <c r="I33">
        <f>IF(OR(A33="",H33=""),"",IFERROR(TEXTJOIN(", ",TRUE,IF((WL_Exercise=A33)*(WL_Date=H33),WL_Reps&amp;"×"&amp;WL_Weight,"")),""))</f>
        <v/>
      </c>
    </row>
    <row r="34">
      <c r="F34" s="8">
        <f>IF(A34="","",IFERROR(MAXIFS(WL_Weight,WL_Exercise,A34),""))</f>
        <v/>
      </c>
      <c r="G34" s="8">
        <f>IF(A34="","",IFERROR(MAXIFS(WL_e1RM,WL_Exercise,A34),""))</f>
        <v/>
      </c>
      <c r="H34" s="7">
        <f>IF(A34="","",IFERROR(MAXIFS(WL_Date,WL_Exercise,A34),""))</f>
        <v/>
      </c>
      <c r="I34">
        <f>IF(OR(A34="",H34=""),"",IFERROR(TEXTJOIN(", ",TRUE,IF((WL_Exercise=A34)*(WL_Date=H34),WL_Reps&amp;"×"&amp;WL_Weight,"")),""))</f>
        <v/>
      </c>
    </row>
    <row r="35">
      <c r="F35" s="8">
        <f>IF(A35="","",IFERROR(MAXIFS(WL_Weight,WL_Exercise,A35),""))</f>
        <v/>
      </c>
      <c r="G35" s="8">
        <f>IF(A35="","",IFERROR(MAXIFS(WL_e1RM,WL_Exercise,A35),""))</f>
        <v/>
      </c>
      <c r="H35" s="7">
        <f>IF(A35="","",IFERROR(MAXIFS(WL_Date,WL_Exercise,A35),""))</f>
        <v/>
      </c>
      <c r="I35">
        <f>IF(OR(A35="",H35=""),"",IFERROR(TEXTJOIN(", ",TRUE,IF((WL_Exercise=A35)*(WL_Date=H35),WL_Reps&amp;"×"&amp;WL_Weight,"")),""))</f>
        <v/>
      </c>
    </row>
    <row r="36">
      <c r="F36" s="8">
        <f>IF(A36="","",IFERROR(MAXIFS(WL_Weight,WL_Exercise,A36),""))</f>
        <v/>
      </c>
      <c r="G36" s="8">
        <f>IF(A36="","",IFERROR(MAXIFS(WL_e1RM,WL_Exercise,A36),""))</f>
        <v/>
      </c>
      <c r="H36" s="7">
        <f>IF(A36="","",IFERROR(MAXIFS(WL_Date,WL_Exercise,A36),""))</f>
        <v/>
      </c>
      <c r="I36">
        <f>IF(OR(A36="",H36=""),"",IFERROR(TEXTJOIN(", ",TRUE,IF((WL_Exercise=A36)*(WL_Date=H36),WL_Reps&amp;"×"&amp;WL_Weight,"")),""))</f>
        <v/>
      </c>
    </row>
    <row r="37">
      <c r="F37" s="8">
        <f>IF(A37="","",IFERROR(MAXIFS(WL_Weight,WL_Exercise,A37),""))</f>
        <v/>
      </c>
      <c r="G37" s="8">
        <f>IF(A37="","",IFERROR(MAXIFS(WL_e1RM,WL_Exercise,A37),""))</f>
        <v/>
      </c>
      <c r="H37" s="7">
        <f>IF(A37="","",IFERROR(MAXIFS(WL_Date,WL_Exercise,A37),""))</f>
        <v/>
      </c>
      <c r="I37">
        <f>IF(OR(A37="",H37=""),"",IFERROR(TEXTJOIN(", ",TRUE,IF((WL_Exercise=A37)*(WL_Date=H37),WL_Reps&amp;"×"&amp;WL_Weight,"")),""))</f>
        <v/>
      </c>
    </row>
    <row r="38">
      <c r="F38" s="8">
        <f>IF(A38="","",IFERROR(MAXIFS(WL_Weight,WL_Exercise,A38),""))</f>
        <v/>
      </c>
      <c r="G38" s="8">
        <f>IF(A38="","",IFERROR(MAXIFS(WL_e1RM,WL_Exercise,A38),""))</f>
        <v/>
      </c>
      <c r="H38" s="7">
        <f>IF(A38="","",IFERROR(MAXIFS(WL_Date,WL_Exercise,A38),""))</f>
        <v/>
      </c>
      <c r="I38">
        <f>IF(OR(A38="",H38=""),"",IFERROR(TEXTJOIN(", ",TRUE,IF((WL_Exercise=A38)*(WL_Date=H38),WL_Reps&amp;"×"&amp;WL_Weight,"")),""))</f>
        <v/>
      </c>
    </row>
    <row r="39">
      <c r="F39" s="8">
        <f>IF(A39="","",IFERROR(MAXIFS(WL_Weight,WL_Exercise,A39),""))</f>
        <v/>
      </c>
      <c r="G39" s="8">
        <f>IF(A39="","",IFERROR(MAXIFS(WL_e1RM,WL_Exercise,A39),""))</f>
        <v/>
      </c>
      <c r="H39" s="7">
        <f>IF(A39="","",IFERROR(MAXIFS(WL_Date,WL_Exercise,A39),""))</f>
        <v/>
      </c>
      <c r="I39">
        <f>IF(OR(A39="",H39=""),"",IFERROR(TEXTJOIN(", ",TRUE,IF((WL_Exercise=A39)*(WL_Date=H39),WL_Reps&amp;"×"&amp;WL_Weight,"")),""))</f>
        <v/>
      </c>
    </row>
    <row r="40">
      <c r="F40" s="8">
        <f>IF(A40="","",IFERROR(MAXIFS(WL_Weight,WL_Exercise,A40),""))</f>
        <v/>
      </c>
      <c r="G40" s="8">
        <f>IF(A40="","",IFERROR(MAXIFS(WL_e1RM,WL_Exercise,A40),""))</f>
        <v/>
      </c>
      <c r="H40" s="7">
        <f>IF(A40="","",IFERROR(MAXIFS(WL_Date,WL_Exercise,A40),""))</f>
        <v/>
      </c>
      <c r="I40">
        <f>IF(OR(A40="",H40=""),"",IFERROR(TEXTJOIN(", ",TRUE,IF((WL_Exercise=A40)*(WL_Date=H40),WL_Reps&amp;"×"&amp;WL_Weight,"")),""))</f>
        <v/>
      </c>
    </row>
    <row r="41">
      <c r="F41" s="8">
        <f>IF(A41="","",IFERROR(MAXIFS(WL_Weight,WL_Exercise,A41),""))</f>
        <v/>
      </c>
      <c r="G41" s="8">
        <f>IF(A41="","",IFERROR(MAXIFS(WL_e1RM,WL_Exercise,A41),""))</f>
        <v/>
      </c>
      <c r="H41" s="7">
        <f>IF(A41="","",IFERROR(MAXIFS(WL_Date,WL_Exercise,A41),""))</f>
        <v/>
      </c>
      <c r="I41">
        <f>IF(OR(A41="",H41=""),"",IFERROR(TEXTJOIN(", ",TRUE,IF((WL_Exercise=A41)*(WL_Date=H41),WL_Reps&amp;"×"&amp;WL_Weight,"")),""))</f>
        <v/>
      </c>
    </row>
    <row r="42">
      <c r="F42" s="8">
        <f>IF(A42="","",IFERROR(MAXIFS(WL_Weight,WL_Exercise,A42),""))</f>
        <v/>
      </c>
      <c r="G42" s="8">
        <f>IF(A42="","",IFERROR(MAXIFS(WL_e1RM,WL_Exercise,A42),""))</f>
        <v/>
      </c>
      <c r="H42" s="7">
        <f>IF(A42="","",IFERROR(MAXIFS(WL_Date,WL_Exercise,A42),""))</f>
        <v/>
      </c>
      <c r="I42">
        <f>IF(OR(A42="",H42=""),"",IFERROR(TEXTJOIN(", ",TRUE,IF((WL_Exercise=A42)*(WL_Date=H42),WL_Reps&amp;"×"&amp;WL_Weight,"")),""))</f>
        <v/>
      </c>
    </row>
    <row r="43">
      <c r="F43" s="8">
        <f>IF(A43="","",IFERROR(MAXIFS(WL_Weight,WL_Exercise,A43),""))</f>
        <v/>
      </c>
      <c r="G43" s="8">
        <f>IF(A43="","",IFERROR(MAXIFS(WL_e1RM,WL_Exercise,A43),""))</f>
        <v/>
      </c>
      <c r="H43" s="7">
        <f>IF(A43="","",IFERROR(MAXIFS(WL_Date,WL_Exercise,A43),""))</f>
        <v/>
      </c>
      <c r="I43">
        <f>IF(OR(A43="",H43=""),"",IFERROR(TEXTJOIN(", ",TRUE,IF((WL_Exercise=A43)*(WL_Date=H43),WL_Reps&amp;"×"&amp;WL_Weight,"")),""))</f>
        <v/>
      </c>
    </row>
    <row r="44">
      <c r="F44" s="8">
        <f>IF(A44="","",IFERROR(MAXIFS(WL_Weight,WL_Exercise,A44),""))</f>
        <v/>
      </c>
      <c r="G44" s="8">
        <f>IF(A44="","",IFERROR(MAXIFS(WL_e1RM,WL_Exercise,A44),""))</f>
        <v/>
      </c>
      <c r="H44" s="7">
        <f>IF(A44="","",IFERROR(MAXIFS(WL_Date,WL_Exercise,A44),""))</f>
        <v/>
      </c>
      <c r="I44">
        <f>IF(OR(A44="",H44=""),"",IFERROR(TEXTJOIN(", ",TRUE,IF((WL_Exercise=A44)*(WL_Date=H44),WL_Reps&amp;"×"&amp;WL_Weight,"")),""))</f>
        <v/>
      </c>
    </row>
    <row r="45">
      <c r="F45" s="8">
        <f>IF(A45="","",IFERROR(MAXIFS(WL_Weight,WL_Exercise,A45),""))</f>
        <v/>
      </c>
      <c r="G45" s="8">
        <f>IF(A45="","",IFERROR(MAXIFS(WL_e1RM,WL_Exercise,A45),""))</f>
        <v/>
      </c>
      <c r="H45" s="7">
        <f>IF(A45="","",IFERROR(MAXIFS(WL_Date,WL_Exercise,A45),""))</f>
        <v/>
      </c>
      <c r="I45">
        <f>IF(OR(A45="",H45=""),"",IFERROR(TEXTJOIN(", ",TRUE,IF((WL_Exercise=A45)*(WL_Date=H45),WL_Reps&amp;"×"&amp;WL_Weight,"")),""))</f>
        <v/>
      </c>
    </row>
    <row r="46">
      <c r="F46" s="8">
        <f>IF(A46="","",IFERROR(MAXIFS(WL_Weight,WL_Exercise,A46),""))</f>
        <v/>
      </c>
      <c r="G46" s="8">
        <f>IF(A46="","",IFERROR(MAXIFS(WL_e1RM,WL_Exercise,A46),""))</f>
        <v/>
      </c>
      <c r="H46" s="7">
        <f>IF(A46="","",IFERROR(MAXIFS(WL_Date,WL_Exercise,A46),""))</f>
        <v/>
      </c>
      <c r="I46">
        <f>IF(OR(A46="",H46=""),"",IFERROR(TEXTJOIN(", ",TRUE,IF((WL_Exercise=A46)*(WL_Date=H46),WL_Reps&amp;"×"&amp;WL_Weight,"")),""))</f>
        <v/>
      </c>
    </row>
    <row r="47">
      <c r="F47" s="8">
        <f>IF(A47="","",IFERROR(MAXIFS(WL_Weight,WL_Exercise,A47),""))</f>
        <v/>
      </c>
      <c r="G47" s="8">
        <f>IF(A47="","",IFERROR(MAXIFS(WL_e1RM,WL_Exercise,A47),""))</f>
        <v/>
      </c>
      <c r="H47" s="7">
        <f>IF(A47="","",IFERROR(MAXIFS(WL_Date,WL_Exercise,A47),""))</f>
        <v/>
      </c>
      <c r="I47">
        <f>IF(OR(A47="",H47=""),"",IFERROR(TEXTJOIN(", ",TRUE,IF((WL_Exercise=A47)*(WL_Date=H47),WL_Reps&amp;"×"&amp;WL_Weight,"")),""))</f>
        <v/>
      </c>
    </row>
    <row r="48">
      <c r="F48" s="8">
        <f>IF(A48="","",IFERROR(MAXIFS(WL_Weight,WL_Exercise,A48),""))</f>
        <v/>
      </c>
      <c r="G48" s="8">
        <f>IF(A48="","",IFERROR(MAXIFS(WL_e1RM,WL_Exercise,A48),""))</f>
        <v/>
      </c>
      <c r="H48" s="7">
        <f>IF(A48="","",IFERROR(MAXIFS(WL_Date,WL_Exercise,A48),""))</f>
        <v/>
      </c>
      <c r="I48">
        <f>IF(OR(A48="",H48=""),"",IFERROR(TEXTJOIN(", ",TRUE,IF((WL_Exercise=A48)*(WL_Date=H48),WL_Reps&amp;"×"&amp;WL_Weight,"")),""))</f>
        <v/>
      </c>
    </row>
    <row r="49">
      <c r="F49" s="8">
        <f>IF(A49="","",IFERROR(MAXIFS(WL_Weight,WL_Exercise,A49),""))</f>
        <v/>
      </c>
      <c r="G49" s="8">
        <f>IF(A49="","",IFERROR(MAXIFS(WL_e1RM,WL_Exercise,A49),""))</f>
        <v/>
      </c>
      <c r="H49" s="7">
        <f>IF(A49="","",IFERROR(MAXIFS(WL_Date,WL_Exercise,A49),""))</f>
        <v/>
      </c>
      <c r="I49">
        <f>IF(OR(A49="",H49=""),"",IFERROR(TEXTJOIN(", ",TRUE,IF((WL_Exercise=A49)*(WL_Date=H49),WL_Reps&amp;"×"&amp;WL_Weight,"")),""))</f>
        <v/>
      </c>
    </row>
    <row r="50">
      <c r="F50" s="8">
        <f>IF(A50="","",IFERROR(MAXIFS(WL_Weight,WL_Exercise,A50),""))</f>
        <v/>
      </c>
      <c r="G50" s="8">
        <f>IF(A50="","",IFERROR(MAXIFS(WL_e1RM,WL_Exercise,A50),""))</f>
        <v/>
      </c>
      <c r="H50" s="7">
        <f>IF(A50="","",IFERROR(MAXIFS(WL_Date,WL_Exercise,A50),""))</f>
        <v/>
      </c>
      <c r="I50">
        <f>IF(OR(A50="",H50=""),"",IFERROR(TEXTJOIN(", ",TRUE,IF((WL_Exercise=A50)*(WL_Date=H50),WL_Reps&amp;"×"&amp;WL_Weight,"")),""))</f>
        <v/>
      </c>
    </row>
    <row r="51">
      <c r="F51" s="8">
        <f>IF(A51="","",IFERROR(MAXIFS(WL_Weight,WL_Exercise,A51),""))</f>
        <v/>
      </c>
      <c r="G51" s="8">
        <f>IF(A51="","",IFERROR(MAXIFS(WL_e1RM,WL_Exercise,A51),""))</f>
        <v/>
      </c>
      <c r="H51" s="7">
        <f>IF(A51="","",IFERROR(MAXIFS(WL_Date,WL_Exercise,A51),""))</f>
        <v/>
      </c>
      <c r="I51">
        <f>IF(OR(A51="",H51=""),"",IFERROR(TEXTJOIN(", ",TRUE,IF((WL_Exercise=A51)*(WL_Date=H51),WL_Reps&amp;"×"&amp;WL_Weight,"")),""))</f>
        <v/>
      </c>
    </row>
    <row r="52">
      <c r="F52" s="8">
        <f>IF(A52="","",IFERROR(MAXIFS(WL_Weight,WL_Exercise,A52),""))</f>
        <v/>
      </c>
      <c r="G52" s="8">
        <f>IF(A52="","",IFERROR(MAXIFS(WL_e1RM,WL_Exercise,A52),""))</f>
        <v/>
      </c>
      <c r="H52" s="7">
        <f>IF(A52="","",IFERROR(MAXIFS(WL_Date,WL_Exercise,A52),""))</f>
        <v/>
      </c>
      <c r="I52">
        <f>IF(OR(A52="",H52=""),"",IFERROR(TEXTJOIN(", ",TRUE,IF((WL_Exercise=A52)*(WL_Date=H52),WL_Reps&amp;"×"&amp;WL_Weight,"")),""))</f>
        <v/>
      </c>
    </row>
    <row r="53">
      <c r="F53" s="8">
        <f>IF(A53="","",IFERROR(MAXIFS(WL_Weight,WL_Exercise,A53),""))</f>
        <v/>
      </c>
      <c r="G53" s="8">
        <f>IF(A53="","",IFERROR(MAXIFS(WL_e1RM,WL_Exercise,A53),""))</f>
        <v/>
      </c>
      <c r="H53" s="7">
        <f>IF(A53="","",IFERROR(MAXIFS(WL_Date,WL_Exercise,A53),""))</f>
        <v/>
      </c>
      <c r="I53">
        <f>IF(OR(A53="",H53=""),"",IFERROR(TEXTJOIN(", ",TRUE,IF((WL_Exercise=A53)*(WL_Date=H53),WL_Reps&amp;"×"&amp;WL_Weight,"")),""))</f>
        <v/>
      </c>
    </row>
    <row r="54">
      <c r="F54" s="8">
        <f>IF(A54="","",IFERROR(MAXIFS(WL_Weight,WL_Exercise,A54),""))</f>
        <v/>
      </c>
      <c r="G54" s="8">
        <f>IF(A54="","",IFERROR(MAXIFS(WL_e1RM,WL_Exercise,A54),""))</f>
        <v/>
      </c>
      <c r="H54" s="7">
        <f>IF(A54="","",IFERROR(MAXIFS(WL_Date,WL_Exercise,A54),""))</f>
        <v/>
      </c>
      <c r="I54">
        <f>IF(OR(A54="",H54=""),"",IFERROR(TEXTJOIN(", ",TRUE,IF((WL_Exercise=A54)*(WL_Date=H54),WL_Reps&amp;"×"&amp;WL_Weight,"")),""))</f>
        <v/>
      </c>
    </row>
    <row r="55">
      <c r="F55" s="8">
        <f>IF(A55="","",IFERROR(MAXIFS(WL_Weight,WL_Exercise,A55),""))</f>
        <v/>
      </c>
      <c r="G55" s="8">
        <f>IF(A55="","",IFERROR(MAXIFS(WL_e1RM,WL_Exercise,A55),""))</f>
        <v/>
      </c>
      <c r="H55" s="7">
        <f>IF(A55="","",IFERROR(MAXIFS(WL_Date,WL_Exercise,A55),""))</f>
        <v/>
      </c>
      <c r="I55">
        <f>IF(OR(A55="",H55=""),"",IFERROR(TEXTJOIN(", ",TRUE,IF((WL_Exercise=A55)*(WL_Date=H55),WL_Reps&amp;"×"&amp;WL_Weight,"")),""))</f>
        <v/>
      </c>
    </row>
    <row r="56">
      <c r="F56" s="8">
        <f>IF(A56="","",IFERROR(MAXIFS(WL_Weight,WL_Exercise,A56),""))</f>
        <v/>
      </c>
      <c r="G56" s="8">
        <f>IF(A56="","",IFERROR(MAXIFS(WL_e1RM,WL_Exercise,A56),""))</f>
        <v/>
      </c>
      <c r="H56" s="7">
        <f>IF(A56="","",IFERROR(MAXIFS(WL_Date,WL_Exercise,A56),""))</f>
        <v/>
      </c>
      <c r="I56">
        <f>IF(OR(A56="",H56=""),"",IFERROR(TEXTJOIN(", ",TRUE,IF((WL_Exercise=A56)*(WL_Date=H56),WL_Reps&amp;"×"&amp;WL_Weight,"")),""))</f>
        <v/>
      </c>
    </row>
    <row r="57">
      <c r="F57" s="8">
        <f>IF(A57="","",IFERROR(MAXIFS(WL_Weight,WL_Exercise,A57),""))</f>
        <v/>
      </c>
      <c r="G57" s="8">
        <f>IF(A57="","",IFERROR(MAXIFS(WL_e1RM,WL_Exercise,A57),""))</f>
        <v/>
      </c>
      <c r="H57" s="7">
        <f>IF(A57="","",IFERROR(MAXIFS(WL_Date,WL_Exercise,A57),""))</f>
        <v/>
      </c>
      <c r="I57">
        <f>IF(OR(A57="",H57=""),"",IFERROR(TEXTJOIN(", ",TRUE,IF((WL_Exercise=A57)*(WL_Date=H57),WL_Reps&amp;"×"&amp;WL_Weight,"")),""))</f>
        <v/>
      </c>
    </row>
    <row r="58">
      <c r="F58" s="8">
        <f>IF(A58="","",IFERROR(MAXIFS(WL_Weight,WL_Exercise,A58),""))</f>
        <v/>
      </c>
      <c r="G58" s="8">
        <f>IF(A58="","",IFERROR(MAXIFS(WL_e1RM,WL_Exercise,A58),""))</f>
        <v/>
      </c>
      <c r="H58" s="7">
        <f>IF(A58="","",IFERROR(MAXIFS(WL_Date,WL_Exercise,A58),""))</f>
        <v/>
      </c>
      <c r="I58">
        <f>IF(OR(A58="",H58=""),"",IFERROR(TEXTJOIN(", ",TRUE,IF((WL_Exercise=A58)*(WL_Date=H58),WL_Reps&amp;"×"&amp;WL_Weight,"")),""))</f>
        <v/>
      </c>
    </row>
    <row r="59">
      <c r="F59" s="8">
        <f>IF(A59="","",IFERROR(MAXIFS(WL_Weight,WL_Exercise,A59),""))</f>
        <v/>
      </c>
      <c r="G59" s="8">
        <f>IF(A59="","",IFERROR(MAXIFS(WL_e1RM,WL_Exercise,A59),""))</f>
        <v/>
      </c>
      <c r="H59" s="7">
        <f>IF(A59="","",IFERROR(MAXIFS(WL_Date,WL_Exercise,A59),""))</f>
        <v/>
      </c>
      <c r="I59">
        <f>IF(OR(A59="",H59=""),"",IFERROR(TEXTJOIN(", ",TRUE,IF((WL_Exercise=A59)*(WL_Date=H59),WL_Reps&amp;"×"&amp;WL_Weight,"")),""))</f>
        <v/>
      </c>
    </row>
    <row r="60">
      <c r="F60" s="8">
        <f>IF(A60="","",IFERROR(MAXIFS(WL_Weight,WL_Exercise,A60),""))</f>
        <v/>
      </c>
      <c r="G60" s="8">
        <f>IF(A60="","",IFERROR(MAXIFS(WL_e1RM,WL_Exercise,A60),""))</f>
        <v/>
      </c>
      <c r="H60" s="7">
        <f>IF(A60="","",IFERROR(MAXIFS(WL_Date,WL_Exercise,A60),""))</f>
        <v/>
      </c>
      <c r="I60">
        <f>IF(OR(A60="",H60=""),"",IFERROR(TEXTJOIN(", ",TRUE,IF((WL_Exercise=A60)*(WL_Date=H60),WL_Reps&amp;"×"&amp;WL_Weight,"")),""))</f>
        <v/>
      </c>
    </row>
    <row r="61">
      <c r="F61" s="8">
        <f>IF(A61="","",IFERROR(MAXIFS(WL_Weight,WL_Exercise,A61),""))</f>
        <v/>
      </c>
      <c r="G61" s="8">
        <f>IF(A61="","",IFERROR(MAXIFS(WL_e1RM,WL_Exercise,A61),""))</f>
        <v/>
      </c>
      <c r="H61" s="7">
        <f>IF(A61="","",IFERROR(MAXIFS(WL_Date,WL_Exercise,A61),""))</f>
        <v/>
      </c>
      <c r="I61">
        <f>IF(OR(A61="",H61=""),"",IFERROR(TEXTJOIN(", ",TRUE,IF((WL_Exercise=A61)*(WL_Date=H61),WL_Reps&amp;"×"&amp;WL_Weight,"")),""))</f>
        <v/>
      </c>
    </row>
    <row r="62">
      <c r="F62" s="8">
        <f>IF(A62="","",IFERROR(MAXIFS(WL_Weight,WL_Exercise,A62),""))</f>
        <v/>
      </c>
      <c r="G62" s="8">
        <f>IF(A62="","",IFERROR(MAXIFS(WL_e1RM,WL_Exercise,A62),""))</f>
        <v/>
      </c>
      <c r="H62" s="7">
        <f>IF(A62="","",IFERROR(MAXIFS(WL_Date,WL_Exercise,A62),""))</f>
        <v/>
      </c>
      <c r="I62">
        <f>IF(OR(A62="",H62=""),"",IFERROR(TEXTJOIN(", ",TRUE,IF((WL_Exercise=A62)*(WL_Date=H62),WL_Reps&amp;"×"&amp;WL_Weight,"")),""))</f>
        <v/>
      </c>
    </row>
    <row r="63">
      <c r="F63" s="8">
        <f>IF(A63="","",IFERROR(MAXIFS(WL_Weight,WL_Exercise,A63),""))</f>
        <v/>
      </c>
      <c r="G63" s="8">
        <f>IF(A63="","",IFERROR(MAXIFS(WL_e1RM,WL_Exercise,A63),""))</f>
        <v/>
      </c>
      <c r="H63" s="7">
        <f>IF(A63="","",IFERROR(MAXIFS(WL_Date,WL_Exercise,A63),""))</f>
        <v/>
      </c>
      <c r="I63">
        <f>IF(OR(A63="",H63=""),"",IFERROR(TEXTJOIN(", ",TRUE,IF((WL_Exercise=A63)*(WL_Date=H63),WL_Reps&amp;"×"&amp;WL_Weight,"")),""))</f>
        <v/>
      </c>
    </row>
    <row r="64">
      <c r="F64" s="8">
        <f>IF(A64="","",IFERROR(MAXIFS(WL_Weight,WL_Exercise,A64),""))</f>
        <v/>
      </c>
      <c r="G64" s="8">
        <f>IF(A64="","",IFERROR(MAXIFS(WL_e1RM,WL_Exercise,A64),""))</f>
        <v/>
      </c>
      <c r="H64" s="7">
        <f>IF(A64="","",IFERROR(MAXIFS(WL_Date,WL_Exercise,A64),""))</f>
        <v/>
      </c>
      <c r="I64">
        <f>IF(OR(A64="",H64=""),"",IFERROR(TEXTJOIN(", ",TRUE,IF((WL_Exercise=A64)*(WL_Date=H64),WL_Reps&amp;"×"&amp;WL_Weight,"")),""))</f>
        <v/>
      </c>
    </row>
    <row r="65">
      <c r="F65" s="8">
        <f>IF(A65="","",IFERROR(MAXIFS(WL_Weight,WL_Exercise,A65),""))</f>
        <v/>
      </c>
      <c r="G65" s="8">
        <f>IF(A65="","",IFERROR(MAXIFS(WL_e1RM,WL_Exercise,A65),""))</f>
        <v/>
      </c>
      <c r="H65" s="7">
        <f>IF(A65="","",IFERROR(MAXIFS(WL_Date,WL_Exercise,A65),""))</f>
        <v/>
      </c>
      <c r="I65">
        <f>IF(OR(A65="",H65=""),"",IFERROR(TEXTJOIN(", ",TRUE,IF((WL_Exercise=A65)*(WL_Date=H65),WL_Reps&amp;"×"&amp;WL_Weight,"")),""))</f>
        <v/>
      </c>
    </row>
    <row r="66">
      <c r="F66" s="8">
        <f>IF(A66="","",IFERROR(MAXIFS(WL_Weight,WL_Exercise,A66),""))</f>
        <v/>
      </c>
      <c r="G66" s="8">
        <f>IF(A66="","",IFERROR(MAXIFS(WL_e1RM,WL_Exercise,A66),""))</f>
        <v/>
      </c>
      <c r="H66" s="7">
        <f>IF(A66="","",IFERROR(MAXIFS(WL_Date,WL_Exercise,A66),""))</f>
        <v/>
      </c>
      <c r="I66">
        <f>IF(OR(A66="",H66=""),"",IFERROR(TEXTJOIN(", ",TRUE,IF((WL_Exercise=A66)*(WL_Date=H66),WL_Reps&amp;"×"&amp;WL_Weight,"")),""))</f>
        <v/>
      </c>
    </row>
    <row r="67">
      <c r="F67" s="8">
        <f>IF(A67="","",IFERROR(MAXIFS(WL_Weight,WL_Exercise,A67),""))</f>
        <v/>
      </c>
      <c r="G67" s="8">
        <f>IF(A67="","",IFERROR(MAXIFS(WL_e1RM,WL_Exercise,A67),""))</f>
        <v/>
      </c>
      <c r="H67" s="7">
        <f>IF(A67="","",IFERROR(MAXIFS(WL_Date,WL_Exercise,A67),""))</f>
        <v/>
      </c>
      <c r="I67">
        <f>IF(OR(A67="",H67=""),"",IFERROR(TEXTJOIN(", ",TRUE,IF((WL_Exercise=A67)*(WL_Date=H67),WL_Reps&amp;"×"&amp;WL_Weight,"")),""))</f>
        <v/>
      </c>
    </row>
    <row r="68">
      <c r="F68" s="8">
        <f>IF(A68="","",IFERROR(MAXIFS(WL_Weight,WL_Exercise,A68),""))</f>
        <v/>
      </c>
      <c r="G68" s="8">
        <f>IF(A68="","",IFERROR(MAXIFS(WL_e1RM,WL_Exercise,A68),""))</f>
        <v/>
      </c>
      <c r="H68" s="7">
        <f>IF(A68="","",IFERROR(MAXIFS(WL_Date,WL_Exercise,A68),""))</f>
        <v/>
      </c>
      <c r="I68">
        <f>IF(OR(A68="",H68=""),"",IFERROR(TEXTJOIN(", ",TRUE,IF((WL_Exercise=A68)*(WL_Date=H68),WL_Reps&amp;"×"&amp;WL_Weight,"")),""))</f>
        <v/>
      </c>
    </row>
    <row r="69">
      <c r="F69" s="8">
        <f>IF(A69="","",IFERROR(MAXIFS(WL_Weight,WL_Exercise,A69),""))</f>
        <v/>
      </c>
      <c r="G69" s="8">
        <f>IF(A69="","",IFERROR(MAXIFS(WL_e1RM,WL_Exercise,A69),""))</f>
        <v/>
      </c>
      <c r="H69" s="7">
        <f>IF(A69="","",IFERROR(MAXIFS(WL_Date,WL_Exercise,A69),""))</f>
        <v/>
      </c>
      <c r="I69">
        <f>IF(OR(A69="",H69=""),"",IFERROR(TEXTJOIN(", ",TRUE,IF((WL_Exercise=A69)*(WL_Date=H69),WL_Reps&amp;"×"&amp;WL_Weight,"")),""))</f>
        <v/>
      </c>
    </row>
    <row r="70">
      <c r="F70" s="8">
        <f>IF(A70="","",IFERROR(MAXIFS(WL_Weight,WL_Exercise,A70),""))</f>
        <v/>
      </c>
      <c r="G70" s="8">
        <f>IF(A70="","",IFERROR(MAXIFS(WL_e1RM,WL_Exercise,A70),""))</f>
        <v/>
      </c>
      <c r="H70" s="7">
        <f>IF(A70="","",IFERROR(MAXIFS(WL_Date,WL_Exercise,A70),""))</f>
        <v/>
      </c>
      <c r="I70">
        <f>IF(OR(A70="",H70=""),"",IFERROR(TEXTJOIN(", ",TRUE,IF((WL_Exercise=A70)*(WL_Date=H70),WL_Reps&amp;"×"&amp;WL_Weight,"")),""))</f>
        <v/>
      </c>
    </row>
    <row r="71">
      <c r="F71" s="8">
        <f>IF(A71="","",IFERROR(MAXIFS(WL_Weight,WL_Exercise,A71),""))</f>
        <v/>
      </c>
      <c r="G71" s="8">
        <f>IF(A71="","",IFERROR(MAXIFS(WL_e1RM,WL_Exercise,A71),""))</f>
        <v/>
      </c>
      <c r="H71" s="7">
        <f>IF(A71="","",IFERROR(MAXIFS(WL_Date,WL_Exercise,A71),""))</f>
        <v/>
      </c>
      <c r="I71">
        <f>IF(OR(A71="",H71=""),"",IFERROR(TEXTJOIN(", ",TRUE,IF((WL_Exercise=A71)*(WL_Date=H71),WL_Reps&amp;"×"&amp;WL_Weight,"")),""))</f>
        <v/>
      </c>
    </row>
    <row r="72">
      <c r="F72" s="8">
        <f>IF(A72="","",IFERROR(MAXIFS(WL_Weight,WL_Exercise,A72),""))</f>
        <v/>
      </c>
      <c r="G72" s="8">
        <f>IF(A72="","",IFERROR(MAXIFS(WL_e1RM,WL_Exercise,A72),""))</f>
        <v/>
      </c>
      <c r="H72" s="7">
        <f>IF(A72="","",IFERROR(MAXIFS(WL_Date,WL_Exercise,A72),""))</f>
        <v/>
      </c>
      <c r="I72">
        <f>IF(OR(A72="",H72=""),"",IFERROR(TEXTJOIN(", ",TRUE,IF((WL_Exercise=A72)*(WL_Date=H72),WL_Reps&amp;"×"&amp;WL_Weight,"")),""))</f>
        <v/>
      </c>
    </row>
    <row r="73">
      <c r="F73" s="8">
        <f>IF(A73="","",IFERROR(MAXIFS(WL_Weight,WL_Exercise,A73),""))</f>
        <v/>
      </c>
      <c r="G73" s="8">
        <f>IF(A73="","",IFERROR(MAXIFS(WL_e1RM,WL_Exercise,A73),""))</f>
        <v/>
      </c>
      <c r="H73" s="7">
        <f>IF(A73="","",IFERROR(MAXIFS(WL_Date,WL_Exercise,A73),""))</f>
        <v/>
      </c>
      <c r="I73">
        <f>IF(OR(A73="",H73=""),"",IFERROR(TEXTJOIN(", ",TRUE,IF((WL_Exercise=A73)*(WL_Date=H73),WL_Reps&amp;"×"&amp;WL_Weight,"")),""))</f>
        <v/>
      </c>
    </row>
    <row r="74">
      <c r="F74" s="8">
        <f>IF(A74="","",IFERROR(MAXIFS(WL_Weight,WL_Exercise,A74),""))</f>
        <v/>
      </c>
      <c r="G74" s="8">
        <f>IF(A74="","",IFERROR(MAXIFS(WL_e1RM,WL_Exercise,A74),""))</f>
        <v/>
      </c>
      <c r="H74" s="7">
        <f>IF(A74="","",IFERROR(MAXIFS(WL_Date,WL_Exercise,A74),""))</f>
        <v/>
      </c>
      <c r="I74">
        <f>IF(OR(A74="",H74=""),"",IFERROR(TEXTJOIN(", ",TRUE,IF((WL_Exercise=A74)*(WL_Date=H74),WL_Reps&amp;"×"&amp;WL_Weight,"")),""))</f>
        <v/>
      </c>
    </row>
    <row r="75">
      <c r="F75" s="8">
        <f>IF(A75="","",IFERROR(MAXIFS(WL_Weight,WL_Exercise,A75),""))</f>
        <v/>
      </c>
      <c r="G75" s="8">
        <f>IF(A75="","",IFERROR(MAXIFS(WL_e1RM,WL_Exercise,A75),""))</f>
        <v/>
      </c>
      <c r="H75" s="7">
        <f>IF(A75="","",IFERROR(MAXIFS(WL_Date,WL_Exercise,A75),""))</f>
        <v/>
      </c>
      <c r="I75">
        <f>IF(OR(A75="",H75=""),"",IFERROR(TEXTJOIN(", ",TRUE,IF((WL_Exercise=A75)*(WL_Date=H75),WL_Reps&amp;"×"&amp;WL_Weight,"")),""))</f>
        <v/>
      </c>
    </row>
    <row r="76">
      <c r="F76" s="8">
        <f>IF(A76="","",IFERROR(MAXIFS(WL_Weight,WL_Exercise,A76),""))</f>
        <v/>
      </c>
      <c r="G76" s="8">
        <f>IF(A76="","",IFERROR(MAXIFS(WL_e1RM,WL_Exercise,A76),""))</f>
        <v/>
      </c>
      <c r="H76" s="7">
        <f>IF(A76="","",IFERROR(MAXIFS(WL_Date,WL_Exercise,A76),""))</f>
        <v/>
      </c>
      <c r="I76">
        <f>IF(OR(A76="",H76=""),"",IFERROR(TEXTJOIN(", ",TRUE,IF((WL_Exercise=A76)*(WL_Date=H76),WL_Reps&amp;"×"&amp;WL_Weight,"")),""))</f>
        <v/>
      </c>
    </row>
    <row r="77">
      <c r="F77" s="8">
        <f>IF(A77="","",IFERROR(MAXIFS(WL_Weight,WL_Exercise,A77),""))</f>
        <v/>
      </c>
      <c r="G77" s="8">
        <f>IF(A77="","",IFERROR(MAXIFS(WL_e1RM,WL_Exercise,A77),""))</f>
        <v/>
      </c>
      <c r="H77" s="7">
        <f>IF(A77="","",IFERROR(MAXIFS(WL_Date,WL_Exercise,A77),""))</f>
        <v/>
      </c>
      <c r="I77">
        <f>IF(OR(A77="",H77=""),"",IFERROR(TEXTJOIN(", ",TRUE,IF((WL_Exercise=A77)*(WL_Date=H77),WL_Reps&amp;"×"&amp;WL_Weight,"")),""))</f>
        <v/>
      </c>
    </row>
    <row r="78">
      <c r="F78" s="8">
        <f>IF(A78="","",IFERROR(MAXIFS(WL_Weight,WL_Exercise,A78),""))</f>
        <v/>
      </c>
      <c r="G78" s="8">
        <f>IF(A78="","",IFERROR(MAXIFS(WL_e1RM,WL_Exercise,A78),""))</f>
        <v/>
      </c>
      <c r="H78" s="7">
        <f>IF(A78="","",IFERROR(MAXIFS(WL_Date,WL_Exercise,A78),""))</f>
        <v/>
      </c>
      <c r="I78">
        <f>IF(OR(A78="",H78=""),"",IFERROR(TEXTJOIN(", ",TRUE,IF((WL_Exercise=A78)*(WL_Date=H78),WL_Reps&amp;"×"&amp;WL_Weight,"")),""))</f>
        <v/>
      </c>
    </row>
    <row r="79">
      <c r="F79" s="8">
        <f>IF(A79="","",IFERROR(MAXIFS(WL_Weight,WL_Exercise,A79),""))</f>
        <v/>
      </c>
      <c r="G79" s="8">
        <f>IF(A79="","",IFERROR(MAXIFS(WL_e1RM,WL_Exercise,A79),""))</f>
        <v/>
      </c>
      <c r="H79" s="7">
        <f>IF(A79="","",IFERROR(MAXIFS(WL_Date,WL_Exercise,A79),""))</f>
        <v/>
      </c>
      <c r="I79">
        <f>IF(OR(A79="",H79=""),"",IFERROR(TEXTJOIN(", ",TRUE,IF((WL_Exercise=A79)*(WL_Date=H79),WL_Reps&amp;"×"&amp;WL_Weight,"")),""))</f>
        <v/>
      </c>
    </row>
    <row r="80">
      <c r="F80" s="8">
        <f>IF(A80="","",IFERROR(MAXIFS(WL_Weight,WL_Exercise,A80),""))</f>
        <v/>
      </c>
      <c r="G80" s="8">
        <f>IF(A80="","",IFERROR(MAXIFS(WL_e1RM,WL_Exercise,A80),""))</f>
        <v/>
      </c>
      <c r="H80" s="7">
        <f>IF(A80="","",IFERROR(MAXIFS(WL_Date,WL_Exercise,A80),""))</f>
        <v/>
      </c>
      <c r="I80">
        <f>IF(OR(A80="",H80=""),"",IFERROR(TEXTJOIN(", ",TRUE,IF((WL_Exercise=A80)*(WL_Date=H80),WL_Reps&amp;"×"&amp;WL_Weight,"")),""))</f>
        <v/>
      </c>
    </row>
    <row r="81">
      <c r="F81" s="8">
        <f>IF(A81="","",IFERROR(MAXIFS(WL_Weight,WL_Exercise,A81),""))</f>
        <v/>
      </c>
      <c r="G81" s="8">
        <f>IF(A81="","",IFERROR(MAXIFS(WL_e1RM,WL_Exercise,A81),""))</f>
        <v/>
      </c>
      <c r="H81" s="7">
        <f>IF(A81="","",IFERROR(MAXIFS(WL_Date,WL_Exercise,A81),""))</f>
        <v/>
      </c>
      <c r="I81">
        <f>IF(OR(A81="",H81=""),"",IFERROR(TEXTJOIN(", ",TRUE,IF((WL_Exercise=A81)*(WL_Date=H81),WL_Reps&amp;"×"&amp;WL_Weight,"")),""))</f>
        <v/>
      </c>
    </row>
    <row r="82">
      <c r="F82" s="8">
        <f>IF(A82="","",IFERROR(MAXIFS(WL_Weight,WL_Exercise,A82),""))</f>
        <v/>
      </c>
      <c r="G82" s="8">
        <f>IF(A82="","",IFERROR(MAXIFS(WL_e1RM,WL_Exercise,A82),""))</f>
        <v/>
      </c>
      <c r="H82" s="7">
        <f>IF(A82="","",IFERROR(MAXIFS(WL_Date,WL_Exercise,A82),""))</f>
        <v/>
      </c>
      <c r="I82">
        <f>IF(OR(A82="",H82=""),"",IFERROR(TEXTJOIN(", ",TRUE,IF((WL_Exercise=A82)*(WL_Date=H82),WL_Reps&amp;"×"&amp;WL_Weight,"")),""))</f>
        <v/>
      </c>
    </row>
    <row r="83">
      <c r="F83" s="8">
        <f>IF(A83="","",IFERROR(MAXIFS(WL_Weight,WL_Exercise,A83),""))</f>
        <v/>
      </c>
      <c r="G83" s="8">
        <f>IF(A83="","",IFERROR(MAXIFS(WL_e1RM,WL_Exercise,A83),""))</f>
        <v/>
      </c>
      <c r="H83" s="7">
        <f>IF(A83="","",IFERROR(MAXIFS(WL_Date,WL_Exercise,A83),""))</f>
        <v/>
      </c>
      <c r="I83">
        <f>IF(OR(A83="",H83=""),"",IFERROR(TEXTJOIN(", ",TRUE,IF((WL_Exercise=A83)*(WL_Date=H83),WL_Reps&amp;"×"&amp;WL_Weight,"")),""))</f>
        <v/>
      </c>
    </row>
    <row r="84">
      <c r="F84" s="8">
        <f>IF(A84="","",IFERROR(MAXIFS(WL_Weight,WL_Exercise,A84),""))</f>
        <v/>
      </c>
      <c r="G84" s="8">
        <f>IF(A84="","",IFERROR(MAXIFS(WL_e1RM,WL_Exercise,A84),""))</f>
        <v/>
      </c>
      <c r="H84" s="7">
        <f>IF(A84="","",IFERROR(MAXIFS(WL_Date,WL_Exercise,A84),""))</f>
        <v/>
      </c>
      <c r="I84">
        <f>IF(OR(A84="",H84=""),"",IFERROR(TEXTJOIN(", ",TRUE,IF((WL_Exercise=A84)*(WL_Date=H84),WL_Reps&amp;"×"&amp;WL_Weight,"")),""))</f>
        <v/>
      </c>
    </row>
    <row r="85">
      <c r="F85" s="8">
        <f>IF(A85="","",IFERROR(MAXIFS(WL_Weight,WL_Exercise,A85),""))</f>
        <v/>
      </c>
      <c r="G85" s="8">
        <f>IF(A85="","",IFERROR(MAXIFS(WL_e1RM,WL_Exercise,A85),""))</f>
        <v/>
      </c>
      <c r="H85" s="7">
        <f>IF(A85="","",IFERROR(MAXIFS(WL_Date,WL_Exercise,A85),""))</f>
        <v/>
      </c>
      <c r="I85">
        <f>IF(OR(A85="",H85=""),"",IFERROR(TEXTJOIN(", ",TRUE,IF((WL_Exercise=A85)*(WL_Date=H85),WL_Reps&amp;"×"&amp;WL_Weight,"")),""))</f>
        <v/>
      </c>
    </row>
    <row r="86">
      <c r="F86" s="8">
        <f>IF(A86="","",IFERROR(MAXIFS(WL_Weight,WL_Exercise,A86),""))</f>
        <v/>
      </c>
      <c r="G86" s="8">
        <f>IF(A86="","",IFERROR(MAXIFS(WL_e1RM,WL_Exercise,A86),""))</f>
        <v/>
      </c>
      <c r="H86" s="7">
        <f>IF(A86="","",IFERROR(MAXIFS(WL_Date,WL_Exercise,A86),""))</f>
        <v/>
      </c>
      <c r="I86">
        <f>IF(OR(A86="",H86=""),"",IFERROR(TEXTJOIN(", ",TRUE,IF((WL_Exercise=A86)*(WL_Date=H86),WL_Reps&amp;"×"&amp;WL_Weight,"")),""))</f>
        <v/>
      </c>
    </row>
    <row r="87">
      <c r="F87" s="8">
        <f>IF(A87="","",IFERROR(MAXIFS(WL_Weight,WL_Exercise,A87),""))</f>
        <v/>
      </c>
      <c r="G87" s="8">
        <f>IF(A87="","",IFERROR(MAXIFS(WL_e1RM,WL_Exercise,A87),""))</f>
        <v/>
      </c>
      <c r="H87" s="7">
        <f>IF(A87="","",IFERROR(MAXIFS(WL_Date,WL_Exercise,A87),""))</f>
        <v/>
      </c>
      <c r="I87">
        <f>IF(OR(A87="",H87=""),"",IFERROR(TEXTJOIN(", ",TRUE,IF((WL_Exercise=A87)*(WL_Date=H87),WL_Reps&amp;"×"&amp;WL_Weight,"")),""))</f>
        <v/>
      </c>
    </row>
    <row r="88">
      <c r="F88" s="8">
        <f>IF(A88="","",IFERROR(MAXIFS(WL_Weight,WL_Exercise,A88),""))</f>
        <v/>
      </c>
      <c r="G88" s="8">
        <f>IF(A88="","",IFERROR(MAXIFS(WL_e1RM,WL_Exercise,A88),""))</f>
        <v/>
      </c>
      <c r="H88" s="7">
        <f>IF(A88="","",IFERROR(MAXIFS(WL_Date,WL_Exercise,A88),""))</f>
        <v/>
      </c>
      <c r="I88">
        <f>IF(OR(A88="",H88=""),"",IFERROR(TEXTJOIN(", ",TRUE,IF((WL_Exercise=A88)*(WL_Date=H88),WL_Reps&amp;"×"&amp;WL_Weight,"")),""))</f>
        <v/>
      </c>
    </row>
    <row r="89">
      <c r="F89" s="8">
        <f>IF(A89="","",IFERROR(MAXIFS(WL_Weight,WL_Exercise,A89),""))</f>
        <v/>
      </c>
      <c r="G89" s="8">
        <f>IF(A89="","",IFERROR(MAXIFS(WL_e1RM,WL_Exercise,A89),""))</f>
        <v/>
      </c>
      <c r="H89" s="7">
        <f>IF(A89="","",IFERROR(MAXIFS(WL_Date,WL_Exercise,A89),""))</f>
        <v/>
      </c>
      <c r="I89">
        <f>IF(OR(A89="",H89=""),"",IFERROR(TEXTJOIN(", ",TRUE,IF((WL_Exercise=A89)*(WL_Date=H89),WL_Reps&amp;"×"&amp;WL_Weight,"")),""))</f>
        <v/>
      </c>
    </row>
    <row r="90">
      <c r="F90" s="8">
        <f>IF(A90="","",IFERROR(MAXIFS(WL_Weight,WL_Exercise,A90),""))</f>
        <v/>
      </c>
      <c r="G90" s="8">
        <f>IF(A90="","",IFERROR(MAXIFS(WL_e1RM,WL_Exercise,A90),""))</f>
        <v/>
      </c>
      <c r="H90" s="7">
        <f>IF(A90="","",IFERROR(MAXIFS(WL_Date,WL_Exercise,A90),""))</f>
        <v/>
      </c>
      <c r="I90">
        <f>IF(OR(A90="",H90=""),"",IFERROR(TEXTJOIN(", ",TRUE,IF((WL_Exercise=A90)*(WL_Date=H90),WL_Reps&amp;"×"&amp;WL_Weight,"")),""))</f>
        <v/>
      </c>
    </row>
    <row r="91">
      <c r="F91" s="8">
        <f>IF(A91="","",IFERROR(MAXIFS(WL_Weight,WL_Exercise,A91),""))</f>
        <v/>
      </c>
      <c r="G91" s="8">
        <f>IF(A91="","",IFERROR(MAXIFS(WL_e1RM,WL_Exercise,A91),""))</f>
        <v/>
      </c>
      <c r="H91" s="7">
        <f>IF(A91="","",IFERROR(MAXIFS(WL_Date,WL_Exercise,A91),""))</f>
        <v/>
      </c>
      <c r="I91">
        <f>IF(OR(A91="",H91=""),"",IFERROR(TEXTJOIN(", ",TRUE,IF((WL_Exercise=A91)*(WL_Date=H91),WL_Reps&amp;"×"&amp;WL_Weight,"")),""))</f>
        <v/>
      </c>
    </row>
    <row r="92">
      <c r="F92" s="8">
        <f>IF(A92="","",IFERROR(MAXIFS(WL_Weight,WL_Exercise,A92),""))</f>
        <v/>
      </c>
      <c r="G92" s="8">
        <f>IF(A92="","",IFERROR(MAXIFS(WL_e1RM,WL_Exercise,A92),""))</f>
        <v/>
      </c>
      <c r="H92" s="7">
        <f>IF(A92="","",IFERROR(MAXIFS(WL_Date,WL_Exercise,A92),""))</f>
        <v/>
      </c>
      <c r="I92">
        <f>IF(OR(A92="",H92=""),"",IFERROR(TEXTJOIN(", ",TRUE,IF((WL_Exercise=A92)*(WL_Date=H92),WL_Reps&amp;"×"&amp;WL_Weight,"")),""))</f>
        <v/>
      </c>
    </row>
    <row r="93">
      <c r="F93" s="8">
        <f>IF(A93="","",IFERROR(MAXIFS(WL_Weight,WL_Exercise,A93),""))</f>
        <v/>
      </c>
      <c r="G93" s="8">
        <f>IF(A93="","",IFERROR(MAXIFS(WL_e1RM,WL_Exercise,A93),""))</f>
        <v/>
      </c>
      <c r="H93" s="7">
        <f>IF(A93="","",IFERROR(MAXIFS(WL_Date,WL_Exercise,A93),""))</f>
        <v/>
      </c>
      <c r="I93">
        <f>IF(OR(A93="",H93=""),"",IFERROR(TEXTJOIN(", ",TRUE,IF((WL_Exercise=A93)*(WL_Date=H93),WL_Reps&amp;"×"&amp;WL_Weight,"")),""))</f>
        <v/>
      </c>
    </row>
    <row r="94">
      <c r="F94" s="8">
        <f>IF(A94="","",IFERROR(MAXIFS(WL_Weight,WL_Exercise,A94),""))</f>
        <v/>
      </c>
      <c r="G94" s="8">
        <f>IF(A94="","",IFERROR(MAXIFS(WL_e1RM,WL_Exercise,A94),""))</f>
        <v/>
      </c>
      <c r="H94" s="7">
        <f>IF(A94="","",IFERROR(MAXIFS(WL_Date,WL_Exercise,A94),""))</f>
        <v/>
      </c>
      <c r="I94">
        <f>IF(OR(A94="",H94=""),"",IFERROR(TEXTJOIN(", ",TRUE,IF((WL_Exercise=A94)*(WL_Date=H94),WL_Reps&amp;"×"&amp;WL_Weight,"")),""))</f>
        <v/>
      </c>
    </row>
    <row r="95">
      <c r="F95" s="8">
        <f>IF(A95="","",IFERROR(MAXIFS(WL_Weight,WL_Exercise,A95),""))</f>
        <v/>
      </c>
      <c r="G95" s="8">
        <f>IF(A95="","",IFERROR(MAXIFS(WL_e1RM,WL_Exercise,A95),""))</f>
        <v/>
      </c>
      <c r="H95" s="7">
        <f>IF(A95="","",IFERROR(MAXIFS(WL_Date,WL_Exercise,A95),""))</f>
        <v/>
      </c>
      <c r="I95">
        <f>IF(OR(A95="",H95=""),"",IFERROR(TEXTJOIN(", ",TRUE,IF((WL_Exercise=A95)*(WL_Date=H95),WL_Reps&amp;"×"&amp;WL_Weight,"")),""))</f>
        <v/>
      </c>
    </row>
    <row r="96">
      <c r="F96" s="8">
        <f>IF(A96="","",IFERROR(MAXIFS(WL_Weight,WL_Exercise,A96),""))</f>
        <v/>
      </c>
      <c r="G96" s="8">
        <f>IF(A96="","",IFERROR(MAXIFS(WL_e1RM,WL_Exercise,A96),""))</f>
        <v/>
      </c>
      <c r="H96" s="7">
        <f>IF(A96="","",IFERROR(MAXIFS(WL_Date,WL_Exercise,A96),""))</f>
        <v/>
      </c>
      <c r="I96">
        <f>IF(OR(A96="",H96=""),"",IFERROR(TEXTJOIN(", ",TRUE,IF((WL_Exercise=A96)*(WL_Date=H96),WL_Reps&amp;"×"&amp;WL_Weight,"")),""))</f>
        <v/>
      </c>
    </row>
    <row r="97">
      <c r="F97" s="8">
        <f>IF(A97="","",IFERROR(MAXIFS(WL_Weight,WL_Exercise,A97),""))</f>
        <v/>
      </c>
      <c r="G97" s="8">
        <f>IF(A97="","",IFERROR(MAXIFS(WL_e1RM,WL_Exercise,A97),""))</f>
        <v/>
      </c>
      <c r="H97" s="7">
        <f>IF(A97="","",IFERROR(MAXIFS(WL_Date,WL_Exercise,A97),""))</f>
        <v/>
      </c>
      <c r="I97">
        <f>IF(OR(A97="",H97=""),"",IFERROR(TEXTJOIN(", ",TRUE,IF((WL_Exercise=A97)*(WL_Date=H97),WL_Reps&amp;"×"&amp;WL_Weight,"")),""))</f>
        <v/>
      </c>
    </row>
    <row r="98">
      <c r="F98" s="8">
        <f>IF(A98="","",IFERROR(MAXIFS(WL_Weight,WL_Exercise,A98),""))</f>
        <v/>
      </c>
      <c r="G98" s="8">
        <f>IF(A98="","",IFERROR(MAXIFS(WL_e1RM,WL_Exercise,A98),""))</f>
        <v/>
      </c>
      <c r="H98" s="7">
        <f>IF(A98="","",IFERROR(MAXIFS(WL_Date,WL_Exercise,A98),""))</f>
        <v/>
      </c>
      <c r="I98">
        <f>IF(OR(A98="",H98=""),"",IFERROR(TEXTJOIN(", ",TRUE,IF((WL_Exercise=A98)*(WL_Date=H98),WL_Reps&amp;"×"&amp;WL_Weight,"")),""))</f>
        <v/>
      </c>
    </row>
    <row r="99">
      <c r="F99" s="8">
        <f>IF(A99="","",IFERROR(MAXIFS(WL_Weight,WL_Exercise,A99),""))</f>
        <v/>
      </c>
      <c r="G99" s="8">
        <f>IF(A99="","",IFERROR(MAXIFS(WL_e1RM,WL_Exercise,A99),""))</f>
        <v/>
      </c>
      <c r="H99" s="7">
        <f>IF(A99="","",IFERROR(MAXIFS(WL_Date,WL_Exercise,A99),""))</f>
        <v/>
      </c>
      <c r="I99">
        <f>IF(OR(A99="",H99=""),"",IFERROR(TEXTJOIN(", ",TRUE,IF((WL_Exercise=A99)*(WL_Date=H99),WL_Reps&amp;"×"&amp;WL_Weight,"")),""))</f>
        <v/>
      </c>
    </row>
    <row r="100">
      <c r="F100" s="8">
        <f>IF(A100="","",IFERROR(MAXIFS(WL_Weight,WL_Exercise,A100),""))</f>
        <v/>
      </c>
      <c r="G100" s="8">
        <f>IF(A100="","",IFERROR(MAXIFS(WL_e1RM,WL_Exercise,A100),""))</f>
        <v/>
      </c>
      <c r="H100" s="7">
        <f>IF(A100="","",IFERROR(MAXIFS(WL_Date,WL_Exercise,A100),""))</f>
        <v/>
      </c>
      <c r="I100">
        <f>IF(OR(A100="",H100=""),"",IFERROR(TEXTJOIN(", ",TRUE,IF((WL_Exercise=A100)*(WL_Date=H100),WL_Reps&amp;"×"&amp;WL_Weight,"")),""))</f>
        <v/>
      </c>
    </row>
    <row r="101">
      <c r="F101" s="8">
        <f>IF(A101="","",IFERROR(MAXIFS(WL_Weight,WL_Exercise,A101),""))</f>
        <v/>
      </c>
      <c r="G101" s="8">
        <f>IF(A101="","",IFERROR(MAXIFS(WL_e1RM,WL_Exercise,A101),""))</f>
        <v/>
      </c>
      <c r="H101" s="7">
        <f>IF(A101="","",IFERROR(MAXIFS(WL_Date,WL_Exercise,A101),""))</f>
        <v/>
      </c>
      <c r="I101">
        <f>IF(OR(A101="",H101=""),"",IFERROR(TEXTJOIN(", ",TRUE,IF((WL_Exercise=A101)*(WL_Date=H101),WL_Reps&amp;"×"&amp;WL_Weight,"")),""))</f>
        <v/>
      </c>
    </row>
    <row r="102">
      <c r="F102" s="8">
        <f>IF(A102="","",IFERROR(MAXIFS(WL_Weight,WL_Exercise,A102),""))</f>
        <v/>
      </c>
      <c r="G102" s="8">
        <f>IF(A102="","",IFERROR(MAXIFS(WL_e1RM,WL_Exercise,A102),""))</f>
        <v/>
      </c>
      <c r="H102" s="7">
        <f>IF(A102="","",IFERROR(MAXIFS(WL_Date,WL_Exercise,A102),""))</f>
        <v/>
      </c>
      <c r="I102">
        <f>IF(OR(A102="",H102=""),"",IFERROR(TEXTJOIN(", ",TRUE,IF((WL_Exercise=A102)*(WL_Date=H102),WL_Reps&amp;"×"&amp;WL_Weight,"")),""))</f>
        <v/>
      </c>
    </row>
    <row r="103">
      <c r="F103" s="8">
        <f>IF(A103="","",IFERROR(MAXIFS(WL_Weight,WL_Exercise,A103),""))</f>
        <v/>
      </c>
      <c r="G103" s="8">
        <f>IF(A103="","",IFERROR(MAXIFS(WL_e1RM,WL_Exercise,A103),""))</f>
        <v/>
      </c>
      <c r="H103" s="7">
        <f>IF(A103="","",IFERROR(MAXIFS(WL_Date,WL_Exercise,A103),""))</f>
        <v/>
      </c>
      <c r="I103">
        <f>IF(OR(A103="",H103=""),"",IFERROR(TEXTJOIN(", ",TRUE,IF((WL_Exercise=A103)*(WL_Date=H103),WL_Reps&amp;"×"&amp;WL_Weight,"")),""))</f>
        <v/>
      </c>
    </row>
    <row r="104">
      <c r="F104" s="8">
        <f>IF(A104="","",IFERROR(MAXIFS(WL_Weight,WL_Exercise,A104),""))</f>
        <v/>
      </c>
      <c r="G104" s="8">
        <f>IF(A104="","",IFERROR(MAXIFS(WL_e1RM,WL_Exercise,A104),""))</f>
        <v/>
      </c>
      <c r="H104" s="7">
        <f>IF(A104="","",IFERROR(MAXIFS(WL_Date,WL_Exercise,A104),""))</f>
        <v/>
      </c>
      <c r="I104">
        <f>IF(OR(A104="",H104=""),"",IFERROR(TEXTJOIN(", ",TRUE,IF((WL_Exercise=A104)*(WL_Date=H104),WL_Reps&amp;"×"&amp;WL_Weight,"")),""))</f>
        <v/>
      </c>
    </row>
    <row r="105">
      <c r="F105" s="8">
        <f>IF(A105="","",IFERROR(MAXIFS(WL_Weight,WL_Exercise,A105),""))</f>
        <v/>
      </c>
      <c r="G105" s="8">
        <f>IF(A105="","",IFERROR(MAXIFS(WL_e1RM,WL_Exercise,A105),""))</f>
        <v/>
      </c>
      <c r="H105" s="7">
        <f>IF(A105="","",IFERROR(MAXIFS(WL_Date,WL_Exercise,A105),""))</f>
        <v/>
      </c>
      <c r="I105">
        <f>IF(OR(A105="",H105=""),"",IFERROR(TEXTJOIN(", ",TRUE,IF((WL_Exercise=A105)*(WL_Date=H105),WL_Reps&amp;"×"&amp;WL_Weight,"")),""))</f>
        <v/>
      </c>
    </row>
    <row r="106">
      <c r="F106" s="8">
        <f>IF(A106="","",IFERROR(MAXIFS(WL_Weight,WL_Exercise,A106),""))</f>
        <v/>
      </c>
      <c r="G106" s="8">
        <f>IF(A106="","",IFERROR(MAXIFS(WL_e1RM,WL_Exercise,A106),""))</f>
        <v/>
      </c>
      <c r="H106" s="7">
        <f>IF(A106="","",IFERROR(MAXIFS(WL_Date,WL_Exercise,A106),""))</f>
        <v/>
      </c>
      <c r="I106">
        <f>IF(OR(A106="",H106=""),"",IFERROR(TEXTJOIN(", ",TRUE,IF((WL_Exercise=A106)*(WL_Date=H106),WL_Reps&amp;"×"&amp;WL_Weight,"")),""))</f>
        <v/>
      </c>
    </row>
    <row r="107">
      <c r="F107" s="8">
        <f>IF(A107="","",IFERROR(MAXIFS(WL_Weight,WL_Exercise,A107),""))</f>
        <v/>
      </c>
      <c r="G107" s="8">
        <f>IF(A107="","",IFERROR(MAXIFS(WL_e1RM,WL_Exercise,A107),""))</f>
        <v/>
      </c>
      <c r="H107" s="7">
        <f>IF(A107="","",IFERROR(MAXIFS(WL_Date,WL_Exercise,A107),""))</f>
        <v/>
      </c>
      <c r="I107">
        <f>IF(OR(A107="",H107=""),"",IFERROR(TEXTJOIN(", ",TRUE,IF((WL_Exercise=A107)*(WL_Date=H107),WL_Reps&amp;"×"&amp;WL_Weight,"")),""))</f>
        <v/>
      </c>
    </row>
    <row r="108">
      <c r="F108" s="8">
        <f>IF(A108="","",IFERROR(MAXIFS(WL_Weight,WL_Exercise,A108),""))</f>
        <v/>
      </c>
      <c r="G108" s="8">
        <f>IF(A108="","",IFERROR(MAXIFS(WL_e1RM,WL_Exercise,A108),""))</f>
        <v/>
      </c>
      <c r="H108" s="7">
        <f>IF(A108="","",IFERROR(MAXIFS(WL_Date,WL_Exercise,A108),""))</f>
        <v/>
      </c>
      <c r="I108">
        <f>IF(OR(A108="",H108=""),"",IFERROR(TEXTJOIN(", ",TRUE,IF((WL_Exercise=A108)*(WL_Date=H108),WL_Reps&amp;"×"&amp;WL_Weight,"")),""))</f>
        <v/>
      </c>
    </row>
    <row r="109">
      <c r="F109" s="8">
        <f>IF(A109="","",IFERROR(MAXIFS(WL_Weight,WL_Exercise,A109),""))</f>
        <v/>
      </c>
      <c r="G109" s="8">
        <f>IF(A109="","",IFERROR(MAXIFS(WL_e1RM,WL_Exercise,A109),""))</f>
        <v/>
      </c>
      <c r="H109" s="7">
        <f>IF(A109="","",IFERROR(MAXIFS(WL_Date,WL_Exercise,A109),""))</f>
        <v/>
      </c>
      <c r="I109">
        <f>IF(OR(A109="",H109=""),"",IFERROR(TEXTJOIN(", ",TRUE,IF((WL_Exercise=A109)*(WL_Date=H109),WL_Reps&amp;"×"&amp;WL_Weight,"")),""))</f>
        <v/>
      </c>
    </row>
    <row r="110">
      <c r="F110" s="8">
        <f>IF(A110="","",IFERROR(MAXIFS(WL_Weight,WL_Exercise,A110),""))</f>
        <v/>
      </c>
      <c r="G110" s="8">
        <f>IF(A110="","",IFERROR(MAXIFS(WL_e1RM,WL_Exercise,A110),""))</f>
        <v/>
      </c>
      <c r="H110" s="7">
        <f>IF(A110="","",IFERROR(MAXIFS(WL_Date,WL_Exercise,A110),""))</f>
        <v/>
      </c>
      <c r="I110">
        <f>IF(OR(A110="",H110=""),"",IFERROR(TEXTJOIN(", ",TRUE,IF((WL_Exercise=A110)*(WL_Date=H110),WL_Reps&amp;"×"&amp;WL_Weight,"")),""))</f>
        <v/>
      </c>
    </row>
    <row r="111">
      <c r="F111" s="8">
        <f>IF(A111="","",IFERROR(MAXIFS(WL_Weight,WL_Exercise,A111),""))</f>
        <v/>
      </c>
      <c r="G111" s="8">
        <f>IF(A111="","",IFERROR(MAXIFS(WL_e1RM,WL_Exercise,A111),""))</f>
        <v/>
      </c>
      <c r="H111" s="7">
        <f>IF(A111="","",IFERROR(MAXIFS(WL_Date,WL_Exercise,A111),""))</f>
        <v/>
      </c>
      <c r="I111">
        <f>IF(OR(A111="",H111=""),"",IFERROR(TEXTJOIN(", ",TRUE,IF((WL_Exercise=A111)*(WL_Date=H111),WL_Reps&amp;"×"&amp;WL_Weight,"")),""))</f>
        <v/>
      </c>
    </row>
    <row r="112">
      <c r="F112" s="8">
        <f>IF(A112="","",IFERROR(MAXIFS(WL_Weight,WL_Exercise,A112),""))</f>
        <v/>
      </c>
      <c r="G112" s="8">
        <f>IF(A112="","",IFERROR(MAXIFS(WL_e1RM,WL_Exercise,A112),""))</f>
        <v/>
      </c>
      <c r="H112" s="7">
        <f>IF(A112="","",IFERROR(MAXIFS(WL_Date,WL_Exercise,A112),""))</f>
        <v/>
      </c>
      <c r="I112">
        <f>IF(OR(A112="",H112=""),"",IFERROR(TEXTJOIN(", ",TRUE,IF((WL_Exercise=A112)*(WL_Date=H112),WL_Reps&amp;"×"&amp;WL_Weight,"")),""))</f>
        <v/>
      </c>
    </row>
    <row r="113">
      <c r="F113" s="8">
        <f>IF(A113="","",IFERROR(MAXIFS(WL_Weight,WL_Exercise,A113),""))</f>
        <v/>
      </c>
      <c r="G113" s="8">
        <f>IF(A113="","",IFERROR(MAXIFS(WL_e1RM,WL_Exercise,A113),""))</f>
        <v/>
      </c>
      <c r="H113" s="7">
        <f>IF(A113="","",IFERROR(MAXIFS(WL_Date,WL_Exercise,A113),""))</f>
        <v/>
      </c>
      <c r="I113">
        <f>IF(OR(A113="",H113=""),"",IFERROR(TEXTJOIN(", ",TRUE,IF((WL_Exercise=A113)*(WL_Date=H113),WL_Reps&amp;"×"&amp;WL_Weight,"")),""))</f>
        <v/>
      </c>
    </row>
    <row r="114">
      <c r="F114" s="8">
        <f>IF(A114="","",IFERROR(MAXIFS(WL_Weight,WL_Exercise,A114),""))</f>
        <v/>
      </c>
      <c r="G114" s="8">
        <f>IF(A114="","",IFERROR(MAXIFS(WL_e1RM,WL_Exercise,A114),""))</f>
        <v/>
      </c>
      <c r="H114" s="7">
        <f>IF(A114="","",IFERROR(MAXIFS(WL_Date,WL_Exercise,A114),""))</f>
        <v/>
      </c>
      <c r="I114">
        <f>IF(OR(A114="",H114=""),"",IFERROR(TEXTJOIN(", ",TRUE,IF((WL_Exercise=A114)*(WL_Date=H114),WL_Reps&amp;"×"&amp;WL_Weight,"")),""))</f>
        <v/>
      </c>
    </row>
    <row r="115">
      <c r="F115" s="8">
        <f>IF(A115="","",IFERROR(MAXIFS(WL_Weight,WL_Exercise,A115),""))</f>
        <v/>
      </c>
      <c r="G115" s="8">
        <f>IF(A115="","",IFERROR(MAXIFS(WL_e1RM,WL_Exercise,A115),""))</f>
        <v/>
      </c>
      <c r="H115" s="7">
        <f>IF(A115="","",IFERROR(MAXIFS(WL_Date,WL_Exercise,A115),""))</f>
        <v/>
      </c>
      <c r="I115">
        <f>IF(OR(A115="",H115=""),"",IFERROR(TEXTJOIN(", ",TRUE,IF((WL_Exercise=A115)*(WL_Date=H115),WL_Reps&amp;"×"&amp;WL_Weight,"")),""))</f>
        <v/>
      </c>
    </row>
    <row r="116">
      <c r="F116" s="8">
        <f>IF(A116="","",IFERROR(MAXIFS(WL_Weight,WL_Exercise,A116),""))</f>
        <v/>
      </c>
      <c r="G116" s="8">
        <f>IF(A116="","",IFERROR(MAXIFS(WL_e1RM,WL_Exercise,A116),""))</f>
        <v/>
      </c>
      <c r="H116" s="7">
        <f>IF(A116="","",IFERROR(MAXIFS(WL_Date,WL_Exercise,A116),""))</f>
        <v/>
      </c>
      <c r="I116">
        <f>IF(OR(A116="",H116=""),"",IFERROR(TEXTJOIN(", ",TRUE,IF((WL_Exercise=A116)*(WL_Date=H116),WL_Reps&amp;"×"&amp;WL_Weight,"")),""))</f>
        <v/>
      </c>
    </row>
    <row r="117">
      <c r="F117" s="8">
        <f>IF(A117="","",IFERROR(MAXIFS(WL_Weight,WL_Exercise,A117),""))</f>
        <v/>
      </c>
      <c r="G117" s="8">
        <f>IF(A117="","",IFERROR(MAXIFS(WL_e1RM,WL_Exercise,A117),""))</f>
        <v/>
      </c>
      <c r="H117" s="7">
        <f>IF(A117="","",IFERROR(MAXIFS(WL_Date,WL_Exercise,A117),""))</f>
        <v/>
      </c>
      <c r="I117">
        <f>IF(OR(A117="",H117=""),"",IFERROR(TEXTJOIN(", ",TRUE,IF((WL_Exercise=A117)*(WL_Date=H117),WL_Reps&amp;"×"&amp;WL_Weight,"")),""))</f>
        <v/>
      </c>
    </row>
    <row r="118">
      <c r="F118" s="8">
        <f>IF(A118="","",IFERROR(MAXIFS(WL_Weight,WL_Exercise,A118),""))</f>
        <v/>
      </c>
      <c r="G118" s="8">
        <f>IF(A118="","",IFERROR(MAXIFS(WL_e1RM,WL_Exercise,A118),""))</f>
        <v/>
      </c>
      <c r="H118" s="7">
        <f>IF(A118="","",IFERROR(MAXIFS(WL_Date,WL_Exercise,A118),""))</f>
        <v/>
      </c>
      <c r="I118">
        <f>IF(OR(A118="",H118=""),"",IFERROR(TEXTJOIN(", ",TRUE,IF((WL_Exercise=A118)*(WL_Date=H118),WL_Reps&amp;"×"&amp;WL_Weight,"")),""))</f>
        <v/>
      </c>
    </row>
    <row r="119">
      <c r="F119" s="8">
        <f>IF(A119="","",IFERROR(MAXIFS(WL_Weight,WL_Exercise,A119),""))</f>
        <v/>
      </c>
      <c r="G119" s="8">
        <f>IF(A119="","",IFERROR(MAXIFS(WL_e1RM,WL_Exercise,A119),""))</f>
        <v/>
      </c>
      <c r="H119" s="7">
        <f>IF(A119="","",IFERROR(MAXIFS(WL_Date,WL_Exercise,A119),""))</f>
        <v/>
      </c>
      <c r="I119">
        <f>IF(OR(A119="",H119=""),"",IFERROR(TEXTJOIN(", ",TRUE,IF((WL_Exercise=A119)*(WL_Date=H119),WL_Reps&amp;"×"&amp;WL_Weight,"")),""))</f>
        <v/>
      </c>
    </row>
    <row r="120">
      <c r="F120" s="8">
        <f>IF(A120="","",IFERROR(MAXIFS(WL_Weight,WL_Exercise,A120),""))</f>
        <v/>
      </c>
      <c r="G120" s="8">
        <f>IF(A120="","",IFERROR(MAXIFS(WL_e1RM,WL_Exercise,A120),""))</f>
        <v/>
      </c>
      <c r="H120" s="7">
        <f>IF(A120="","",IFERROR(MAXIFS(WL_Date,WL_Exercise,A120),""))</f>
        <v/>
      </c>
      <c r="I120">
        <f>IF(OR(A120="",H120=""),"",IFERROR(TEXTJOIN(", ",TRUE,IF((WL_Exercise=A120)*(WL_Date=H120),WL_Reps&amp;"×"&amp;WL_Weight,"")),""))</f>
        <v/>
      </c>
    </row>
    <row r="121">
      <c r="F121" s="8">
        <f>IF(A121="","",IFERROR(MAXIFS(WL_Weight,WL_Exercise,A121),""))</f>
        <v/>
      </c>
      <c r="G121" s="8">
        <f>IF(A121="","",IFERROR(MAXIFS(WL_e1RM,WL_Exercise,A121),""))</f>
        <v/>
      </c>
      <c r="H121" s="7">
        <f>IF(A121="","",IFERROR(MAXIFS(WL_Date,WL_Exercise,A121),""))</f>
        <v/>
      </c>
      <c r="I121">
        <f>IF(OR(A121="",H121=""),"",IFERROR(TEXTJOIN(", ",TRUE,IF((WL_Exercise=A121)*(WL_Date=H121),WL_Reps&amp;"×"&amp;WL_Weight,"")),""))</f>
        <v/>
      </c>
    </row>
    <row r="122">
      <c r="F122" s="8">
        <f>IF(A122="","",IFERROR(MAXIFS(WL_Weight,WL_Exercise,A122),""))</f>
        <v/>
      </c>
      <c r="G122" s="8">
        <f>IF(A122="","",IFERROR(MAXIFS(WL_e1RM,WL_Exercise,A122),""))</f>
        <v/>
      </c>
      <c r="H122" s="7">
        <f>IF(A122="","",IFERROR(MAXIFS(WL_Date,WL_Exercise,A122),""))</f>
        <v/>
      </c>
      <c r="I122">
        <f>IF(OR(A122="",H122=""),"",IFERROR(TEXTJOIN(", ",TRUE,IF((WL_Exercise=A122)*(WL_Date=H122),WL_Reps&amp;"×"&amp;WL_Weight,"")),""))</f>
        <v/>
      </c>
    </row>
    <row r="123">
      <c r="F123" s="8">
        <f>IF(A123="","",IFERROR(MAXIFS(WL_Weight,WL_Exercise,A123),""))</f>
        <v/>
      </c>
      <c r="G123" s="8">
        <f>IF(A123="","",IFERROR(MAXIFS(WL_e1RM,WL_Exercise,A123),""))</f>
        <v/>
      </c>
      <c r="H123" s="7">
        <f>IF(A123="","",IFERROR(MAXIFS(WL_Date,WL_Exercise,A123),""))</f>
        <v/>
      </c>
      <c r="I123">
        <f>IF(OR(A123="",H123=""),"",IFERROR(TEXTJOIN(", ",TRUE,IF((WL_Exercise=A123)*(WL_Date=H123),WL_Reps&amp;"×"&amp;WL_Weight,"")),""))</f>
        <v/>
      </c>
    </row>
    <row r="124">
      <c r="F124" s="8">
        <f>IF(A124="","",IFERROR(MAXIFS(WL_Weight,WL_Exercise,A124),""))</f>
        <v/>
      </c>
      <c r="G124" s="8">
        <f>IF(A124="","",IFERROR(MAXIFS(WL_e1RM,WL_Exercise,A124),""))</f>
        <v/>
      </c>
      <c r="H124" s="7">
        <f>IF(A124="","",IFERROR(MAXIFS(WL_Date,WL_Exercise,A124),""))</f>
        <v/>
      </c>
      <c r="I124">
        <f>IF(OR(A124="",H124=""),"",IFERROR(TEXTJOIN(", ",TRUE,IF((WL_Exercise=A124)*(WL_Date=H124),WL_Reps&amp;"×"&amp;WL_Weight,"")),""))</f>
        <v/>
      </c>
    </row>
    <row r="125">
      <c r="F125" s="8">
        <f>IF(A125="","",IFERROR(MAXIFS(WL_Weight,WL_Exercise,A125),""))</f>
        <v/>
      </c>
      <c r="G125" s="8">
        <f>IF(A125="","",IFERROR(MAXIFS(WL_e1RM,WL_Exercise,A125),""))</f>
        <v/>
      </c>
      <c r="H125" s="7">
        <f>IF(A125="","",IFERROR(MAXIFS(WL_Date,WL_Exercise,A125),""))</f>
        <v/>
      </c>
      <c r="I125">
        <f>IF(OR(A125="",H125=""),"",IFERROR(TEXTJOIN(", ",TRUE,IF((WL_Exercise=A125)*(WL_Date=H125),WL_Reps&amp;"×"&amp;WL_Weight,"")),""))</f>
        <v/>
      </c>
    </row>
    <row r="126">
      <c r="F126" s="8">
        <f>IF(A126="","",IFERROR(MAXIFS(WL_Weight,WL_Exercise,A126),""))</f>
        <v/>
      </c>
      <c r="G126" s="8">
        <f>IF(A126="","",IFERROR(MAXIFS(WL_e1RM,WL_Exercise,A126),""))</f>
        <v/>
      </c>
      <c r="H126" s="7">
        <f>IF(A126="","",IFERROR(MAXIFS(WL_Date,WL_Exercise,A126),""))</f>
        <v/>
      </c>
      <c r="I126">
        <f>IF(OR(A126="",H126=""),"",IFERROR(TEXTJOIN(", ",TRUE,IF((WL_Exercise=A126)*(WL_Date=H126),WL_Reps&amp;"×"&amp;WL_Weight,"")),""))</f>
        <v/>
      </c>
    </row>
    <row r="127">
      <c r="F127" s="8">
        <f>IF(A127="","",IFERROR(MAXIFS(WL_Weight,WL_Exercise,A127),""))</f>
        <v/>
      </c>
      <c r="G127" s="8">
        <f>IF(A127="","",IFERROR(MAXIFS(WL_e1RM,WL_Exercise,A127),""))</f>
        <v/>
      </c>
      <c r="H127" s="7">
        <f>IF(A127="","",IFERROR(MAXIFS(WL_Date,WL_Exercise,A127),""))</f>
        <v/>
      </c>
      <c r="I127">
        <f>IF(OR(A127="",H127=""),"",IFERROR(TEXTJOIN(", ",TRUE,IF((WL_Exercise=A127)*(WL_Date=H127),WL_Reps&amp;"×"&amp;WL_Weight,"")),""))</f>
        <v/>
      </c>
    </row>
    <row r="128">
      <c r="F128" s="8">
        <f>IF(A128="","",IFERROR(MAXIFS(WL_Weight,WL_Exercise,A128),""))</f>
        <v/>
      </c>
      <c r="G128" s="8">
        <f>IF(A128="","",IFERROR(MAXIFS(WL_e1RM,WL_Exercise,A128),""))</f>
        <v/>
      </c>
      <c r="H128" s="7">
        <f>IF(A128="","",IFERROR(MAXIFS(WL_Date,WL_Exercise,A128),""))</f>
        <v/>
      </c>
      <c r="I128">
        <f>IF(OR(A128="",H128=""),"",IFERROR(TEXTJOIN(", ",TRUE,IF((WL_Exercise=A128)*(WL_Date=H128),WL_Reps&amp;"×"&amp;WL_Weight,"")),""))</f>
        <v/>
      </c>
    </row>
    <row r="129">
      <c r="F129" s="8">
        <f>IF(A129="","",IFERROR(MAXIFS(WL_Weight,WL_Exercise,A129),""))</f>
        <v/>
      </c>
      <c r="G129" s="8">
        <f>IF(A129="","",IFERROR(MAXIFS(WL_e1RM,WL_Exercise,A129),""))</f>
        <v/>
      </c>
      <c r="H129" s="7">
        <f>IF(A129="","",IFERROR(MAXIFS(WL_Date,WL_Exercise,A129),""))</f>
        <v/>
      </c>
      <c r="I129">
        <f>IF(OR(A129="",H129=""),"",IFERROR(TEXTJOIN(", ",TRUE,IF((WL_Exercise=A129)*(WL_Date=H129),WL_Reps&amp;"×"&amp;WL_Weight,"")),""))</f>
        <v/>
      </c>
    </row>
    <row r="130">
      <c r="F130" s="8">
        <f>IF(A130="","",IFERROR(MAXIFS(WL_Weight,WL_Exercise,A130),""))</f>
        <v/>
      </c>
      <c r="G130" s="8">
        <f>IF(A130="","",IFERROR(MAXIFS(WL_e1RM,WL_Exercise,A130),""))</f>
        <v/>
      </c>
      <c r="H130" s="7">
        <f>IF(A130="","",IFERROR(MAXIFS(WL_Date,WL_Exercise,A130),""))</f>
        <v/>
      </c>
      <c r="I130">
        <f>IF(OR(A130="",H130=""),"",IFERROR(TEXTJOIN(", ",TRUE,IF((WL_Exercise=A130)*(WL_Date=H130),WL_Reps&amp;"×"&amp;WL_Weight,"")),""))</f>
        <v/>
      </c>
    </row>
    <row r="131">
      <c r="F131" s="8">
        <f>IF(A131="","",IFERROR(MAXIFS(WL_Weight,WL_Exercise,A131),""))</f>
        <v/>
      </c>
      <c r="G131" s="8">
        <f>IF(A131="","",IFERROR(MAXIFS(WL_e1RM,WL_Exercise,A131),""))</f>
        <v/>
      </c>
      <c r="H131" s="7">
        <f>IF(A131="","",IFERROR(MAXIFS(WL_Date,WL_Exercise,A131),""))</f>
        <v/>
      </c>
      <c r="I131">
        <f>IF(OR(A131="",H131=""),"",IFERROR(TEXTJOIN(", ",TRUE,IF((WL_Exercise=A131)*(WL_Date=H131),WL_Reps&amp;"×"&amp;WL_Weight,"")),""))</f>
        <v/>
      </c>
    </row>
    <row r="132">
      <c r="F132" s="8">
        <f>IF(A132="","",IFERROR(MAXIFS(WL_Weight,WL_Exercise,A132),""))</f>
        <v/>
      </c>
      <c r="G132" s="8">
        <f>IF(A132="","",IFERROR(MAXIFS(WL_e1RM,WL_Exercise,A132),""))</f>
        <v/>
      </c>
      <c r="H132" s="7">
        <f>IF(A132="","",IFERROR(MAXIFS(WL_Date,WL_Exercise,A132),""))</f>
        <v/>
      </c>
      <c r="I132">
        <f>IF(OR(A132="",H132=""),"",IFERROR(TEXTJOIN(", ",TRUE,IF((WL_Exercise=A132)*(WL_Date=H132),WL_Reps&amp;"×"&amp;WL_Weight,"")),""))</f>
        <v/>
      </c>
    </row>
    <row r="133">
      <c r="F133" s="8">
        <f>IF(A133="","",IFERROR(MAXIFS(WL_Weight,WL_Exercise,A133),""))</f>
        <v/>
      </c>
      <c r="G133" s="8">
        <f>IF(A133="","",IFERROR(MAXIFS(WL_e1RM,WL_Exercise,A133),""))</f>
        <v/>
      </c>
      <c r="H133" s="7">
        <f>IF(A133="","",IFERROR(MAXIFS(WL_Date,WL_Exercise,A133),""))</f>
        <v/>
      </c>
      <c r="I133">
        <f>IF(OR(A133="",H133=""),"",IFERROR(TEXTJOIN(", ",TRUE,IF((WL_Exercise=A133)*(WL_Date=H133),WL_Reps&amp;"×"&amp;WL_Weight,"")),""))</f>
        <v/>
      </c>
    </row>
    <row r="134">
      <c r="F134" s="8">
        <f>IF(A134="","",IFERROR(MAXIFS(WL_Weight,WL_Exercise,A134),""))</f>
        <v/>
      </c>
      <c r="G134" s="8">
        <f>IF(A134="","",IFERROR(MAXIFS(WL_e1RM,WL_Exercise,A134),""))</f>
        <v/>
      </c>
      <c r="H134" s="7">
        <f>IF(A134="","",IFERROR(MAXIFS(WL_Date,WL_Exercise,A134),""))</f>
        <v/>
      </c>
      <c r="I134">
        <f>IF(OR(A134="",H134=""),"",IFERROR(TEXTJOIN(", ",TRUE,IF((WL_Exercise=A134)*(WL_Date=H134),WL_Reps&amp;"×"&amp;WL_Weight,"")),""))</f>
        <v/>
      </c>
    </row>
    <row r="135">
      <c r="F135" s="8">
        <f>IF(A135="","",IFERROR(MAXIFS(WL_Weight,WL_Exercise,A135),""))</f>
        <v/>
      </c>
      <c r="G135" s="8">
        <f>IF(A135="","",IFERROR(MAXIFS(WL_e1RM,WL_Exercise,A135),""))</f>
        <v/>
      </c>
      <c r="H135" s="7">
        <f>IF(A135="","",IFERROR(MAXIFS(WL_Date,WL_Exercise,A135),""))</f>
        <v/>
      </c>
      <c r="I135">
        <f>IF(OR(A135="",H135=""),"",IFERROR(TEXTJOIN(", ",TRUE,IF((WL_Exercise=A135)*(WL_Date=H135),WL_Reps&amp;"×"&amp;WL_Weight,"")),""))</f>
        <v/>
      </c>
    </row>
    <row r="136">
      <c r="F136" s="8">
        <f>IF(A136="","",IFERROR(MAXIFS(WL_Weight,WL_Exercise,A136),""))</f>
        <v/>
      </c>
      <c r="G136" s="8">
        <f>IF(A136="","",IFERROR(MAXIFS(WL_e1RM,WL_Exercise,A136),""))</f>
        <v/>
      </c>
      <c r="H136" s="7">
        <f>IF(A136="","",IFERROR(MAXIFS(WL_Date,WL_Exercise,A136),""))</f>
        <v/>
      </c>
      <c r="I136">
        <f>IF(OR(A136="",H136=""),"",IFERROR(TEXTJOIN(", ",TRUE,IF((WL_Exercise=A136)*(WL_Date=H136),WL_Reps&amp;"×"&amp;WL_Weight,"")),""))</f>
        <v/>
      </c>
    </row>
    <row r="137">
      <c r="F137" s="8">
        <f>IF(A137="","",IFERROR(MAXIFS(WL_Weight,WL_Exercise,A137),""))</f>
        <v/>
      </c>
      <c r="G137" s="8">
        <f>IF(A137="","",IFERROR(MAXIFS(WL_e1RM,WL_Exercise,A137),""))</f>
        <v/>
      </c>
      <c r="H137" s="7">
        <f>IF(A137="","",IFERROR(MAXIFS(WL_Date,WL_Exercise,A137),""))</f>
        <v/>
      </c>
      <c r="I137">
        <f>IF(OR(A137="",H137=""),"",IFERROR(TEXTJOIN(", ",TRUE,IF((WL_Exercise=A137)*(WL_Date=H137),WL_Reps&amp;"×"&amp;WL_Weight,"")),""))</f>
        <v/>
      </c>
    </row>
    <row r="138">
      <c r="F138" s="8">
        <f>IF(A138="","",IFERROR(MAXIFS(WL_Weight,WL_Exercise,A138),""))</f>
        <v/>
      </c>
      <c r="G138" s="8">
        <f>IF(A138="","",IFERROR(MAXIFS(WL_e1RM,WL_Exercise,A138),""))</f>
        <v/>
      </c>
      <c r="H138" s="7">
        <f>IF(A138="","",IFERROR(MAXIFS(WL_Date,WL_Exercise,A138),""))</f>
        <v/>
      </c>
      <c r="I138">
        <f>IF(OR(A138="",H138=""),"",IFERROR(TEXTJOIN(", ",TRUE,IF((WL_Exercise=A138)*(WL_Date=H138),WL_Reps&amp;"×"&amp;WL_Weight,"")),""))</f>
        <v/>
      </c>
    </row>
    <row r="139">
      <c r="F139" s="8">
        <f>IF(A139="","",IFERROR(MAXIFS(WL_Weight,WL_Exercise,A139),""))</f>
        <v/>
      </c>
      <c r="G139" s="8">
        <f>IF(A139="","",IFERROR(MAXIFS(WL_e1RM,WL_Exercise,A139),""))</f>
        <v/>
      </c>
      <c r="H139" s="7">
        <f>IF(A139="","",IFERROR(MAXIFS(WL_Date,WL_Exercise,A139),""))</f>
        <v/>
      </c>
      <c r="I139">
        <f>IF(OR(A139="",H139=""),"",IFERROR(TEXTJOIN(", ",TRUE,IF((WL_Exercise=A139)*(WL_Date=H139),WL_Reps&amp;"×"&amp;WL_Weight,"")),""))</f>
        <v/>
      </c>
    </row>
    <row r="140">
      <c r="F140" s="8">
        <f>IF(A140="","",IFERROR(MAXIFS(WL_Weight,WL_Exercise,A140),""))</f>
        <v/>
      </c>
      <c r="G140" s="8">
        <f>IF(A140="","",IFERROR(MAXIFS(WL_e1RM,WL_Exercise,A140),""))</f>
        <v/>
      </c>
      <c r="H140" s="7">
        <f>IF(A140="","",IFERROR(MAXIFS(WL_Date,WL_Exercise,A140),""))</f>
        <v/>
      </c>
      <c r="I140">
        <f>IF(OR(A140="",H140=""),"",IFERROR(TEXTJOIN(", ",TRUE,IF((WL_Exercise=A140)*(WL_Date=H140),WL_Reps&amp;"×"&amp;WL_Weight,"")),""))</f>
        <v/>
      </c>
    </row>
    <row r="141">
      <c r="F141" s="8">
        <f>IF(A141="","",IFERROR(MAXIFS(WL_Weight,WL_Exercise,A141),""))</f>
        <v/>
      </c>
      <c r="G141" s="8">
        <f>IF(A141="","",IFERROR(MAXIFS(WL_e1RM,WL_Exercise,A141),""))</f>
        <v/>
      </c>
      <c r="H141" s="7">
        <f>IF(A141="","",IFERROR(MAXIFS(WL_Date,WL_Exercise,A141),""))</f>
        <v/>
      </c>
      <c r="I141">
        <f>IF(OR(A141="",H141=""),"",IFERROR(TEXTJOIN(", ",TRUE,IF((WL_Exercise=A141)*(WL_Date=H141),WL_Reps&amp;"×"&amp;WL_Weight,"")),""))</f>
        <v/>
      </c>
    </row>
    <row r="142">
      <c r="F142" s="8">
        <f>IF(A142="","",IFERROR(MAXIFS(WL_Weight,WL_Exercise,A142),""))</f>
        <v/>
      </c>
      <c r="G142" s="8">
        <f>IF(A142="","",IFERROR(MAXIFS(WL_e1RM,WL_Exercise,A142),""))</f>
        <v/>
      </c>
      <c r="H142" s="7">
        <f>IF(A142="","",IFERROR(MAXIFS(WL_Date,WL_Exercise,A142),""))</f>
        <v/>
      </c>
      <c r="I142">
        <f>IF(OR(A142="",H142=""),"",IFERROR(TEXTJOIN(", ",TRUE,IF((WL_Exercise=A142)*(WL_Date=H142),WL_Reps&amp;"×"&amp;WL_Weight,"")),""))</f>
        <v/>
      </c>
    </row>
    <row r="143">
      <c r="F143" s="8">
        <f>IF(A143="","",IFERROR(MAXIFS(WL_Weight,WL_Exercise,A143),""))</f>
        <v/>
      </c>
      <c r="G143" s="8">
        <f>IF(A143="","",IFERROR(MAXIFS(WL_e1RM,WL_Exercise,A143),""))</f>
        <v/>
      </c>
      <c r="H143" s="7">
        <f>IF(A143="","",IFERROR(MAXIFS(WL_Date,WL_Exercise,A143),""))</f>
        <v/>
      </c>
      <c r="I143">
        <f>IF(OR(A143="",H143=""),"",IFERROR(TEXTJOIN(", ",TRUE,IF((WL_Exercise=A143)*(WL_Date=H143),WL_Reps&amp;"×"&amp;WL_Weight,"")),""))</f>
        <v/>
      </c>
    </row>
    <row r="144">
      <c r="F144" s="8">
        <f>IF(A144="","",IFERROR(MAXIFS(WL_Weight,WL_Exercise,A144),""))</f>
        <v/>
      </c>
      <c r="G144" s="8">
        <f>IF(A144="","",IFERROR(MAXIFS(WL_e1RM,WL_Exercise,A144),""))</f>
        <v/>
      </c>
      <c r="H144" s="7">
        <f>IF(A144="","",IFERROR(MAXIFS(WL_Date,WL_Exercise,A144),""))</f>
        <v/>
      </c>
      <c r="I144">
        <f>IF(OR(A144="",H144=""),"",IFERROR(TEXTJOIN(", ",TRUE,IF((WL_Exercise=A144)*(WL_Date=H144),WL_Reps&amp;"×"&amp;WL_Weight,"")),""))</f>
        <v/>
      </c>
    </row>
    <row r="145">
      <c r="F145" s="8">
        <f>IF(A145="","",IFERROR(MAXIFS(WL_Weight,WL_Exercise,A145),""))</f>
        <v/>
      </c>
      <c r="G145" s="8">
        <f>IF(A145="","",IFERROR(MAXIFS(WL_e1RM,WL_Exercise,A145),""))</f>
        <v/>
      </c>
      <c r="H145" s="7">
        <f>IF(A145="","",IFERROR(MAXIFS(WL_Date,WL_Exercise,A145),""))</f>
        <v/>
      </c>
      <c r="I145">
        <f>IF(OR(A145="",H145=""),"",IFERROR(TEXTJOIN(", ",TRUE,IF((WL_Exercise=A145)*(WL_Date=H145),WL_Reps&amp;"×"&amp;WL_Weight,"")),""))</f>
        <v/>
      </c>
    </row>
    <row r="146">
      <c r="F146" s="8">
        <f>IF(A146="","",IFERROR(MAXIFS(WL_Weight,WL_Exercise,A146),""))</f>
        <v/>
      </c>
      <c r="G146" s="8">
        <f>IF(A146="","",IFERROR(MAXIFS(WL_e1RM,WL_Exercise,A146),""))</f>
        <v/>
      </c>
      <c r="H146" s="7">
        <f>IF(A146="","",IFERROR(MAXIFS(WL_Date,WL_Exercise,A146),""))</f>
        <v/>
      </c>
      <c r="I146">
        <f>IF(OR(A146="",H146=""),"",IFERROR(TEXTJOIN(", ",TRUE,IF((WL_Exercise=A146)*(WL_Date=H146),WL_Reps&amp;"×"&amp;WL_Weight,"")),""))</f>
        <v/>
      </c>
    </row>
    <row r="147">
      <c r="F147" s="8">
        <f>IF(A147="","",IFERROR(MAXIFS(WL_Weight,WL_Exercise,A147),""))</f>
        <v/>
      </c>
      <c r="G147" s="8">
        <f>IF(A147="","",IFERROR(MAXIFS(WL_e1RM,WL_Exercise,A147),""))</f>
        <v/>
      </c>
      <c r="H147" s="7">
        <f>IF(A147="","",IFERROR(MAXIFS(WL_Date,WL_Exercise,A147),""))</f>
        <v/>
      </c>
      <c r="I147">
        <f>IF(OR(A147="",H147=""),"",IFERROR(TEXTJOIN(", ",TRUE,IF((WL_Exercise=A147)*(WL_Date=H147),WL_Reps&amp;"×"&amp;WL_Weight,"")),""))</f>
        <v/>
      </c>
    </row>
    <row r="148">
      <c r="F148" s="8">
        <f>IF(A148="","",IFERROR(MAXIFS(WL_Weight,WL_Exercise,A148),""))</f>
        <v/>
      </c>
      <c r="G148" s="8">
        <f>IF(A148="","",IFERROR(MAXIFS(WL_e1RM,WL_Exercise,A148),""))</f>
        <v/>
      </c>
      <c r="H148" s="7">
        <f>IF(A148="","",IFERROR(MAXIFS(WL_Date,WL_Exercise,A148),""))</f>
        <v/>
      </c>
      <c r="I148">
        <f>IF(OR(A148="",H148=""),"",IFERROR(TEXTJOIN(", ",TRUE,IF((WL_Exercise=A148)*(WL_Date=H148),WL_Reps&amp;"×"&amp;WL_Weight,"")),""))</f>
        <v/>
      </c>
    </row>
    <row r="149">
      <c r="F149" s="8">
        <f>IF(A149="","",IFERROR(MAXIFS(WL_Weight,WL_Exercise,A149),""))</f>
        <v/>
      </c>
      <c r="G149" s="8">
        <f>IF(A149="","",IFERROR(MAXIFS(WL_e1RM,WL_Exercise,A149),""))</f>
        <v/>
      </c>
      <c r="H149" s="7">
        <f>IF(A149="","",IFERROR(MAXIFS(WL_Date,WL_Exercise,A149),""))</f>
        <v/>
      </c>
      <c r="I149">
        <f>IF(OR(A149="",H149=""),"",IFERROR(TEXTJOIN(", ",TRUE,IF((WL_Exercise=A149)*(WL_Date=H149),WL_Reps&amp;"×"&amp;WL_Weight,"")),""))</f>
        <v/>
      </c>
    </row>
    <row r="150">
      <c r="F150" s="8">
        <f>IF(A150="","",IFERROR(MAXIFS(WL_Weight,WL_Exercise,A150),""))</f>
        <v/>
      </c>
      <c r="G150" s="8">
        <f>IF(A150="","",IFERROR(MAXIFS(WL_e1RM,WL_Exercise,A150),""))</f>
        <v/>
      </c>
      <c r="H150" s="7">
        <f>IF(A150="","",IFERROR(MAXIFS(WL_Date,WL_Exercise,A150),""))</f>
        <v/>
      </c>
      <c r="I150">
        <f>IF(OR(A150="",H150=""),"",IFERROR(TEXTJOIN(", ",TRUE,IF((WL_Exercise=A150)*(WL_Date=H150),WL_Reps&amp;"×"&amp;WL_Weight,"")),""))</f>
        <v/>
      </c>
    </row>
    <row r="151">
      <c r="F151" s="8">
        <f>IF(A151="","",IFERROR(MAXIFS(WL_Weight,WL_Exercise,A151),""))</f>
        <v/>
      </c>
      <c r="G151" s="8">
        <f>IF(A151="","",IFERROR(MAXIFS(WL_e1RM,WL_Exercise,A151),""))</f>
        <v/>
      </c>
      <c r="H151" s="7">
        <f>IF(A151="","",IFERROR(MAXIFS(WL_Date,WL_Exercise,A151),""))</f>
        <v/>
      </c>
      <c r="I151">
        <f>IF(OR(A151="",H151=""),"",IFERROR(TEXTJOIN(", ",TRUE,IF((WL_Exercise=A151)*(WL_Date=H151),WL_Reps&amp;"×"&amp;WL_Weight,"")),""))</f>
        <v/>
      </c>
    </row>
    <row r="152">
      <c r="F152" s="8">
        <f>IF(A152="","",IFERROR(MAXIFS(WL_Weight,WL_Exercise,A152),""))</f>
        <v/>
      </c>
      <c r="G152" s="8">
        <f>IF(A152="","",IFERROR(MAXIFS(WL_e1RM,WL_Exercise,A152),""))</f>
        <v/>
      </c>
      <c r="H152" s="7">
        <f>IF(A152="","",IFERROR(MAXIFS(WL_Date,WL_Exercise,A152),""))</f>
        <v/>
      </c>
      <c r="I152">
        <f>IF(OR(A152="",H152=""),"",IFERROR(TEXTJOIN(", ",TRUE,IF((WL_Exercise=A152)*(WL_Date=H152),WL_Reps&amp;"×"&amp;WL_Weight,"")),""))</f>
        <v/>
      </c>
    </row>
    <row r="153">
      <c r="F153" s="8">
        <f>IF(A153="","",IFERROR(MAXIFS(WL_Weight,WL_Exercise,A153),""))</f>
        <v/>
      </c>
      <c r="G153" s="8">
        <f>IF(A153="","",IFERROR(MAXIFS(WL_e1RM,WL_Exercise,A153),""))</f>
        <v/>
      </c>
      <c r="H153" s="7">
        <f>IF(A153="","",IFERROR(MAXIFS(WL_Date,WL_Exercise,A153),""))</f>
        <v/>
      </c>
      <c r="I153">
        <f>IF(OR(A153="",H153=""),"",IFERROR(TEXTJOIN(", ",TRUE,IF((WL_Exercise=A153)*(WL_Date=H153),WL_Reps&amp;"×"&amp;WL_Weight,"")),""))</f>
        <v/>
      </c>
    </row>
    <row r="154">
      <c r="F154" s="8">
        <f>IF(A154="","",IFERROR(MAXIFS(WL_Weight,WL_Exercise,A154),""))</f>
        <v/>
      </c>
      <c r="G154" s="8">
        <f>IF(A154="","",IFERROR(MAXIFS(WL_e1RM,WL_Exercise,A154),""))</f>
        <v/>
      </c>
      <c r="H154" s="7">
        <f>IF(A154="","",IFERROR(MAXIFS(WL_Date,WL_Exercise,A154),""))</f>
        <v/>
      </c>
      <c r="I154">
        <f>IF(OR(A154="",H154=""),"",IFERROR(TEXTJOIN(", ",TRUE,IF((WL_Exercise=A154)*(WL_Date=H154),WL_Reps&amp;"×"&amp;WL_Weight,"")),""))</f>
        <v/>
      </c>
    </row>
    <row r="155">
      <c r="F155" s="8">
        <f>IF(A155="","",IFERROR(MAXIFS(WL_Weight,WL_Exercise,A155),""))</f>
        <v/>
      </c>
      <c r="G155" s="8">
        <f>IF(A155="","",IFERROR(MAXIFS(WL_e1RM,WL_Exercise,A155),""))</f>
        <v/>
      </c>
      <c r="H155" s="7">
        <f>IF(A155="","",IFERROR(MAXIFS(WL_Date,WL_Exercise,A155),""))</f>
        <v/>
      </c>
      <c r="I155">
        <f>IF(OR(A155="",H155=""),"",IFERROR(TEXTJOIN(", ",TRUE,IF((WL_Exercise=A155)*(WL_Date=H155),WL_Reps&amp;"×"&amp;WL_Weight,"")),""))</f>
        <v/>
      </c>
    </row>
    <row r="156">
      <c r="F156" s="8">
        <f>IF(A156="","",IFERROR(MAXIFS(WL_Weight,WL_Exercise,A156),""))</f>
        <v/>
      </c>
      <c r="G156" s="8">
        <f>IF(A156="","",IFERROR(MAXIFS(WL_e1RM,WL_Exercise,A156),""))</f>
        <v/>
      </c>
      <c r="H156" s="7">
        <f>IF(A156="","",IFERROR(MAXIFS(WL_Date,WL_Exercise,A156),""))</f>
        <v/>
      </c>
      <c r="I156">
        <f>IF(OR(A156="",H156=""),"",IFERROR(TEXTJOIN(", ",TRUE,IF((WL_Exercise=A156)*(WL_Date=H156),WL_Reps&amp;"×"&amp;WL_Weight,"")),""))</f>
        <v/>
      </c>
    </row>
    <row r="157">
      <c r="F157" s="8">
        <f>IF(A157="","",IFERROR(MAXIFS(WL_Weight,WL_Exercise,A157),""))</f>
        <v/>
      </c>
      <c r="G157" s="8">
        <f>IF(A157="","",IFERROR(MAXIFS(WL_e1RM,WL_Exercise,A157),""))</f>
        <v/>
      </c>
      <c r="H157" s="7">
        <f>IF(A157="","",IFERROR(MAXIFS(WL_Date,WL_Exercise,A157),""))</f>
        <v/>
      </c>
      <c r="I157">
        <f>IF(OR(A157="",H157=""),"",IFERROR(TEXTJOIN(", ",TRUE,IF((WL_Exercise=A157)*(WL_Date=H157),WL_Reps&amp;"×"&amp;WL_Weight,"")),""))</f>
        <v/>
      </c>
    </row>
    <row r="158">
      <c r="F158" s="8">
        <f>IF(A158="","",IFERROR(MAXIFS(WL_Weight,WL_Exercise,A158),""))</f>
        <v/>
      </c>
      <c r="G158" s="8">
        <f>IF(A158="","",IFERROR(MAXIFS(WL_e1RM,WL_Exercise,A158),""))</f>
        <v/>
      </c>
      <c r="H158" s="7">
        <f>IF(A158="","",IFERROR(MAXIFS(WL_Date,WL_Exercise,A158),""))</f>
        <v/>
      </c>
      <c r="I158">
        <f>IF(OR(A158="",H158=""),"",IFERROR(TEXTJOIN(", ",TRUE,IF((WL_Exercise=A158)*(WL_Date=H158),WL_Reps&amp;"×"&amp;WL_Weight,"")),""))</f>
        <v/>
      </c>
    </row>
    <row r="159">
      <c r="F159" s="8">
        <f>IF(A159="","",IFERROR(MAXIFS(WL_Weight,WL_Exercise,A159),""))</f>
        <v/>
      </c>
      <c r="G159" s="8">
        <f>IF(A159="","",IFERROR(MAXIFS(WL_e1RM,WL_Exercise,A159),""))</f>
        <v/>
      </c>
      <c r="H159" s="7">
        <f>IF(A159="","",IFERROR(MAXIFS(WL_Date,WL_Exercise,A159),""))</f>
        <v/>
      </c>
      <c r="I159">
        <f>IF(OR(A159="",H159=""),"",IFERROR(TEXTJOIN(", ",TRUE,IF((WL_Exercise=A159)*(WL_Date=H159),WL_Reps&amp;"×"&amp;WL_Weight,"")),""))</f>
        <v/>
      </c>
    </row>
    <row r="160">
      <c r="F160" s="8">
        <f>IF(A160="","",IFERROR(MAXIFS(WL_Weight,WL_Exercise,A160),""))</f>
        <v/>
      </c>
      <c r="G160" s="8">
        <f>IF(A160="","",IFERROR(MAXIFS(WL_e1RM,WL_Exercise,A160),""))</f>
        <v/>
      </c>
      <c r="H160" s="7">
        <f>IF(A160="","",IFERROR(MAXIFS(WL_Date,WL_Exercise,A160),""))</f>
        <v/>
      </c>
      <c r="I160">
        <f>IF(OR(A160="",H160=""),"",IFERROR(TEXTJOIN(", ",TRUE,IF((WL_Exercise=A160)*(WL_Date=H160),WL_Reps&amp;"×"&amp;WL_Weight,"")),""))</f>
        <v/>
      </c>
    </row>
    <row r="161">
      <c r="F161" s="8">
        <f>IF(A161="","",IFERROR(MAXIFS(WL_Weight,WL_Exercise,A161),""))</f>
        <v/>
      </c>
      <c r="G161" s="8">
        <f>IF(A161="","",IFERROR(MAXIFS(WL_e1RM,WL_Exercise,A161),""))</f>
        <v/>
      </c>
      <c r="H161" s="7">
        <f>IF(A161="","",IFERROR(MAXIFS(WL_Date,WL_Exercise,A161),""))</f>
        <v/>
      </c>
      <c r="I161">
        <f>IF(OR(A161="",H161=""),"",IFERROR(TEXTJOIN(", ",TRUE,IF((WL_Exercise=A161)*(WL_Date=H161),WL_Reps&amp;"×"&amp;WL_Weight,"")),""))</f>
        <v/>
      </c>
    </row>
    <row r="162">
      <c r="F162" s="8">
        <f>IF(A162="","",IFERROR(MAXIFS(WL_Weight,WL_Exercise,A162),""))</f>
        <v/>
      </c>
      <c r="G162" s="8">
        <f>IF(A162="","",IFERROR(MAXIFS(WL_e1RM,WL_Exercise,A162),""))</f>
        <v/>
      </c>
      <c r="H162" s="7">
        <f>IF(A162="","",IFERROR(MAXIFS(WL_Date,WL_Exercise,A162),""))</f>
        <v/>
      </c>
      <c r="I162">
        <f>IF(OR(A162="",H162=""),"",IFERROR(TEXTJOIN(", ",TRUE,IF((WL_Exercise=A162)*(WL_Date=H162),WL_Reps&amp;"×"&amp;WL_Weight,"")),""))</f>
        <v/>
      </c>
    </row>
    <row r="163">
      <c r="F163" s="8">
        <f>IF(A163="","",IFERROR(MAXIFS(WL_Weight,WL_Exercise,A163),""))</f>
        <v/>
      </c>
      <c r="G163" s="8">
        <f>IF(A163="","",IFERROR(MAXIFS(WL_e1RM,WL_Exercise,A163),""))</f>
        <v/>
      </c>
      <c r="H163" s="7">
        <f>IF(A163="","",IFERROR(MAXIFS(WL_Date,WL_Exercise,A163),""))</f>
        <v/>
      </c>
      <c r="I163">
        <f>IF(OR(A163="",H163=""),"",IFERROR(TEXTJOIN(", ",TRUE,IF((WL_Exercise=A163)*(WL_Date=H163),WL_Reps&amp;"×"&amp;WL_Weight,"")),""))</f>
        <v/>
      </c>
    </row>
    <row r="164">
      <c r="F164" s="8">
        <f>IF(A164="","",IFERROR(MAXIFS(WL_Weight,WL_Exercise,A164),""))</f>
        <v/>
      </c>
      <c r="G164" s="8">
        <f>IF(A164="","",IFERROR(MAXIFS(WL_e1RM,WL_Exercise,A164),""))</f>
        <v/>
      </c>
      <c r="H164" s="7">
        <f>IF(A164="","",IFERROR(MAXIFS(WL_Date,WL_Exercise,A164),""))</f>
        <v/>
      </c>
      <c r="I164">
        <f>IF(OR(A164="",H164=""),"",IFERROR(TEXTJOIN(", ",TRUE,IF((WL_Exercise=A164)*(WL_Date=H164),WL_Reps&amp;"×"&amp;WL_Weight,"")),""))</f>
        <v/>
      </c>
    </row>
    <row r="165">
      <c r="F165" s="8">
        <f>IF(A165="","",IFERROR(MAXIFS(WL_Weight,WL_Exercise,A165),""))</f>
        <v/>
      </c>
      <c r="G165" s="8">
        <f>IF(A165="","",IFERROR(MAXIFS(WL_e1RM,WL_Exercise,A165),""))</f>
        <v/>
      </c>
      <c r="H165" s="7">
        <f>IF(A165="","",IFERROR(MAXIFS(WL_Date,WL_Exercise,A165),""))</f>
        <v/>
      </c>
      <c r="I165">
        <f>IF(OR(A165="",H165=""),"",IFERROR(TEXTJOIN(", ",TRUE,IF((WL_Exercise=A165)*(WL_Date=H165),WL_Reps&amp;"×"&amp;WL_Weight,"")),""))</f>
        <v/>
      </c>
    </row>
    <row r="166">
      <c r="F166" s="8">
        <f>IF(A166="","",IFERROR(MAXIFS(WL_Weight,WL_Exercise,A166),""))</f>
        <v/>
      </c>
      <c r="G166" s="8">
        <f>IF(A166="","",IFERROR(MAXIFS(WL_e1RM,WL_Exercise,A166),""))</f>
        <v/>
      </c>
      <c r="H166" s="7">
        <f>IF(A166="","",IFERROR(MAXIFS(WL_Date,WL_Exercise,A166),""))</f>
        <v/>
      </c>
      <c r="I166">
        <f>IF(OR(A166="",H166=""),"",IFERROR(TEXTJOIN(", ",TRUE,IF((WL_Exercise=A166)*(WL_Date=H166),WL_Reps&amp;"×"&amp;WL_Weight,"")),""))</f>
        <v/>
      </c>
    </row>
    <row r="167">
      <c r="F167" s="8">
        <f>IF(A167="","",IFERROR(MAXIFS(WL_Weight,WL_Exercise,A167),""))</f>
        <v/>
      </c>
      <c r="G167" s="8">
        <f>IF(A167="","",IFERROR(MAXIFS(WL_e1RM,WL_Exercise,A167),""))</f>
        <v/>
      </c>
      <c r="H167" s="7">
        <f>IF(A167="","",IFERROR(MAXIFS(WL_Date,WL_Exercise,A167),""))</f>
        <v/>
      </c>
      <c r="I167">
        <f>IF(OR(A167="",H167=""),"",IFERROR(TEXTJOIN(", ",TRUE,IF((WL_Exercise=A167)*(WL_Date=H167),WL_Reps&amp;"×"&amp;WL_Weight,"")),""))</f>
        <v/>
      </c>
    </row>
    <row r="168">
      <c r="F168" s="8">
        <f>IF(A168="","",IFERROR(MAXIFS(WL_Weight,WL_Exercise,A168),""))</f>
        <v/>
      </c>
      <c r="G168" s="8">
        <f>IF(A168="","",IFERROR(MAXIFS(WL_e1RM,WL_Exercise,A168),""))</f>
        <v/>
      </c>
      <c r="H168" s="7">
        <f>IF(A168="","",IFERROR(MAXIFS(WL_Date,WL_Exercise,A168),""))</f>
        <v/>
      </c>
      <c r="I168">
        <f>IF(OR(A168="",H168=""),"",IFERROR(TEXTJOIN(", ",TRUE,IF((WL_Exercise=A168)*(WL_Date=H168),WL_Reps&amp;"×"&amp;WL_Weight,"")),""))</f>
        <v/>
      </c>
    </row>
    <row r="169">
      <c r="F169" s="8">
        <f>IF(A169="","",IFERROR(MAXIFS(WL_Weight,WL_Exercise,A169),""))</f>
        <v/>
      </c>
      <c r="G169" s="8">
        <f>IF(A169="","",IFERROR(MAXIFS(WL_e1RM,WL_Exercise,A169),""))</f>
        <v/>
      </c>
      <c r="H169" s="7">
        <f>IF(A169="","",IFERROR(MAXIFS(WL_Date,WL_Exercise,A169),""))</f>
        <v/>
      </c>
      <c r="I169">
        <f>IF(OR(A169="",H169=""),"",IFERROR(TEXTJOIN(", ",TRUE,IF((WL_Exercise=A169)*(WL_Date=H169),WL_Reps&amp;"×"&amp;WL_Weight,"")),""))</f>
        <v/>
      </c>
    </row>
    <row r="170">
      <c r="F170" s="8">
        <f>IF(A170="","",IFERROR(MAXIFS(WL_Weight,WL_Exercise,A170),""))</f>
        <v/>
      </c>
      <c r="G170" s="8">
        <f>IF(A170="","",IFERROR(MAXIFS(WL_e1RM,WL_Exercise,A170),""))</f>
        <v/>
      </c>
      <c r="H170" s="7">
        <f>IF(A170="","",IFERROR(MAXIFS(WL_Date,WL_Exercise,A170),""))</f>
        <v/>
      </c>
      <c r="I170">
        <f>IF(OR(A170="",H170=""),"",IFERROR(TEXTJOIN(", ",TRUE,IF((WL_Exercise=A170)*(WL_Date=H170),WL_Reps&amp;"×"&amp;WL_Weight,"")),""))</f>
        <v/>
      </c>
    </row>
    <row r="171">
      <c r="F171" s="8">
        <f>IF(A171="","",IFERROR(MAXIFS(WL_Weight,WL_Exercise,A171),""))</f>
        <v/>
      </c>
      <c r="G171" s="8">
        <f>IF(A171="","",IFERROR(MAXIFS(WL_e1RM,WL_Exercise,A171),""))</f>
        <v/>
      </c>
      <c r="H171" s="7">
        <f>IF(A171="","",IFERROR(MAXIFS(WL_Date,WL_Exercise,A171),""))</f>
        <v/>
      </c>
      <c r="I171">
        <f>IF(OR(A171="",H171=""),"",IFERROR(TEXTJOIN(", ",TRUE,IF((WL_Exercise=A171)*(WL_Date=H171),WL_Reps&amp;"×"&amp;WL_Weight,"")),""))</f>
        <v/>
      </c>
    </row>
    <row r="172">
      <c r="F172" s="8">
        <f>IF(A172="","",IFERROR(MAXIFS(WL_Weight,WL_Exercise,A172),""))</f>
        <v/>
      </c>
      <c r="G172" s="8">
        <f>IF(A172="","",IFERROR(MAXIFS(WL_e1RM,WL_Exercise,A172),""))</f>
        <v/>
      </c>
      <c r="H172" s="7">
        <f>IF(A172="","",IFERROR(MAXIFS(WL_Date,WL_Exercise,A172),""))</f>
        <v/>
      </c>
      <c r="I172">
        <f>IF(OR(A172="",H172=""),"",IFERROR(TEXTJOIN(", ",TRUE,IF((WL_Exercise=A172)*(WL_Date=H172),WL_Reps&amp;"×"&amp;WL_Weight,"")),""))</f>
        <v/>
      </c>
    </row>
    <row r="173">
      <c r="F173" s="8">
        <f>IF(A173="","",IFERROR(MAXIFS(WL_Weight,WL_Exercise,A173),""))</f>
        <v/>
      </c>
      <c r="G173" s="8">
        <f>IF(A173="","",IFERROR(MAXIFS(WL_e1RM,WL_Exercise,A173),""))</f>
        <v/>
      </c>
      <c r="H173" s="7">
        <f>IF(A173="","",IFERROR(MAXIFS(WL_Date,WL_Exercise,A173),""))</f>
        <v/>
      </c>
      <c r="I173">
        <f>IF(OR(A173="",H173=""),"",IFERROR(TEXTJOIN(", ",TRUE,IF((WL_Exercise=A173)*(WL_Date=H173),WL_Reps&amp;"×"&amp;WL_Weight,"")),""))</f>
        <v/>
      </c>
    </row>
    <row r="174">
      <c r="F174" s="8">
        <f>IF(A174="","",IFERROR(MAXIFS(WL_Weight,WL_Exercise,A174),""))</f>
        <v/>
      </c>
      <c r="G174" s="8">
        <f>IF(A174="","",IFERROR(MAXIFS(WL_e1RM,WL_Exercise,A174),""))</f>
        <v/>
      </c>
      <c r="H174" s="7">
        <f>IF(A174="","",IFERROR(MAXIFS(WL_Date,WL_Exercise,A174),""))</f>
        <v/>
      </c>
      <c r="I174">
        <f>IF(OR(A174="",H174=""),"",IFERROR(TEXTJOIN(", ",TRUE,IF((WL_Exercise=A174)*(WL_Date=H174),WL_Reps&amp;"×"&amp;WL_Weight,"")),""))</f>
        <v/>
      </c>
    </row>
    <row r="175">
      <c r="F175" s="8">
        <f>IF(A175="","",IFERROR(MAXIFS(WL_Weight,WL_Exercise,A175),""))</f>
        <v/>
      </c>
      <c r="G175" s="8">
        <f>IF(A175="","",IFERROR(MAXIFS(WL_e1RM,WL_Exercise,A175),""))</f>
        <v/>
      </c>
      <c r="H175" s="7">
        <f>IF(A175="","",IFERROR(MAXIFS(WL_Date,WL_Exercise,A175),""))</f>
        <v/>
      </c>
      <c r="I175">
        <f>IF(OR(A175="",H175=""),"",IFERROR(TEXTJOIN(", ",TRUE,IF((WL_Exercise=A175)*(WL_Date=H175),WL_Reps&amp;"×"&amp;WL_Weight,"")),""))</f>
        <v/>
      </c>
    </row>
    <row r="176">
      <c r="F176" s="8">
        <f>IF(A176="","",IFERROR(MAXIFS(WL_Weight,WL_Exercise,A176),""))</f>
        <v/>
      </c>
      <c r="G176" s="8">
        <f>IF(A176="","",IFERROR(MAXIFS(WL_e1RM,WL_Exercise,A176),""))</f>
        <v/>
      </c>
      <c r="H176" s="7">
        <f>IF(A176="","",IFERROR(MAXIFS(WL_Date,WL_Exercise,A176),""))</f>
        <v/>
      </c>
      <c r="I176">
        <f>IF(OR(A176="",H176=""),"",IFERROR(TEXTJOIN(", ",TRUE,IF((WL_Exercise=A176)*(WL_Date=H176),WL_Reps&amp;"×"&amp;WL_Weight,"")),""))</f>
        <v/>
      </c>
    </row>
    <row r="177">
      <c r="F177" s="8">
        <f>IF(A177="","",IFERROR(MAXIFS(WL_Weight,WL_Exercise,A177),""))</f>
        <v/>
      </c>
      <c r="G177" s="8">
        <f>IF(A177="","",IFERROR(MAXIFS(WL_e1RM,WL_Exercise,A177),""))</f>
        <v/>
      </c>
      <c r="H177" s="7">
        <f>IF(A177="","",IFERROR(MAXIFS(WL_Date,WL_Exercise,A177),""))</f>
        <v/>
      </c>
      <c r="I177">
        <f>IF(OR(A177="",H177=""),"",IFERROR(TEXTJOIN(", ",TRUE,IF((WL_Exercise=A177)*(WL_Date=H177),WL_Reps&amp;"×"&amp;WL_Weight,"")),""))</f>
        <v/>
      </c>
    </row>
    <row r="178">
      <c r="F178" s="8">
        <f>IF(A178="","",IFERROR(MAXIFS(WL_Weight,WL_Exercise,A178),""))</f>
        <v/>
      </c>
      <c r="G178" s="8">
        <f>IF(A178="","",IFERROR(MAXIFS(WL_e1RM,WL_Exercise,A178),""))</f>
        <v/>
      </c>
      <c r="H178" s="7">
        <f>IF(A178="","",IFERROR(MAXIFS(WL_Date,WL_Exercise,A178),""))</f>
        <v/>
      </c>
      <c r="I178">
        <f>IF(OR(A178="",H178=""),"",IFERROR(TEXTJOIN(", ",TRUE,IF((WL_Exercise=A178)*(WL_Date=H178),WL_Reps&amp;"×"&amp;WL_Weight,"")),""))</f>
        <v/>
      </c>
    </row>
    <row r="179">
      <c r="F179" s="8">
        <f>IF(A179="","",IFERROR(MAXIFS(WL_Weight,WL_Exercise,A179),""))</f>
        <v/>
      </c>
      <c r="G179" s="8">
        <f>IF(A179="","",IFERROR(MAXIFS(WL_e1RM,WL_Exercise,A179),""))</f>
        <v/>
      </c>
      <c r="H179" s="7">
        <f>IF(A179="","",IFERROR(MAXIFS(WL_Date,WL_Exercise,A179),""))</f>
        <v/>
      </c>
      <c r="I179">
        <f>IF(OR(A179="",H179=""),"",IFERROR(TEXTJOIN(", ",TRUE,IF((WL_Exercise=A179)*(WL_Date=H179),WL_Reps&amp;"×"&amp;WL_Weight,"")),""))</f>
        <v/>
      </c>
    </row>
    <row r="180">
      <c r="F180" s="8">
        <f>IF(A180="","",IFERROR(MAXIFS(WL_Weight,WL_Exercise,A180),""))</f>
        <v/>
      </c>
      <c r="G180" s="8">
        <f>IF(A180="","",IFERROR(MAXIFS(WL_e1RM,WL_Exercise,A180),""))</f>
        <v/>
      </c>
      <c r="H180" s="7">
        <f>IF(A180="","",IFERROR(MAXIFS(WL_Date,WL_Exercise,A180),""))</f>
        <v/>
      </c>
      <c r="I180">
        <f>IF(OR(A180="",H180=""),"",IFERROR(TEXTJOIN(", ",TRUE,IF((WL_Exercise=A180)*(WL_Date=H180),WL_Reps&amp;"×"&amp;WL_Weight,"")),""))</f>
        <v/>
      </c>
    </row>
    <row r="181">
      <c r="F181" s="8">
        <f>IF(A181="","",IFERROR(MAXIFS(WL_Weight,WL_Exercise,A181),""))</f>
        <v/>
      </c>
      <c r="G181" s="8">
        <f>IF(A181="","",IFERROR(MAXIFS(WL_e1RM,WL_Exercise,A181),""))</f>
        <v/>
      </c>
      <c r="H181" s="7">
        <f>IF(A181="","",IFERROR(MAXIFS(WL_Date,WL_Exercise,A181),""))</f>
        <v/>
      </c>
      <c r="I181">
        <f>IF(OR(A181="",H181=""),"",IFERROR(TEXTJOIN(", ",TRUE,IF((WL_Exercise=A181)*(WL_Date=H181),WL_Reps&amp;"×"&amp;WL_Weight,"")),""))</f>
        <v/>
      </c>
    </row>
    <row r="182">
      <c r="F182" s="8">
        <f>IF(A182="","",IFERROR(MAXIFS(WL_Weight,WL_Exercise,A182),""))</f>
        <v/>
      </c>
      <c r="G182" s="8">
        <f>IF(A182="","",IFERROR(MAXIFS(WL_e1RM,WL_Exercise,A182),""))</f>
        <v/>
      </c>
      <c r="H182" s="7">
        <f>IF(A182="","",IFERROR(MAXIFS(WL_Date,WL_Exercise,A182),""))</f>
        <v/>
      </c>
      <c r="I182">
        <f>IF(OR(A182="",H182=""),"",IFERROR(TEXTJOIN(", ",TRUE,IF((WL_Exercise=A182)*(WL_Date=H182),WL_Reps&amp;"×"&amp;WL_Weight,"")),""))</f>
        <v/>
      </c>
    </row>
    <row r="183">
      <c r="F183" s="8">
        <f>IF(A183="","",IFERROR(MAXIFS(WL_Weight,WL_Exercise,A183),""))</f>
        <v/>
      </c>
      <c r="G183" s="8">
        <f>IF(A183="","",IFERROR(MAXIFS(WL_e1RM,WL_Exercise,A183),""))</f>
        <v/>
      </c>
      <c r="H183" s="7">
        <f>IF(A183="","",IFERROR(MAXIFS(WL_Date,WL_Exercise,A183),""))</f>
        <v/>
      </c>
      <c r="I183">
        <f>IF(OR(A183="",H183=""),"",IFERROR(TEXTJOIN(", ",TRUE,IF((WL_Exercise=A183)*(WL_Date=H183),WL_Reps&amp;"×"&amp;WL_Weight,"")),""))</f>
        <v/>
      </c>
    </row>
    <row r="184">
      <c r="F184" s="8">
        <f>IF(A184="","",IFERROR(MAXIFS(WL_Weight,WL_Exercise,A184),""))</f>
        <v/>
      </c>
      <c r="G184" s="8">
        <f>IF(A184="","",IFERROR(MAXIFS(WL_e1RM,WL_Exercise,A184),""))</f>
        <v/>
      </c>
      <c r="H184" s="7">
        <f>IF(A184="","",IFERROR(MAXIFS(WL_Date,WL_Exercise,A184),""))</f>
        <v/>
      </c>
      <c r="I184">
        <f>IF(OR(A184="",H184=""),"",IFERROR(TEXTJOIN(", ",TRUE,IF((WL_Exercise=A184)*(WL_Date=H184),WL_Reps&amp;"×"&amp;WL_Weight,"")),""))</f>
        <v/>
      </c>
    </row>
    <row r="185">
      <c r="F185" s="8">
        <f>IF(A185="","",IFERROR(MAXIFS(WL_Weight,WL_Exercise,A185),""))</f>
        <v/>
      </c>
      <c r="G185" s="8">
        <f>IF(A185="","",IFERROR(MAXIFS(WL_e1RM,WL_Exercise,A185),""))</f>
        <v/>
      </c>
      <c r="H185" s="7">
        <f>IF(A185="","",IFERROR(MAXIFS(WL_Date,WL_Exercise,A185),""))</f>
        <v/>
      </c>
      <c r="I185">
        <f>IF(OR(A185="",H185=""),"",IFERROR(TEXTJOIN(", ",TRUE,IF((WL_Exercise=A185)*(WL_Date=H185),WL_Reps&amp;"×"&amp;WL_Weight,"")),""))</f>
        <v/>
      </c>
    </row>
    <row r="186">
      <c r="F186" s="8">
        <f>IF(A186="","",IFERROR(MAXIFS(WL_Weight,WL_Exercise,A186),""))</f>
        <v/>
      </c>
      <c r="G186" s="8">
        <f>IF(A186="","",IFERROR(MAXIFS(WL_e1RM,WL_Exercise,A186),""))</f>
        <v/>
      </c>
      <c r="H186" s="7">
        <f>IF(A186="","",IFERROR(MAXIFS(WL_Date,WL_Exercise,A186),""))</f>
        <v/>
      </c>
      <c r="I186">
        <f>IF(OR(A186="",H186=""),"",IFERROR(TEXTJOIN(", ",TRUE,IF((WL_Exercise=A186)*(WL_Date=H186),WL_Reps&amp;"×"&amp;WL_Weight,"")),""))</f>
        <v/>
      </c>
    </row>
    <row r="187">
      <c r="F187" s="8">
        <f>IF(A187="","",IFERROR(MAXIFS(WL_Weight,WL_Exercise,A187),""))</f>
        <v/>
      </c>
      <c r="G187" s="8">
        <f>IF(A187="","",IFERROR(MAXIFS(WL_e1RM,WL_Exercise,A187),""))</f>
        <v/>
      </c>
      <c r="H187" s="7">
        <f>IF(A187="","",IFERROR(MAXIFS(WL_Date,WL_Exercise,A187),""))</f>
        <v/>
      </c>
      <c r="I187">
        <f>IF(OR(A187="",H187=""),"",IFERROR(TEXTJOIN(", ",TRUE,IF((WL_Exercise=A187)*(WL_Date=H187),WL_Reps&amp;"×"&amp;WL_Weight,"")),""))</f>
        <v/>
      </c>
    </row>
    <row r="188">
      <c r="F188" s="8">
        <f>IF(A188="","",IFERROR(MAXIFS(WL_Weight,WL_Exercise,A188),""))</f>
        <v/>
      </c>
      <c r="G188" s="8">
        <f>IF(A188="","",IFERROR(MAXIFS(WL_e1RM,WL_Exercise,A188),""))</f>
        <v/>
      </c>
      <c r="H188" s="7">
        <f>IF(A188="","",IFERROR(MAXIFS(WL_Date,WL_Exercise,A188),""))</f>
        <v/>
      </c>
      <c r="I188">
        <f>IF(OR(A188="",H188=""),"",IFERROR(TEXTJOIN(", ",TRUE,IF((WL_Exercise=A188)*(WL_Date=H188),WL_Reps&amp;"×"&amp;WL_Weight,"")),""))</f>
        <v/>
      </c>
    </row>
    <row r="189">
      <c r="F189" s="8">
        <f>IF(A189="","",IFERROR(MAXIFS(WL_Weight,WL_Exercise,A189),""))</f>
        <v/>
      </c>
      <c r="G189" s="8">
        <f>IF(A189="","",IFERROR(MAXIFS(WL_e1RM,WL_Exercise,A189),""))</f>
        <v/>
      </c>
      <c r="H189" s="7">
        <f>IF(A189="","",IFERROR(MAXIFS(WL_Date,WL_Exercise,A189),""))</f>
        <v/>
      </c>
      <c r="I189">
        <f>IF(OR(A189="",H189=""),"",IFERROR(TEXTJOIN(", ",TRUE,IF((WL_Exercise=A189)*(WL_Date=H189),WL_Reps&amp;"×"&amp;WL_Weight,"")),""))</f>
        <v/>
      </c>
    </row>
    <row r="190">
      <c r="F190" s="8">
        <f>IF(A190="","",IFERROR(MAXIFS(WL_Weight,WL_Exercise,A190),""))</f>
        <v/>
      </c>
      <c r="G190" s="8">
        <f>IF(A190="","",IFERROR(MAXIFS(WL_e1RM,WL_Exercise,A190),""))</f>
        <v/>
      </c>
      <c r="H190" s="7">
        <f>IF(A190="","",IFERROR(MAXIFS(WL_Date,WL_Exercise,A190),""))</f>
        <v/>
      </c>
      <c r="I190">
        <f>IF(OR(A190="",H190=""),"",IFERROR(TEXTJOIN(", ",TRUE,IF((WL_Exercise=A190)*(WL_Date=H190),WL_Reps&amp;"×"&amp;WL_Weight,"")),""))</f>
        <v/>
      </c>
    </row>
    <row r="191">
      <c r="F191" s="8">
        <f>IF(A191="","",IFERROR(MAXIFS(WL_Weight,WL_Exercise,A191),""))</f>
        <v/>
      </c>
      <c r="G191" s="8">
        <f>IF(A191="","",IFERROR(MAXIFS(WL_e1RM,WL_Exercise,A191),""))</f>
        <v/>
      </c>
      <c r="H191" s="7">
        <f>IF(A191="","",IFERROR(MAXIFS(WL_Date,WL_Exercise,A191),""))</f>
        <v/>
      </c>
      <c r="I191">
        <f>IF(OR(A191="",H191=""),"",IFERROR(TEXTJOIN(", ",TRUE,IF((WL_Exercise=A191)*(WL_Date=H191),WL_Reps&amp;"×"&amp;WL_Weight,"")),""))</f>
        <v/>
      </c>
    </row>
    <row r="192">
      <c r="F192" s="8">
        <f>IF(A192="","",IFERROR(MAXIFS(WL_Weight,WL_Exercise,A192),""))</f>
        <v/>
      </c>
      <c r="G192" s="8">
        <f>IF(A192="","",IFERROR(MAXIFS(WL_e1RM,WL_Exercise,A192),""))</f>
        <v/>
      </c>
      <c r="H192" s="7">
        <f>IF(A192="","",IFERROR(MAXIFS(WL_Date,WL_Exercise,A192),""))</f>
        <v/>
      </c>
      <c r="I192">
        <f>IF(OR(A192="",H192=""),"",IFERROR(TEXTJOIN(", ",TRUE,IF((WL_Exercise=A192)*(WL_Date=H192),WL_Reps&amp;"×"&amp;WL_Weight,"")),""))</f>
        <v/>
      </c>
    </row>
    <row r="193">
      <c r="F193" s="8">
        <f>IF(A193="","",IFERROR(MAXIFS(WL_Weight,WL_Exercise,A193),""))</f>
        <v/>
      </c>
      <c r="G193" s="8">
        <f>IF(A193="","",IFERROR(MAXIFS(WL_e1RM,WL_Exercise,A193),""))</f>
        <v/>
      </c>
      <c r="H193" s="7">
        <f>IF(A193="","",IFERROR(MAXIFS(WL_Date,WL_Exercise,A193),""))</f>
        <v/>
      </c>
      <c r="I193">
        <f>IF(OR(A193="",H193=""),"",IFERROR(TEXTJOIN(", ",TRUE,IF((WL_Exercise=A193)*(WL_Date=H193),WL_Reps&amp;"×"&amp;WL_Weight,"")),""))</f>
        <v/>
      </c>
    </row>
    <row r="194">
      <c r="F194" s="8">
        <f>IF(A194="","",IFERROR(MAXIFS(WL_Weight,WL_Exercise,A194),""))</f>
        <v/>
      </c>
      <c r="G194" s="8">
        <f>IF(A194="","",IFERROR(MAXIFS(WL_e1RM,WL_Exercise,A194),""))</f>
        <v/>
      </c>
      <c r="H194" s="7">
        <f>IF(A194="","",IFERROR(MAXIFS(WL_Date,WL_Exercise,A194),""))</f>
        <v/>
      </c>
      <c r="I194">
        <f>IF(OR(A194="",H194=""),"",IFERROR(TEXTJOIN(", ",TRUE,IF((WL_Exercise=A194)*(WL_Date=H194),WL_Reps&amp;"×"&amp;WL_Weight,"")),""))</f>
        <v/>
      </c>
    </row>
    <row r="195">
      <c r="F195" s="8">
        <f>IF(A195="","",IFERROR(MAXIFS(WL_Weight,WL_Exercise,A195),""))</f>
        <v/>
      </c>
      <c r="G195" s="8">
        <f>IF(A195="","",IFERROR(MAXIFS(WL_e1RM,WL_Exercise,A195),""))</f>
        <v/>
      </c>
      <c r="H195" s="7">
        <f>IF(A195="","",IFERROR(MAXIFS(WL_Date,WL_Exercise,A195),""))</f>
        <v/>
      </c>
      <c r="I195">
        <f>IF(OR(A195="",H195=""),"",IFERROR(TEXTJOIN(", ",TRUE,IF((WL_Exercise=A195)*(WL_Date=H195),WL_Reps&amp;"×"&amp;WL_Weight,"")),""))</f>
        <v/>
      </c>
    </row>
    <row r="196">
      <c r="F196" s="8">
        <f>IF(A196="","",IFERROR(MAXIFS(WL_Weight,WL_Exercise,A196),""))</f>
        <v/>
      </c>
      <c r="G196" s="8">
        <f>IF(A196="","",IFERROR(MAXIFS(WL_e1RM,WL_Exercise,A196),""))</f>
        <v/>
      </c>
      <c r="H196" s="7">
        <f>IF(A196="","",IFERROR(MAXIFS(WL_Date,WL_Exercise,A196),""))</f>
        <v/>
      </c>
      <c r="I196">
        <f>IF(OR(A196="",H196=""),"",IFERROR(TEXTJOIN(", ",TRUE,IF((WL_Exercise=A196)*(WL_Date=H196),WL_Reps&amp;"×"&amp;WL_Weight,"")),""))</f>
        <v/>
      </c>
    </row>
    <row r="197">
      <c r="F197" s="8">
        <f>IF(A197="","",IFERROR(MAXIFS(WL_Weight,WL_Exercise,A197),""))</f>
        <v/>
      </c>
      <c r="G197" s="8">
        <f>IF(A197="","",IFERROR(MAXIFS(WL_e1RM,WL_Exercise,A197),""))</f>
        <v/>
      </c>
      <c r="H197" s="7">
        <f>IF(A197="","",IFERROR(MAXIFS(WL_Date,WL_Exercise,A197),""))</f>
        <v/>
      </c>
      <c r="I197">
        <f>IF(OR(A197="",H197=""),"",IFERROR(TEXTJOIN(", ",TRUE,IF((WL_Exercise=A197)*(WL_Date=H197),WL_Reps&amp;"×"&amp;WL_Weight,"")),""))</f>
        <v/>
      </c>
    </row>
    <row r="198">
      <c r="F198" s="8">
        <f>IF(A198="","",IFERROR(MAXIFS(WL_Weight,WL_Exercise,A198),""))</f>
        <v/>
      </c>
      <c r="G198" s="8">
        <f>IF(A198="","",IFERROR(MAXIFS(WL_e1RM,WL_Exercise,A198),""))</f>
        <v/>
      </c>
      <c r="H198" s="7">
        <f>IF(A198="","",IFERROR(MAXIFS(WL_Date,WL_Exercise,A198),""))</f>
        <v/>
      </c>
      <c r="I198">
        <f>IF(OR(A198="",H198=""),"",IFERROR(TEXTJOIN(", ",TRUE,IF((WL_Exercise=A198)*(WL_Date=H198),WL_Reps&amp;"×"&amp;WL_Weight,"")),""))</f>
        <v/>
      </c>
    </row>
    <row r="199">
      <c r="F199" s="8">
        <f>IF(A199="","",IFERROR(MAXIFS(WL_Weight,WL_Exercise,A199),""))</f>
        <v/>
      </c>
      <c r="G199" s="8">
        <f>IF(A199="","",IFERROR(MAXIFS(WL_e1RM,WL_Exercise,A199),""))</f>
        <v/>
      </c>
      <c r="H199" s="7">
        <f>IF(A199="","",IFERROR(MAXIFS(WL_Date,WL_Exercise,A199),""))</f>
        <v/>
      </c>
      <c r="I199">
        <f>IF(OR(A199="",H199=""),"",IFERROR(TEXTJOIN(", ",TRUE,IF((WL_Exercise=A199)*(WL_Date=H199),WL_Reps&amp;"×"&amp;WL_Weight,"")),""))</f>
        <v/>
      </c>
    </row>
    <row r="200">
      <c r="F200" s="8">
        <f>IF(A200="","",IFERROR(MAXIFS(WL_Weight,WL_Exercise,A200),""))</f>
        <v/>
      </c>
      <c r="G200" s="8">
        <f>IF(A200="","",IFERROR(MAXIFS(WL_e1RM,WL_Exercise,A200),""))</f>
        <v/>
      </c>
      <c r="H200" s="7">
        <f>IF(A200="","",IFERROR(MAXIFS(WL_Date,WL_Exercise,A200),""))</f>
        <v/>
      </c>
      <c r="I200">
        <f>IF(OR(A200="",H200=""),"",IFERROR(TEXTJOIN(", ",TRUE,IF((WL_Exercise=A200)*(WL_Date=H200),WL_Reps&amp;"×"&amp;WL_Weight,"")),""))</f>
        <v/>
      </c>
    </row>
    <row r="201">
      <c r="F201" s="8">
        <f>IF(A201="","",IFERROR(MAXIFS(WL_Weight,WL_Exercise,A201),""))</f>
        <v/>
      </c>
      <c r="G201" s="8">
        <f>IF(A201="","",IFERROR(MAXIFS(WL_e1RM,WL_Exercise,A201),""))</f>
        <v/>
      </c>
      <c r="H201" s="7">
        <f>IF(A201="","",IFERROR(MAXIFS(WL_Date,WL_Exercise,A201),""))</f>
        <v/>
      </c>
      <c r="I201">
        <f>IF(OR(A201="",H201=""),"",IFERROR(TEXTJOIN(", ",TRUE,IF((WL_Exercise=A201)*(WL_Date=H201),WL_Reps&amp;"×"&amp;WL_Weight,"")),""))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4" customWidth="1" min="3" max="3"/>
    <col width="12" customWidth="1" min="4" max="4"/>
    <col width="14" customWidth="1" min="5" max="5"/>
    <col width="16" customWidth="1" min="6" max="6"/>
    <col width="18" customWidth="1" min="7" max="7"/>
  </cols>
  <sheetData>
    <row r="1">
      <c r="A1" s="2" t="inlineStr">
        <is>
          <t>Exercise</t>
        </is>
      </c>
      <c r="B1" s="2" t="inlineStr">
        <is>
          <t>Heaviest Weight</t>
        </is>
      </c>
      <c r="C1" s="2" t="inlineStr">
        <is>
          <t>Heaviest Date</t>
        </is>
      </c>
      <c r="D1" s="2" t="inlineStr">
        <is>
          <t>Best e1RM</t>
        </is>
      </c>
      <c r="E1" s="2" t="inlineStr">
        <is>
          <t>Best e1RM Date</t>
        </is>
      </c>
      <c r="F1" s="2" t="inlineStr">
        <is>
          <t>Best e1RM Reps</t>
        </is>
      </c>
      <c r="G1" s="2" t="inlineStr">
        <is>
          <t>Best e1RM Weight</t>
        </is>
      </c>
    </row>
    <row r="2">
      <c r="A2">
        <f>'Exercise Library'!A2</f>
        <v/>
      </c>
      <c r="B2" s="8">
        <f>IF(A2="","",IFERROR(MAXIFS(WL_Weight,WL_Exercise,A2),""))</f>
        <v/>
      </c>
      <c r="C2" s="7">
        <f>IF(OR(A2="",B2=""),"",IFERROR(XLOOKUP(1,(WL_Exercise=A2)*(WL_Weight=B2),WL_Date,"",0),""))</f>
        <v/>
      </c>
      <c r="D2" s="8">
        <f>IF(A2="","",IFERROR(MAXIFS(WL_e1RM,WL_Exercise,A2),""))</f>
        <v/>
      </c>
      <c r="E2" s="7">
        <f>IF(OR(A2="",D2=""),"",IFERROR(XLOOKUP(1,(WL_Exercise=A2)*(WL_e1RM=D2),WL_Date,"",0),""))</f>
        <v/>
      </c>
      <c r="F2">
        <f>IF(OR(A2="",D2=""),"",IFERROR(XLOOKUP(1,(WL_Exercise=A2)*(WL_e1RM=D2),WL_Reps,"",0),""))</f>
        <v/>
      </c>
      <c r="G2" s="8">
        <f>IF(OR(A2="",D2=""),"",IFERROR(XLOOKUP(1,(WL_Exercise=A2)*(WL_e1RM=D2),WL_Weight,"",0),""))</f>
        <v/>
      </c>
    </row>
    <row r="3">
      <c r="A3">
        <f>'Exercise Library'!A3</f>
        <v/>
      </c>
      <c r="B3" s="8">
        <f>IF(A3="","",IFERROR(MAXIFS(WL_Weight,WL_Exercise,A3),""))</f>
        <v/>
      </c>
      <c r="C3" s="7">
        <f>IF(OR(A3="",B3=""),"",IFERROR(XLOOKUP(1,(WL_Exercise=A3)*(WL_Weight=B3),WL_Date,"",0),""))</f>
        <v/>
      </c>
      <c r="D3" s="8">
        <f>IF(A3="","",IFERROR(MAXIFS(WL_e1RM,WL_Exercise,A3),""))</f>
        <v/>
      </c>
      <c r="E3" s="7">
        <f>IF(OR(A3="",D3=""),"",IFERROR(XLOOKUP(1,(WL_Exercise=A3)*(WL_e1RM=D3),WL_Date,"",0),""))</f>
        <v/>
      </c>
      <c r="F3">
        <f>IF(OR(A3="",D3=""),"",IFERROR(XLOOKUP(1,(WL_Exercise=A3)*(WL_e1RM=D3),WL_Reps,"",0),""))</f>
        <v/>
      </c>
      <c r="G3" s="8">
        <f>IF(OR(A3="",D3=""),"",IFERROR(XLOOKUP(1,(WL_Exercise=A3)*(WL_e1RM=D3),WL_Weight,"",0),""))</f>
        <v/>
      </c>
    </row>
    <row r="4">
      <c r="A4">
        <f>'Exercise Library'!A4</f>
        <v/>
      </c>
      <c r="B4" s="8">
        <f>IF(A4="","",IFERROR(MAXIFS(WL_Weight,WL_Exercise,A4),""))</f>
        <v/>
      </c>
      <c r="C4" s="7">
        <f>IF(OR(A4="",B4=""),"",IFERROR(XLOOKUP(1,(WL_Exercise=A4)*(WL_Weight=B4),WL_Date,"",0),""))</f>
        <v/>
      </c>
      <c r="D4" s="8">
        <f>IF(A4="","",IFERROR(MAXIFS(WL_e1RM,WL_Exercise,A4),""))</f>
        <v/>
      </c>
      <c r="E4" s="7">
        <f>IF(OR(A4="",D4=""),"",IFERROR(XLOOKUP(1,(WL_Exercise=A4)*(WL_e1RM=D4),WL_Date,"",0),""))</f>
        <v/>
      </c>
      <c r="F4">
        <f>IF(OR(A4="",D4=""),"",IFERROR(XLOOKUP(1,(WL_Exercise=A4)*(WL_e1RM=D4),WL_Reps,"",0),""))</f>
        <v/>
      </c>
      <c r="G4" s="8">
        <f>IF(OR(A4="",D4=""),"",IFERROR(XLOOKUP(1,(WL_Exercise=A4)*(WL_e1RM=D4),WL_Weight,"",0),""))</f>
        <v/>
      </c>
    </row>
    <row r="5">
      <c r="A5">
        <f>'Exercise Library'!A5</f>
        <v/>
      </c>
      <c r="B5" s="8">
        <f>IF(A5="","",IFERROR(MAXIFS(WL_Weight,WL_Exercise,A5),""))</f>
        <v/>
      </c>
      <c r="C5" s="7">
        <f>IF(OR(A5="",B5=""),"",IFERROR(XLOOKUP(1,(WL_Exercise=A5)*(WL_Weight=B5),WL_Date,"",0),""))</f>
        <v/>
      </c>
      <c r="D5" s="8">
        <f>IF(A5="","",IFERROR(MAXIFS(WL_e1RM,WL_Exercise,A5),""))</f>
        <v/>
      </c>
      <c r="E5" s="7">
        <f>IF(OR(A5="",D5=""),"",IFERROR(XLOOKUP(1,(WL_Exercise=A5)*(WL_e1RM=D5),WL_Date,"",0),""))</f>
        <v/>
      </c>
      <c r="F5">
        <f>IF(OR(A5="",D5=""),"",IFERROR(XLOOKUP(1,(WL_Exercise=A5)*(WL_e1RM=D5),WL_Reps,"",0),""))</f>
        <v/>
      </c>
      <c r="G5" s="8">
        <f>IF(OR(A5="",D5=""),"",IFERROR(XLOOKUP(1,(WL_Exercise=A5)*(WL_e1RM=D5),WL_Weight,"",0),""))</f>
        <v/>
      </c>
    </row>
    <row r="6">
      <c r="A6">
        <f>'Exercise Library'!A6</f>
        <v/>
      </c>
      <c r="B6" s="8">
        <f>IF(A6="","",IFERROR(MAXIFS(WL_Weight,WL_Exercise,A6),""))</f>
        <v/>
      </c>
      <c r="C6" s="7">
        <f>IF(OR(A6="",B6=""),"",IFERROR(XLOOKUP(1,(WL_Exercise=A6)*(WL_Weight=B6),WL_Date,"",0),""))</f>
        <v/>
      </c>
      <c r="D6" s="8">
        <f>IF(A6="","",IFERROR(MAXIFS(WL_e1RM,WL_Exercise,A6),""))</f>
        <v/>
      </c>
      <c r="E6" s="7">
        <f>IF(OR(A6="",D6=""),"",IFERROR(XLOOKUP(1,(WL_Exercise=A6)*(WL_e1RM=D6),WL_Date,"",0),""))</f>
        <v/>
      </c>
      <c r="F6">
        <f>IF(OR(A6="",D6=""),"",IFERROR(XLOOKUP(1,(WL_Exercise=A6)*(WL_e1RM=D6),WL_Reps,"",0),""))</f>
        <v/>
      </c>
      <c r="G6" s="8">
        <f>IF(OR(A6="",D6=""),"",IFERROR(XLOOKUP(1,(WL_Exercise=A6)*(WL_e1RM=D6),WL_Weight,"",0),""))</f>
        <v/>
      </c>
    </row>
    <row r="7">
      <c r="A7">
        <f>'Exercise Library'!A7</f>
        <v/>
      </c>
      <c r="B7" s="8">
        <f>IF(A7="","",IFERROR(MAXIFS(WL_Weight,WL_Exercise,A7),""))</f>
        <v/>
      </c>
      <c r="C7" s="7">
        <f>IF(OR(A7="",B7=""),"",IFERROR(XLOOKUP(1,(WL_Exercise=A7)*(WL_Weight=B7),WL_Date,"",0),""))</f>
        <v/>
      </c>
      <c r="D7" s="8">
        <f>IF(A7="","",IFERROR(MAXIFS(WL_e1RM,WL_Exercise,A7),""))</f>
        <v/>
      </c>
      <c r="E7" s="7">
        <f>IF(OR(A7="",D7=""),"",IFERROR(XLOOKUP(1,(WL_Exercise=A7)*(WL_e1RM=D7),WL_Date,"",0),""))</f>
        <v/>
      </c>
      <c r="F7">
        <f>IF(OR(A7="",D7=""),"",IFERROR(XLOOKUP(1,(WL_Exercise=A7)*(WL_e1RM=D7),WL_Reps,"",0),""))</f>
        <v/>
      </c>
      <c r="G7" s="8">
        <f>IF(OR(A7="",D7=""),"",IFERROR(XLOOKUP(1,(WL_Exercise=A7)*(WL_e1RM=D7),WL_Weight,"",0),""))</f>
        <v/>
      </c>
    </row>
    <row r="8">
      <c r="A8">
        <f>'Exercise Library'!A8</f>
        <v/>
      </c>
      <c r="B8" s="8">
        <f>IF(A8="","",IFERROR(MAXIFS(WL_Weight,WL_Exercise,A8),""))</f>
        <v/>
      </c>
      <c r="C8" s="7">
        <f>IF(OR(A8="",B8=""),"",IFERROR(XLOOKUP(1,(WL_Exercise=A8)*(WL_Weight=B8),WL_Date,"",0),""))</f>
        <v/>
      </c>
      <c r="D8" s="8">
        <f>IF(A8="","",IFERROR(MAXIFS(WL_e1RM,WL_Exercise,A8),""))</f>
        <v/>
      </c>
      <c r="E8" s="7">
        <f>IF(OR(A8="",D8=""),"",IFERROR(XLOOKUP(1,(WL_Exercise=A8)*(WL_e1RM=D8),WL_Date,"",0),""))</f>
        <v/>
      </c>
      <c r="F8">
        <f>IF(OR(A8="",D8=""),"",IFERROR(XLOOKUP(1,(WL_Exercise=A8)*(WL_e1RM=D8),WL_Reps,"",0),""))</f>
        <v/>
      </c>
      <c r="G8" s="8">
        <f>IF(OR(A8="",D8=""),"",IFERROR(XLOOKUP(1,(WL_Exercise=A8)*(WL_e1RM=D8),WL_Weight,"",0),""))</f>
        <v/>
      </c>
    </row>
    <row r="9">
      <c r="A9">
        <f>'Exercise Library'!A9</f>
        <v/>
      </c>
      <c r="B9" s="8">
        <f>IF(A9="","",IFERROR(MAXIFS(WL_Weight,WL_Exercise,A9),""))</f>
        <v/>
      </c>
      <c r="C9" s="7">
        <f>IF(OR(A9="",B9=""),"",IFERROR(XLOOKUP(1,(WL_Exercise=A9)*(WL_Weight=B9),WL_Date,"",0),""))</f>
        <v/>
      </c>
      <c r="D9" s="8">
        <f>IF(A9="","",IFERROR(MAXIFS(WL_e1RM,WL_Exercise,A9),""))</f>
        <v/>
      </c>
      <c r="E9" s="7">
        <f>IF(OR(A9="",D9=""),"",IFERROR(XLOOKUP(1,(WL_Exercise=A9)*(WL_e1RM=D9),WL_Date,"",0),""))</f>
        <v/>
      </c>
      <c r="F9">
        <f>IF(OR(A9="",D9=""),"",IFERROR(XLOOKUP(1,(WL_Exercise=A9)*(WL_e1RM=D9),WL_Reps,"",0),""))</f>
        <v/>
      </c>
      <c r="G9" s="8">
        <f>IF(OR(A9="",D9=""),"",IFERROR(XLOOKUP(1,(WL_Exercise=A9)*(WL_e1RM=D9),WL_Weight,"",0),""))</f>
        <v/>
      </c>
    </row>
    <row r="10">
      <c r="A10">
        <f>'Exercise Library'!A10</f>
        <v/>
      </c>
      <c r="B10" s="8">
        <f>IF(A10="","",IFERROR(MAXIFS(WL_Weight,WL_Exercise,A10),""))</f>
        <v/>
      </c>
      <c r="C10" s="7">
        <f>IF(OR(A10="",B10=""),"",IFERROR(XLOOKUP(1,(WL_Exercise=A10)*(WL_Weight=B10),WL_Date,"",0),""))</f>
        <v/>
      </c>
      <c r="D10" s="8">
        <f>IF(A10="","",IFERROR(MAXIFS(WL_e1RM,WL_Exercise,A10),""))</f>
        <v/>
      </c>
      <c r="E10" s="7">
        <f>IF(OR(A10="",D10=""),"",IFERROR(XLOOKUP(1,(WL_Exercise=A10)*(WL_e1RM=D10),WL_Date,"",0),""))</f>
        <v/>
      </c>
      <c r="F10">
        <f>IF(OR(A10="",D10=""),"",IFERROR(XLOOKUP(1,(WL_Exercise=A10)*(WL_e1RM=D10),WL_Reps,"",0),""))</f>
        <v/>
      </c>
      <c r="G10" s="8">
        <f>IF(OR(A10="",D10=""),"",IFERROR(XLOOKUP(1,(WL_Exercise=A10)*(WL_e1RM=D10),WL_Weight,"",0),""))</f>
        <v/>
      </c>
    </row>
    <row r="11">
      <c r="A11">
        <f>'Exercise Library'!A11</f>
        <v/>
      </c>
      <c r="B11" s="8">
        <f>IF(A11="","",IFERROR(MAXIFS(WL_Weight,WL_Exercise,A11),""))</f>
        <v/>
      </c>
      <c r="C11" s="7">
        <f>IF(OR(A11="",B11=""),"",IFERROR(XLOOKUP(1,(WL_Exercise=A11)*(WL_Weight=B11),WL_Date,"",0),""))</f>
        <v/>
      </c>
      <c r="D11" s="8">
        <f>IF(A11="","",IFERROR(MAXIFS(WL_e1RM,WL_Exercise,A11),""))</f>
        <v/>
      </c>
      <c r="E11" s="7">
        <f>IF(OR(A11="",D11=""),"",IFERROR(XLOOKUP(1,(WL_Exercise=A11)*(WL_e1RM=D11),WL_Date,"",0),""))</f>
        <v/>
      </c>
      <c r="F11">
        <f>IF(OR(A11="",D11=""),"",IFERROR(XLOOKUP(1,(WL_Exercise=A11)*(WL_e1RM=D11),WL_Reps,"",0),""))</f>
        <v/>
      </c>
      <c r="G11" s="8">
        <f>IF(OR(A11="",D11=""),"",IFERROR(XLOOKUP(1,(WL_Exercise=A11)*(WL_e1RM=D11),WL_Weight,"",0),""))</f>
        <v/>
      </c>
    </row>
    <row r="12">
      <c r="A12">
        <f>'Exercise Library'!A12</f>
        <v/>
      </c>
      <c r="B12" s="8">
        <f>IF(A12="","",IFERROR(MAXIFS(WL_Weight,WL_Exercise,A12),""))</f>
        <v/>
      </c>
      <c r="C12" s="7">
        <f>IF(OR(A12="",B12=""),"",IFERROR(XLOOKUP(1,(WL_Exercise=A12)*(WL_Weight=B12),WL_Date,"",0),""))</f>
        <v/>
      </c>
      <c r="D12" s="8">
        <f>IF(A12="","",IFERROR(MAXIFS(WL_e1RM,WL_Exercise,A12),""))</f>
        <v/>
      </c>
      <c r="E12" s="7">
        <f>IF(OR(A12="",D12=""),"",IFERROR(XLOOKUP(1,(WL_Exercise=A12)*(WL_e1RM=D12),WL_Date,"",0),""))</f>
        <v/>
      </c>
      <c r="F12">
        <f>IF(OR(A12="",D12=""),"",IFERROR(XLOOKUP(1,(WL_Exercise=A12)*(WL_e1RM=D12),WL_Reps,"",0),""))</f>
        <v/>
      </c>
      <c r="G12" s="8">
        <f>IF(OR(A12="",D12=""),"",IFERROR(XLOOKUP(1,(WL_Exercise=A12)*(WL_e1RM=D12),WL_Weight,"",0),""))</f>
        <v/>
      </c>
    </row>
    <row r="13">
      <c r="A13">
        <f>'Exercise Library'!A13</f>
        <v/>
      </c>
      <c r="B13" s="8">
        <f>IF(A13="","",IFERROR(MAXIFS(WL_Weight,WL_Exercise,A13),""))</f>
        <v/>
      </c>
      <c r="C13" s="7">
        <f>IF(OR(A13="",B13=""),"",IFERROR(XLOOKUP(1,(WL_Exercise=A13)*(WL_Weight=B13),WL_Date,"",0),""))</f>
        <v/>
      </c>
      <c r="D13" s="8">
        <f>IF(A13="","",IFERROR(MAXIFS(WL_e1RM,WL_Exercise,A13),""))</f>
        <v/>
      </c>
      <c r="E13" s="7">
        <f>IF(OR(A13="",D13=""),"",IFERROR(XLOOKUP(1,(WL_Exercise=A13)*(WL_e1RM=D13),WL_Date,"",0),""))</f>
        <v/>
      </c>
      <c r="F13">
        <f>IF(OR(A13="",D13=""),"",IFERROR(XLOOKUP(1,(WL_Exercise=A13)*(WL_e1RM=D13),WL_Reps,"",0),""))</f>
        <v/>
      </c>
      <c r="G13" s="8">
        <f>IF(OR(A13="",D13=""),"",IFERROR(XLOOKUP(1,(WL_Exercise=A13)*(WL_e1RM=D13),WL_Weight,"",0),""))</f>
        <v/>
      </c>
    </row>
    <row r="14">
      <c r="A14">
        <f>'Exercise Library'!A14</f>
        <v/>
      </c>
      <c r="B14" s="8">
        <f>IF(A14="","",IFERROR(MAXIFS(WL_Weight,WL_Exercise,A14),""))</f>
        <v/>
      </c>
      <c r="C14" s="7">
        <f>IF(OR(A14="",B14=""),"",IFERROR(XLOOKUP(1,(WL_Exercise=A14)*(WL_Weight=B14),WL_Date,"",0),""))</f>
        <v/>
      </c>
      <c r="D14" s="8">
        <f>IF(A14="","",IFERROR(MAXIFS(WL_e1RM,WL_Exercise,A14),""))</f>
        <v/>
      </c>
      <c r="E14" s="7">
        <f>IF(OR(A14="",D14=""),"",IFERROR(XLOOKUP(1,(WL_Exercise=A14)*(WL_e1RM=D14),WL_Date,"",0),""))</f>
        <v/>
      </c>
      <c r="F14">
        <f>IF(OR(A14="",D14=""),"",IFERROR(XLOOKUP(1,(WL_Exercise=A14)*(WL_e1RM=D14),WL_Reps,"",0),""))</f>
        <v/>
      </c>
      <c r="G14" s="8">
        <f>IF(OR(A14="",D14=""),"",IFERROR(XLOOKUP(1,(WL_Exercise=A14)*(WL_e1RM=D14),WL_Weight,"",0),""))</f>
        <v/>
      </c>
    </row>
    <row r="15">
      <c r="A15">
        <f>'Exercise Library'!A15</f>
        <v/>
      </c>
      <c r="B15" s="8">
        <f>IF(A15="","",IFERROR(MAXIFS(WL_Weight,WL_Exercise,A15),""))</f>
        <v/>
      </c>
      <c r="C15" s="7">
        <f>IF(OR(A15="",B15=""),"",IFERROR(XLOOKUP(1,(WL_Exercise=A15)*(WL_Weight=B15),WL_Date,"",0),""))</f>
        <v/>
      </c>
      <c r="D15" s="8">
        <f>IF(A15="","",IFERROR(MAXIFS(WL_e1RM,WL_Exercise,A15),""))</f>
        <v/>
      </c>
      <c r="E15" s="7">
        <f>IF(OR(A15="",D15=""),"",IFERROR(XLOOKUP(1,(WL_Exercise=A15)*(WL_e1RM=D15),WL_Date,"",0),""))</f>
        <v/>
      </c>
      <c r="F15">
        <f>IF(OR(A15="",D15=""),"",IFERROR(XLOOKUP(1,(WL_Exercise=A15)*(WL_e1RM=D15),WL_Reps,"",0),""))</f>
        <v/>
      </c>
      <c r="G15" s="8">
        <f>IF(OR(A15="",D15=""),"",IFERROR(XLOOKUP(1,(WL_Exercise=A15)*(WL_e1RM=D15),WL_Weight,"",0),""))</f>
        <v/>
      </c>
    </row>
    <row r="16">
      <c r="A16">
        <f>'Exercise Library'!A16</f>
        <v/>
      </c>
      <c r="B16" s="8">
        <f>IF(A16="","",IFERROR(MAXIFS(WL_Weight,WL_Exercise,A16),""))</f>
        <v/>
      </c>
      <c r="C16" s="7">
        <f>IF(OR(A16="",B16=""),"",IFERROR(XLOOKUP(1,(WL_Exercise=A16)*(WL_Weight=B16),WL_Date,"",0),""))</f>
        <v/>
      </c>
      <c r="D16" s="8">
        <f>IF(A16="","",IFERROR(MAXIFS(WL_e1RM,WL_Exercise,A16),""))</f>
        <v/>
      </c>
      <c r="E16" s="7">
        <f>IF(OR(A16="",D16=""),"",IFERROR(XLOOKUP(1,(WL_Exercise=A16)*(WL_e1RM=D16),WL_Date,"",0),""))</f>
        <v/>
      </c>
      <c r="F16">
        <f>IF(OR(A16="",D16=""),"",IFERROR(XLOOKUP(1,(WL_Exercise=A16)*(WL_e1RM=D16),WL_Reps,"",0),""))</f>
        <v/>
      </c>
      <c r="G16" s="8">
        <f>IF(OR(A16="",D16=""),"",IFERROR(XLOOKUP(1,(WL_Exercise=A16)*(WL_e1RM=D16),WL_Weight,"",0),""))</f>
        <v/>
      </c>
    </row>
    <row r="17">
      <c r="A17">
        <f>'Exercise Library'!A17</f>
        <v/>
      </c>
      <c r="B17" s="8">
        <f>IF(A17="","",IFERROR(MAXIFS(WL_Weight,WL_Exercise,A17),""))</f>
        <v/>
      </c>
      <c r="C17" s="7">
        <f>IF(OR(A17="",B17=""),"",IFERROR(XLOOKUP(1,(WL_Exercise=A17)*(WL_Weight=B17),WL_Date,"",0),""))</f>
        <v/>
      </c>
      <c r="D17" s="8">
        <f>IF(A17="","",IFERROR(MAXIFS(WL_e1RM,WL_Exercise,A17),""))</f>
        <v/>
      </c>
      <c r="E17" s="7">
        <f>IF(OR(A17="",D17=""),"",IFERROR(XLOOKUP(1,(WL_Exercise=A17)*(WL_e1RM=D17),WL_Date,"",0),""))</f>
        <v/>
      </c>
      <c r="F17">
        <f>IF(OR(A17="",D17=""),"",IFERROR(XLOOKUP(1,(WL_Exercise=A17)*(WL_e1RM=D17),WL_Reps,"",0),""))</f>
        <v/>
      </c>
      <c r="G17" s="8">
        <f>IF(OR(A17="",D17=""),"",IFERROR(XLOOKUP(1,(WL_Exercise=A17)*(WL_e1RM=D17),WL_Weight,"",0),""))</f>
        <v/>
      </c>
    </row>
    <row r="18">
      <c r="A18">
        <f>'Exercise Library'!A18</f>
        <v/>
      </c>
      <c r="B18" s="8">
        <f>IF(A18="","",IFERROR(MAXIFS(WL_Weight,WL_Exercise,A18),""))</f>
        <v/>
      </c>
      <c r="C18" s="7">
        <f>IF(OR(A18="",B18=""),"",IFERROR(XLOOKUP(1,(WL_Exercise=A18)*(WL_Weight=B18),WL_Date,"",0),""))</f>
        <v/>
      </c>
      <c r="D18" s="8">
        <f>IF(A18="","",IFERROR(MAXIFS(WL_e1RM,WL_Exercise,A18),""))</f>
        <v/>
      </c>
      <c r="E18" s="7">
        <f>IF(OR(A18="",D18=""),"",IFERROR(XLOOKUP(1,(WL_Exercise=A18)*(WL_e1RM=D18),WL_Date,"",0),""))</f>
        <v/>
      </c>
      <c r="F18">
        <f>IF(OR(A18="",D18=""),"",IFERROR(XLOOKUP(1,(WL_Exercise=A18)*(WL_e1RM=D18),WL_Reps,"",0),""))</f>
        <v/>
      </c>
      <c r="G18" s="8">
        <f>IF(OR(A18="",D18=""),"",IFERROR(XLOOKUP(1,(WL_Exercise=A18)*(WL_e1RM=D18),WL_Weight,"",0),""))</f>
        <v/>
      </c>
    </row>
    <row r="19">
      <c r="A19">
        <f>'Exercise Library'!A19</f>
        <v/>
      </c>
      <c r="B19" s="8">
        <f>IF(A19="","",IFERROR(MAXIFS(WL_Weight,WL_Exercise,A19),""))</f>
        <v/>
      </c>
      <c r="C19" s="7">
        <f>IF(OR(A19="",B19=""),"",IFERROR(XLOOKUP(1,(WL_Exercise=A19)*(WL_Weight=B19),WL_Date,"",0),""))</f>
        <v/>
      </c>
      <c r="D19" s="8">
        <f>IF(A19="","",IFERROR(MAXIFS(WL_e1RM,WL_Exercise,A19),""))</f>
        <v/>
      </c>
      <c r="E19" s="7">
        <f>IF(OR(A19="",D19=""),"",IFERROR(XLOOKUP(1,(WL_Exercise=A19)*(WL_e1RM=D19),WL_Date,"",0),""))</f>
        <v/>
      </c>
      <c r="F19">
        <f>IF(OR(A19="",D19=""),"",IFERROR(XLOOKUP(1,(WL_Exercise=A19)*(WL_e1RM=D19),WL_Reps,"",0),""))</f>
        <v/>
      </c>
      <c r="G19" s="8">
        <f>IF(OR(A19="",D19=""),"",IFERROR(XLOOKUP(1,(WL_Exercise=A19)*(WL_e1RM=D19),WL_Weight,"",0),""))</f>
        <v/>
      </c>
    </row>
    <row r="20">
      <c r="A20">
        <f>'Exercise Library'!A20</f>
        <v/>
      </c>
      <c r="B20" s="8">
        <f>IF(A20="","",IFERROR(MAXIFS(WL_Weight,WL_Exercise,A20),""))</f>
        <v/>
      </c>
      <c r="C20" s="7">
        <f>IF(OR(A20="",B20=""),"",IFERROR(XLOOKUP(1,(WL_Exercise=A20)*(WL_Weight=B20),WL_Date,"",0),""))</f>
        <v/>
      </c>
      <c r="D20" s="8">
        <f>IF(A20="","",IFERROR(MAXIFS(WL_e1RM,WL_Exercise,A20),""))</f>
        <v/>
      </c>
      <c r="E20" s="7">
        <f>IF(OR(A20="",D20=""),"",IFERROR(XLOOKUP(1,(WL_Exercise=A20)*(WL_e1RM=D20),WL_Date,"",0),""))</f>
        <v/>
      </c>
      <c r="F20">
        <f>IF(OR(A20="",D20=""),"",IFERROR(XLOOKUP(1,(WL_Exercise=A20)*(WL_e1RM=D20),WL_Reps,"",0),""))</f>
        <v/>
      </c>
      <c r="G20" s="8">
        <f>IF(OR(A20="",D20=""),"",IFERROR(XLOOKUP(1,(WL_Exercise=A20)*(WL_e1RM=D20),WL_Weight,"",0),""))</f>
        <v/>
      </c>
    </row>
    <row r="21">
      <c r="A21">
        <f>'Exercise Library'!A21</f>
        <v/>
      </c>
      <c r="B21" s="8">
        <f>IF(A21="","",IFERROR(MAXIFS(WL_Weight,WL_Exercise,A21),""))</f>
        <v/>
      </c>
      <c r="C21" s="7">
        <f>IF(OR(A21="",B21=""),"",IFERROR(XLOOKUP(1,(WL_Exercise=A21)*(WL_Weight=B21),WL_Date,"",0),""))</f>
        <v/>
      </c>
      <c r="D21" s="8">
        <f>IF(A21="","",IFERROR(MAXIFS(WL_e1RM,WL_Exercise,A21),""))</f>
        <v/>
      </c>
      <c r="E21" s="7">
        <f>IF(OR(A21="",D21=""),"",IFERROR(XLOOKUP(1,(WL_Exercise=A21)*(WL_e1RM=D21),WL_Date,"",0),""))</f>
        <v/>
      </c>
      <c r="F21">
        <f>IF(OR(A21="",D21=""),"",IFERROR(XLOOKUP(1,(WL_Exercise=A21)*(WL_e1RM=D21),WL_Reps,"",0),""))</f>
        <v/>
      </c>
      <c r="G21" s="8">
        <f>IF(OR(A21="",D21=""),"",IFERROR(XLOOKUP(1,(WL_Exercise=A21)*(WL_e1RM=D21),WL_Weight,"",0),""))</f>
        <v/>
      </c>
    </row>
    <row r="22">
      <c r="A22">
        <f>'Exercise Library'!A22</f>
        <v/>
      </c>
      <c r="B22" s="8">
        <f>IF(A22="","",IFERROR(MAXIFS(WL_Weight,WL_Exercise,A22),""))</f>
        <v/>
      </c>
      <c r="C22" s="7">
        <f>IF(OR(A22="",B22=""),"",IFERROR(XLOOKUP(1,(WL_Exercise=A22)*(WL_Weight=B22),WL_Date,"",0),""))</f>
        <v/>
      </c>
      <c r="D22" s="8">
        <f>IF(A22="","",IFERROR(MAXIFS(WL_e1RM,WL_Exercise,A22),""))</f>
        <v/>
      </c>
      <c r="E22" s="7">
        <f>IF(OR(A22="",D22=""),"",IFERROR(XLOOKUP(1,(WL_Exercise=A22)*(WL_e1RM=D22),WL_Date,"",0),""))</f>
        <v/>
      </c>
      <c r="F22">
        <f>IF(OR(A22="",D22=""),"",IFERROR(XLOOKUP(1,(WL_Exercise=A22)*(WL_e1RM=D22),WL_Reps,"",0),""))</f>
        <v/>
      </c>
      <c r="G22" s="8">
        <f>IF(OR(A22="",D22=""),"",IFERROR(XLOOKUP(1,(WL_Exercise=A22)*(WL_e1RM=D22),WL_Weight,"",0),""))</f>
        <v/>
      </c>
    </row>
    <row r="23">
      <c r="A23">
        <f>'Exercise Library'!A23</f>
        <v/>
      </c>
      <c r="B23" s="8">
        <f>IF(A23="","",IFERROR(MAXIFS(WL_Weight,WL_Exercise,A23),""))</f>
        <v/>
      </c>
      <c r="C23" s="7">
        <f>IF(OR(A23="",B23=""),"",IFERROR(XLOOKUP(1,(WL_Exercise=A23)*(WL_Weight=B23),WL_Date,"",0),""))</f>
        <v/>
      </c>
      <c r="D23" s="8">
        <f>IF(A23="","",IFERROR(MAXIFS(WL_e1RM,WL_Exercise,A23),""))</f>
        <v/>
      </c>
      <c r="E23" s="7">
        <f>IF(OR(A23="",D23=""),"",IFERROR(XLOOKUP(1,(WL_Exercise=A23)*(WL_e1RM=D23),WL_Date,"",0),""))</f>
        <v/>
      </c>
      <c r="F23">
        <f>IF(OR(A23="",D23=""),"",IFERROR(XLOOKUP(1,(WL_Exercise=A23)*(WL_e1RM=D23),WL_Reps,"",0),""))</f>
        <v/>
      </c>
      <c r="G23" s="8">
        <f>IF(OR(A23="",D23=""),"",IFERROR(XLOOKUP(1,(WL_Exercise=A23)*(WL_e1RM=D23),WL_Weight,"",0),""))</f>
        <v/>
      </c>
    </row>
    <row r="24">
      <c r="A24">
        <f>'Exercise Library'!A24</f>
        <v/>
      </c>
      <c r="B24" s="8">
        <f>IF(A24="","",IFERROR(MAXIFS(WL_Weight,WL_Exercise,A24),""))</f>
        <v/>
      </c>
      <c r="C24" s="7">
        <f>IF(OR(A24="",B24=""),"",IFERROR(XLOOKUP(1,(WL_Exercise=A24)*(WL_Weight=B24),WL_Date,"",0),""))</f>
        <v/>
      </c>
      <c r="D24" s="8">
        <f>IF(A24="","",IFERROR(MAXIFS(WL_e1RM,WL_Exercise,A24),""))</f>
        <v/>
      </c>
      <c r="E24" s="7">
        <f>IF(OR(A24="",D24=""),"",IFERROR(XLOOKUP(1,(WL_Exercise=A24)*(WL_e1RM=D24),WL_Date,"",0),""))</f>
        <v/>
      </c>
      <c r="F24">
        <f>IF(OR(A24="",D24=""),"",IFERROR(XLOOKUP(1,(WL_Exercise=A24)*(WL_e1RM=D24),WL_Reps,"",0),""))</f>
        <v/>
      </c>
      <c r="G24" s="8">
        <f>IF(OR(A24="",D24=""),"",IFERROR(XLOOKUP(1,(WL_Exercise=A24)*(WL_e1RM=D24),WL_Weight,"",0),""))</f>
        <v/>
      </c>
    </row>
    <row r="25">
      <c r="A25">
        <f>'Exercise Library'!A25</f>
        <v/>
      </c>
      <c r="B25" s="8">
        <f>IF(A25="","",IFERROR(MAXIFS(WL_Weight,WL_Exercise,A25),""))</f>
        <v/>
      </c>
      <c r="C25" s="7">
        <f>IF(OR(A25="",B25=""),"",IFERROR(XLOOKUP(1,(WL_Exercise=A25)*(WL_Weight=B25),WL_Date,"",0),""))</f>
        <v/>
      </c>
      <c r="D25" s="8">
        <f>IF(A25="","",IFERROR(MAXIFS(WL_e1RM,WL_Exercise,A25),""))</f>
        <v/>
      </c>
      <c r="E25" s="7">
        <f>IF(OR(A25="",D25=""),"",IFERROR(XLOOKUP(1,(WL_Exercise=A25)*(WL_e1RM=D25),WL_Date,"",0),""))</f>
        <v/>
      </c>
      <c r="F25">
        <f>IF(OR(A25="",D25=""),"",IFERROR(XLOOKUP(1,(WL_Exercise=A25)*(WL_e1RM=D25),WL_Reps,"",0),""))</f>
        <v/>
      </c>
      <c r="G25" s="8">
        <f>IF(OR(A25="",D25=""),"",IFERROR(XLOOKUP(1,(WL_Exercise=A25)*(WL_e1RM=D25),WL_Weight,"",0),""))</f>
        <v/>
      </c>
    </row>
    <row r="26">
      <c r="A26">
        <f>'Exercise Library'!A26</f>
        <v/>
      </c>
      <c r="B26" s="8">
        <f>IF(A26="","",IFERROR(MAXIFS(WL_Weight,WL_Exercise,A26),""))</f>
        <v/>
      </c>
      <c r="C26" s="7">
        <f>IF(OR(A26="",B26=""),"",IFERROR(XLOOKUP(1,(WL_Exercise=A26)*(WL_Weight=B26),WL_Date,"",0),""))</f>
        <v/>
      </c>
      <c r="D26" s="8">
        <f>IF(A26="","",IFERROR(MAXIFS(WL_e1RM,WL_Exercise,A26),""))</f>
        <v/>
      </c>
      <c r="E26" s="7">
        <f>IF(OR(A26="",D26=""),"",IFERROR(XLOOKUP(1,(WL_Exercise=A26)*(WL_e1RM=D26),WL_Date,"",0),""))</f>
        <v/>
      </c>
      <c r="F26">
        <f>IF(OR(A26="",D26=""),"",IFERROR(XLOOKUP(1,(WL_Exercise=A26)*(WL_e1RM=D26),WL_Reps,"",0),""))</f>
        <v/>
      </c>
      <c r="G26" s="8">
        <f>IF(OR(A26="",D26=""),"",IFERROR(XLOOKUP(1,(WL_Exercise=A26)*(WL_e1RM=D26),WL_Weight,"",0),""))</f>
        <v/>
      </c>
    </row>
    <row r="27">
      <c r="A27">
        <f>'Exercise Library'!A27</f>
        <v/>
      </c>
      <c r="B27" s="8">
        <f>IF(A27="","",IFERROR(MAXIFS(WL_Weight,WL_Exercise,A27),""))</f>
        <v/>
      </c>
      <c r="C27" s="7">
        <f>IF(OR(A27="",B27=""),"",IFERROR(XLOOKUP(1,(WL_Exercise=A27)*(WL_Weight=B27),WL_Date,"",0),""))</f>
        <v/>
      </c>
      <c r="D27" s="8">
        <f>IF(A27="","",IFERROR(MAXIFS(WL_e1RM,WL_Exercise,A27),""))</f>
        <v/>
      </c>
      <c r="E27" s="7">
        <f>IF(OR(A27="",D27=""),"",IFERROR(XLOOKUP(1,(WL_Exercise=A27)*(WL_e1RM=D27),WL_Date,"",0),""))</f>
        <v/>
      </c>
      <c r="F27">
        <f>IF(OR(A27="",D27=""),"",IFERROR(XLOOKUP(1,(WL_Exercise=A27)*(WL_e1RM=D27),WL_Reps,"",0),""))</f>
        <v/>
      </c>
      <c r="G27" s="8">
        <f>IF(OR(A27="",D27=""),"",IFERROR(XLOOKUP(1,(WL_Exercise=A27)*(WL_e1RM=D27),WL_Weight,"",0),""))</f>
        <v/>
      </c>
    </row>
    <row r="28">
      <c r="A28">
        <f>'Exercise Library'!A28</f>
        <v/>
      </c>
      <c r="B28" s="8">
        <f>IF(A28="","",IFERROR(MAXIFS(WL_Weight,WL_Exercise,A28),""))</f>
        <v/>
      </c>
      <c r="C28" s="7">
        <f>IF(OR(A28="",B28=""),"",IFERROR(XLOOKUP(1,(WL_Exercise=A28)*(WL_Weight=B28),WL_Date,"",0),""))</f>
        <v/>
      </c>
      <c r="D28" s="8">
        <f>IF(A28="","",IFERROR(MAXIFS(WL_e1RM,WL_Exercise,A28),""))</f>
        <v/>
      </c>
      <c r="E28" s="7">
        <f>IF(OR(A28="",D28=""),"",IFERROR(XLOOKUP(1,(WL_Exercise=A28)*(WL_e1RM=D28),WL_Date,"",0),""))</f>
        <v/>
      </c>
      <c r="F28">
        <f>IF(OR(A28="",D28=""),"",IFERROR(XLOOKUP(1,(WL_Exercise=A28)*(WL_e1RM=D28),WL_Reps,"",0),""))</f>
        <v/>
      </c>
      <c r="G28" s="8">
        <f>IF(OR(A28="",D28=""),"",IFERROR(XLOOKUP(1,(WL_Exercise=A28)*(WL_e1RM=D28),WL_Weight,"",0),""))</f>
        <v/>
      </c>
    </row>
    <row r="29">
      <c r="A29">
        <f>'Exercise Library'!A29</f>
        <v/>
      </c>
      <c r="B29" s="8">
        <f>IF(A29="","",IFERROR(MAXIFS(WL_Weight,WL_Exercise,A29),""))</f>
        <v/>
      </c>
      <c r="C29" s="7">
        <f>IF(OR(A29="",B29=""),"",IFERROR(XLOOKUP(1,(WL_Exercise=A29)*(WL_Weight=B29),WL_Date,"",0),""))</f>
        <v/>
      </c>
      <c r="D29" s="8">
        <f>IF(A29="","",IFERROR(MAXIFS(WL_e1RM,WL_Exercise,A29),""))</f>
        <v/>
      </c>
      <c r="E29" s="7">
        <f>IF(OR(A29="",D29=""),"",IFERROR(XLOOKUP(1,(WL_Exercise=A29)*(WL_e1RM=D29),WL_Date,"",0),""))</f>
        <v/>
      </c>
      <c r="F29">
        <f>IF(OR(A29="",D29=""),"",IFERROR(XLOOKUP(1,(WL_Exercise=A29)*(WL_e1RM=D29),WL_Reps,"",0),""))</f>
        <v/>
      </c>
      <c r="G29" s="8">
        <f>IF(OR(A29="",D29=""),"",IFERROR(XLOOKUP(1,(WL_Exercise=A29)*(WL_e1RM=D29),WL_Weight,"",0),""))</f>
        <v/>
      </c>
    </row>
    <row r="30">
      <c r="A30">
        <f>'Exercise Library'!A30</f>
        <v/>
      </c>
      <c r="B30" s="8">
        <f>IF(A30="","",IFERROR(MAXIFS(WL_Weight,WL_Exercise,A30),""))</f>
        <v/>
      </c>
      <c r="C30" s="7">
        <f>IF(OR(A30="",B30=""),"",IFERROR(XLOOKUP(1,(WL_Exercise=A30)*(WL_Weight=B30),WL_Date,"",0),""))</f>
        <v/>
      </c>
      <c r="D30" s="8">
        <f>IF(A30="","",IFERROR(MAXIFS(WL_e1RM,WL_Exercise,A30),""))</f>
        <v/>
      </c>
      <c r="E30" s="7">
        <f>IF(OR(A30="",D30=""),"",IFERROR(XLOOKUP(1,(WL_Exercise=A30)*(WL_e1RM=D30),WL_Date,"",0),""))</f>
        <v/>
      </c>
      <c r="F30">
        <f>IF(OR(A30="",D30=""),"",IFERROR(XLOOKUP(1,(WL_Exercise=A30)*(WL_e1RM=D30),WL_Reps,"",0),""))</f>
        <v/>
      </c>
      <c r="G30" s="8">
        <f>IF(OR(A30="",D30=""),"",IFERROR(XLOOKUP(1,(WL_Exercise=A30)*(WL_e1RM=D30),WL_Weight,"",0),""))</f>
        <v/>
      </c>
    </row>
    <row r="31">
      <c r="A31">
        <f>'Exercise Library'!A31</f>
        <v/>
      </c>
      <c r="B31" s="8">
        <f>IF(A31="","",IFERROR(MAXIFS(WL_Weight,WL_Exercise,A31),""))</f>
        <v/>
      </c>
      <c r="C31" s="7">
        <f>IF(OR(A31="",B31=""),"",IFERROR(XLOOKUP(1,(WL_Exercise=A31)*(WL_Weight=B31),WL_Date,"",0),""))</f>
        <v/>
      </c>
      <c r="D31" s="8">
        <f>IF(A31="","",IFERROR(MAXIFS(WL_e1RM,WL_Exercise,A31),""))</f>
        <v/>
      </c>
      <c r="E31" s="7">
        <f>IF(OR(A31="",D31=""),"",IFERROR(XLOOKUP(1,(WL_Exercise=A31)*(WL_e1RM=D31),WL_Date,"",0),""))</f>
        <v/>
      </c>
      <c r="F31">
        <f>IF(OR(A31="",D31=""),"",IFERROR(XLOOKUP(1,(WL_Exercise=A31)*(WL_e1RM=D31),WL_Reps,"",0),""))</f>
        <v/>
      </c>
      <c r="G31" s="8">
        <f>IF(OR(A31="",D31=""),"",IFERROR(XLOOKUP(1,(WL_Exercise=A31)*(WL_e1RM=D31),WL_Weight,"",0),""))</f>
        <v/>
      </c>
    </row>
    <row r="32">
      <c r="A32">
        <f>'Exercise Library'!A32</f>
        <v/>
      </c>
      <c r="B32" s="8">
        <f>IF(A32="","",IFERROR(MAXIFS(WL_Weight,WL_Exercise,A32),""))</f>
        <v/>
      </c>
      <c r="C32" s="7">
        <f>IF(OR(A32="",B32=""),"",IFERROR(XLOOKUP(1,(WL_Exercise=A32)*(WL_Weight=B32),WL_Date,"",0),""))</f>
        <v/>
      </c>
      <c r="D32" s="8">
        <f>IF(A32="","",IFERROR(MAXIFS(WL_e1RM,WL_Exercise,A32),""))</f>
        <v/>
      </c>
      <c r="E32" s="7">
        <f>IF(OR(A32="",D32=""),"",IFERROR(XLOOKUP(1,(WL_Exercise=A32)*(WL_e1RM=D32),WL_Date,"",0),""))</f>
        <v/>
      </c>
      <c r="F32">
        <f>IF(OR(A32="",D32=""),"",IFERROR(XLOOKUP(1,(WL_Exercise=A32)*(WL_e1RM=D32),WL_Reps,"",0),""))</f>
        <v/>
      </c>
      <c r="G32" s="8">
        <f>IF(OR(A32="",D32=""),"",IFERROR(XLOOKUP(1,(WL_Exercise=A32)*(WL_e1RM=D32),WL_Weight,"",0),""))</f>
        <v/>
      </c>
    </row>
    <row r="33">
      <c r="A33">
        <f>'Exercise Library'!A33</f>
        <v/>
      </c>
      <c r="B33" s="8">
        <f>IF(A33="","",IFERROR(MAXIFS(WL_Weight,WL_Exercise,A33),""))</f>
        <v/>
      </c>
      <c r="C33" s="7">
        <f>IF(OR(A33="",B33=""),"",IFERROR(XLOOKUP(1,(WL_Exercise=A33)*(WL_Weight=B33),WL_Date,"",0),""))</f>
        <v/>
      </c>
      <c r="D33" s="8">
        <f>IF(A33="","",IFERROR(MAXIFS(WL_e1RM,WL_Exercise,A33),""))</f>
        <v/>
      </c>
      <c r="E33" s="7">
        <f>IF(OR(A33="",D33=""),"",IFERROR(XLOOKUP(1,(WL_Exercise=A33)*(WL_e1RM=D33),WL_Date,"",0),""))</f>
        <v/>
      </c>
      <c r="F33">
        <f>IF(OR(A33="",D33=""),"",IFERROR(XLOOKUP(1,(WL_Exercise=A33)*(WL_e1RM=D33),WL_Reps,"",0),""))</f>
        <v/>
      </c>
      <c r="G33" s="8">
        <f>IF(OR(A33="",D33=""),"",IFERROR(XLOOKUP(1,(WL_Exercise=A33)*(WL_e1RM=D33),WL_Weight,"",0),""))</f>
        <v/>
      </c>
    </row>
    <row r="34">
      <c r="A34">
        <f>'Exercise Library'!A34</f>
        <v/>
      </c>
      <c r="B34" s="8">
        <f>IF(A34="","",IFERROR(MAXIFS(WL_Weight,WL_Exercise,A34),""))</f>
        <v/>
      </c>
      <c r="C34" s="7">
        <f>IF(OR(A34="",B34=""),"",IFERROR(XLOOKUP(1,(WL_Exercise=A34)*(WL_Weight=B34),WL_Date,"",0),""))</f>
        <v/>
      </c>
      <c r="D34" s="8">
        <f>IF(A34="","",IFERROR(MAXIFS(WL_e1RM,WL_Exercise,A34),""))</f>
        <v/>
      </c>
      <c r="E34" s="7">
        <f>IF(OR(A34="",D34=""),"",IFERROR(XLOOKUP(1,(WL_Exercise=A34)*(WL_e1RM=D34),WL_Date,"",0),""))</f>
        <v/>
      </c>
      <c r="F34">
        <f>IF(OR(A34="",D34=""),"",IFERROR(XLOOKUP(1,(WL_Exercise=A34)*(WL_e1RM=D34),WL_Reps,"",0),""))</f>
        <v/>
      </c>
      <c r="G34" s="8">
        <f>IF(OR(A34="",D34=""),"",IFERROR(XLOOKUP(1,(WL_Exercise=A34)*(WL_e1RM=D34),WL_Weight,"",0),""))</f>
        <v/>
      </c>
    </row>
    <row r="35">
      <c r="A35">
        <f>'Exercise Library'!A35</f>
        <v/>
      </c>
      <c r="B35" s="8">
        <f>IF(A35="","",IFERROR(MAXIFS(WL_Weight,WL_Exercise,A35),""))</f>
        <v/>
      </c>
      <c r="C35" s="7">
        <f>IF(OR(A35="",B35=""),"",IFERROR(XLOOKUP(1,(WL_Exercise=A35)*(WL_Weight=B35),WL_Date,"",0),""))</f>
        <v/>
      </c>
      <c r="D35" s="8">
        <f>IF(A35="","",IFERROR(MAXIFS(WL_e1RM,WL_Exercise,A35),""))</f>
        <v/>
      </c>
      <c r="E35" s="7">
        <f>IF(OR(A35="",D35=""),"",IFERROR(XLOOKUP(1,(WL_Exercise=A35)*(WL_e1RM=D35),WL_Date,"",0),""))</f>
        <v/>
      </c>
      <c r="F35">
        <f>IF(OR(A35="",D35=""),"",IFERROR(XLOOKUP(1,(WL_Exercise=A35)*(WL_e1RM=D35),WL_Reps,"",0),""))</f>
        <v/>
      </c>
      <c r="G35" s="8">
        <f>IF(OR(A35="",D35=""),"",IFERROR(XLOOKUP(1,(WL_Exercise=A35)*(WL_e1RM=D35),WL_Weight,"",0),""))</f>
        <v/>
      </c>
    </row>
    <row r="36">
      <c r="A36">
        <f>'Exercise Library'!A36</f>
        <v/>
      </c>
      <c r="B36" s="8">
        <f>IF(A36="","",IFERROR(MAXIFS(WL_Weight,WL_Exercise,A36),""))</f>
        <v/>
      </c>
      <c r="C36" s="7">
        <f>IF(OR(A36="",B36=""),"",IFERROR(XLOOKUP(1,(WL_Exercise=A36)*(WL_Weight=B36),WL_Date,"",0),""))</f>
        <v/>
      </c>
      <c r="D36" s="8">
        <f>IF(A36="","",IFERROR(MAXIFS(WL_e1RM,WL_Exercise,A36),""))</f>
        <v/>
      </c>
      <c r="E36" s="7">
        <f>IF(OR(A36="",D36=""),"",IFERROR(XLOOKUP(1,(WL_Exercise=A36)*(WL_e1RM=D36),WL_Date,"",0),""))</f>
        <v/>
      </c>
      <c r="F36">
        <f>IF(OR(A36="",D36=""),"",IFERROR(XLOOKUP(1,(WL_Exercise=A36)*(WL_e1RM=D36),WL_Reps,"",0),""))</f>
        <v/>
      </c>
      <c r="G36" s="8">
        <f>IF(OR(A36="",D36=""),"",IFERROR(XLOOKUP(1,(WL_Exercise=A36)*(WL_e1RM=D36),WL_Weight,"",0),""))</f>
        <v/>
      </c>
    </row>
    <row r="37">
      <c r="A37">
        <f>'Exercise Library'!A37</f>
        <v/>
      </c>
      <c r="B37" s="8">
        <f>IF(A37="","",IFERROR(MAXIFS(WL_Weight,WL_Exercise,A37),""))</f>
        <v/>
      </c>
      <c r="C37" s="7">
        <f>IF(OR(A37="",B37=""),"",IFERROR(XLOOKUP(1,(WL_Exercise=A37)*(WL_Weight=B37),WL_Date,"",0),""))</f>
        <v/>
      </c>
      <c r="D37" s="8">
        <f>IF(A37="","",IFERROR(MAXIFS(WL_e1RM,WL_Exercise,A37),""))</f>
        <v/>
      </c>
      <c r="E37" s="7">
        <f>IF(OR(A37="",D37=""),"",IFERROR(XLOOKUP(1,(WL_Exercise=A37)*(WL_e1RM=D37),WL_Date,"",0),""))</f>
        <v/>
      </c>
      <c r="F37">
        <f>IF(OR(A37="",D37=""),"",IFERROR(XLOOKUP(1,(WL_Exercise=A37)*(WL_e1RM=D37),WL_Reps,"",0),""))</f>
        <v/>
      </c>
      <c r="G37" s="8">
        <f>IF(OR(A37="",D37=""),"",IFERROR(XLOOKUP(1,(WL_Exercise=A37)*(WL_e1RM=D37),WL_Weight,"",0),""))</f>
        <v/>
      </c>
    </row>
    <row r="38">
      <c r="A38">
        <f>'Exercise Library'!A38</f>
        <v/>
      </c>
      <c r="B38" s="8">
        <f>IF(A38="","",IFERROR(MAXIFS(WL_Weight,WL_Exercise,A38),""))</f>
        <v/>
      </c>
      <c r="C38" s="7">
        <f>IF(OR(A38="",B38=""),"",IFERROR(XLOOKUP(1,(WL_Exercise=A38)*(WL_Weight=B38),WL_Date,"",0),""))</f>
        <v/>
      </c>
      <c r="D38" s="8">
        <f>IF(A38="","",IFERROR(MAXIFS(WL_e1RM,WL_Exercise,A38),""))</f>
        <v/>
      </c>
      <c r="E38" s="7">
        <f>IF(OR(A38="",D38=""),"",IFERROR(XLOOKUP(1,(WL_Exercise=A38)*(WL_e1RM=D38),WL_Date,"",0),""))</f>
        <v/>
      </c>
      <c r="F38">
        <f>IF(OR(A38="",D38=""),"",IFERROR(XLOOKUP(1,(WL_Exercise=A38)*(WL_e1RM=D38),WL_Reps,"",0),""))</f>
        <v/>
      </c>
      <c r="G38" s="8">
        <f>IF(OR(A38="",D38=""),"",IFERROR(XLOOKUP(1,(WL_Exercise=A38)*(WL_e1RM=D38),WL_Weight,"",0),""))</f>
        <v/>
      </c>
    </row>
    <row r="39">
      <c r="A39">
        <f>'Exercise Library'!A39</f>
        <v/>
      </c>
      <c r="B39" s="8">
        <f>IF(A39="","",IFERROR(MAXIFS(WL_Weight,WL_Exercise,A39),""))</f>
        <v/>
      </c>
      <c r="C39" s="7">
        <f>IF(OR(A39="",B39=""),"",IFERROR(XLOOKUP(1,(WL_Exercise=A39)*(WL_Weight=B39),WL_Date,"",0),""))</f>
        <v/>
      </c>
      <c r="D39" s="8">
        <f>IF(A39="","",IFERROR(MAXIFS(WL_e1RM,WL_Exercise,A39),""))</f>
        <v/>
      </c>
      <c r="E39" s="7">
        <f>IF(OR(A39="",D39=""),"",IFERROR(XLOOKUP(1,(WL_Exercise=A39)*(WL_e1RM=D39),WL_Date,"",0),""))</f>
        <v/>
      </c>
      <c r="F39">
        <f>IF(OR(A39="",D39=""),"",IFERROR(XLOOKUP(1,(WL_Exercise=A39)*(WL_e1RM=D39),WL_Reps,"",0),""))</f>
        <v/>
      </c>
      <c r="G39" s="8">
        <f>IF(OR(A39="",D39=""),"",IFERROR(XLOOKUP(1,(WL_Exercise=A39)*(WL_e1RM=D39),WL_Weight,"",0),""))</f>
        <v/>
      </c>
    </row>
    <row r="40">
      <c r="A40">
        <f>'Exercise Library'!A40</f>
        <v/>
      </c>
      <c r="B40" s="8">
        <f>IF(A40="","",IFERROR(MAXIFS(WL_Weight,WL_Exercise,A40),""))</f>
        <v/>
      </c>
      <c r="C40" s="7">
        <f>IF(OR(A40="",B40=""),"",IFERROR(XLOOKUP(1,(WL_Exercise=A40)*(WL_Weight=B40),WL_Date,"",0),""))</f>
        <v/>
      </c>
      <c r="D40" s="8">
        <f>IF(A40="","",IFERROR(MAXIFS(WL_e1RM,WL_Exercise,A40),""))</f>
        <v/>
      </c>
      <c r="E40" s="7">
        <f>IF(OR(A40="",D40=""),"",IFERROR(XLOOKUP(1,(WL_Exercise=A40)*(WL_e1RM=D40),WL_Date,"",0),""))</f>
        <v/>
      </c>
      <c r="F40">
        <f>IF(OR(A40="",D40=""),"",IFERROR(XLOOKUP(1,(WL_Exercise=A40)*(WL_e1RM=D40),WL_Reps,"",0),""))</f>
        <v/>
      </c>
      <c r="G40" s="8">
        <f>IF(OR(A40="",D40=""),"",IFERROR(XLOOKUP(1,(WL_Exercise=A40)*(WL_e1RM=D40),WL_Weight,"",0),""))</f>
        <v/>
      </c>
    </row>
    <row r="41">
      <c r="A41">
        <f>'Exercise Library'!A41</f>
        <v/>
      </c>
      <c r="B41" s="8">
        <f>IF(A41="","",IFERROR(MAXIFS(WL_Weight,WL_Exercise,A41),""))</f>
        <v/>
      </c>
      <c r="C41" s="7">
        <f>IF(OR(A41="",B41=""),"",IFERROR(XLOOKUP(1,(WL_Exercise=A41)*(WL_Weight=B41),WL_Date,"",0),""))</f>
        <v/>
      </c>
      <c r="D41" s="8">
        <f>IF(A41="","",IFERROR(MAXIFS(WL_e1RM,WL_Exercise,A41),""))</f>
        <v/>
      </c>
      <c r="E41" s="7">
        <f>IF(OR(A41="",D41=""),"",IFERROR(XLOOKUP(1,(WL_Exercise=A41)*(WL_e1RM=D41),WL_Date,"",0),""))</f>
        <v/>
      </c>
      <c r="F41">
        <f>IF(OR(A41="",D41=""),"",IFERROR(XLOOKUP(1,(WL_Exercise=A41)*(WL_e1RM=D41),WL_Reps,"",0),""))</f>
        <v/>
      </c>
      <c r="G41" s="8">
        <f>IF(OR(A41="",D41=""),"",IFERROR(XLOOKUP(1,(WL_Exercise=A41)*(WL_e1RM=D41),WL_Weight,"",0),""))</f>
        <v/>
      </c>
    </row>
    <row r="42">
      <c r="A42">
        <f>'Exercise Library'!A42</f>
        <v/>
      </c>
      <c r="B42" s="8">
        <f>IF(A42="","",IFERROR(MAXIFS(WL_Weight,WL_Exercise,A42),""))</f>
        <v/>
      </c>
      <c r="C42" s="7">
        <f>IF(OR(A42="",B42=""),"",IFERROR(XLOOKUP(1,(WL_Exercise=A42)*(WL_Weight=B42),WL_Date,"",0),""))</f>
        <v/>
      </c>
      <c r="D42" s="8">
        <f>IF(A42="","",IFERROR(MAXIFS(WL_e1RM,WL_Exercise,A42),""))</f>
        <v/>
      </c>
      <c r="E42" s="7">
        <f>IF(OR(A42="",D42=""),"",IFERROR(XLOOKUP(1,(WL_Exercise=A42)*(WL_e1RM=D42),WL_Date,"",0),""))</f>
        <v/>
      </c>
      <c r="F42">
        <f>IF(OR(A42="",D42=""),"",IFERROR(XLOOKUP(1,(WL_Exercise=A42)*(WL_e1RM=D42),WL_Reps,"",0),""))</f>
        <v/>
      </c>
      <c r="G42" s="8">
        <f>IF(OR(A42="",D42=""),"",IFERROR(XLOOKUP(1,(WL_Exercise=A42)*(WL_e1RM=D42),WL_Weight,"",0),""))</f>
        <v/>
      </c>
    </row>
    <row r="43">
      <c r="A43">
        <f>'Exercise Library'!A43</f>
        <v/>
      </c>
      <c r="B43" s="8">
        <f>IF(A43="","",IFERROR(MAXIFS(WL_Weight,WL_Exercise,A43),""))</f>
        <v/>
      </c>
      <c r="C43" s="7">
        <f>IF(OR(A43="",B43=""),"",IFERROR(XLOOKUP(1,(WL_Exercise=A43)*(WL_Weight=B43),WL_Date,"",0),""))</f>
        <v/>
      </c>
      <c r="D43" s="8">
        <f>IF(A43="","",IFERROR(MAXIFS(WL_e1RM,WL_Exercise,A43),""))</f>
        <v/>
      </c>
      <c r="E43" s="7">
        <f>IF(OR(A43="",D43=""),"",IFERROR(XLOOKUP(1,(WL_Exercise=A43)*(WL_e1RM=D43),WL_Date,"",0),""))</f>
        <v/>
      </c>
      <c r="F43">
        <f>IF(OR(A43="",D43=""),"",IFERROR(XLOOKUP(1,(WL_Exercise=A43)*(WL_e1RM=D43),WL_Reps,"",0),""))</f>
        <v/>
      </c>
      <c r="G43" s="8">
        <f>IF(OR(A43="",D43=""),"",IFERROR(XLOOKUP(1,(WL_Exercise=A43)*(WL_e1RM=D43),WL_Weight,"",0),""))</f>
        <v/>
      </c>
    </row>
    <row r="44">
      <c r="A44">
        <f>'Exercise Library'!A44</f>
        <v/>
      </c>
      <c r="B44" s="8">
        <f>IF(A44="","",IFERROR(MAXIFS(WL_Weight,WL_Exercise,A44),""))</f>
        <v/>
      </c>
      <c r="C44" s="7">
        <f>IF(OR(A44="",B44=""),"",IFERROR(XLOOKUP(1,(WL_Exercise=A44)*(WL_Weight=B44),WL_Date,"",0),""))</f>
        <v/>
      </c>
      <c r="D44" s="8">
        <f>IF(A44="","",IFERROR(MAXIFS(WL_e1RM,WL_Exercise,A44),""))</f>
        <v/>
      </c>
      <c r="E44" s="7">
        <f>IF(OR(A44="",D44=""),"",IFERROR(XLOOKUP(1,(WL_Exercise=A44)*(WL_e1RM=D44),WL_Date,"",0),""))</f>
        <v/>
      </c>
      <c r="F44">
        <f>IF(OR(A44="",D44=""),"",IFERROR(XLOOKUP(1,(WL_Exercise=A44)*(WL_e1RM=D44),WL_Reps,"",0),""))</f>
        <v/>
      </c>
      <c r="G44" s="8">
        <f>IF(OR(A44="",D44=""),"",IFERROR(XLOOKUP(1,(WL_Exercise=A44)*(WL_e1RM=D44),WL_Weight,"",0),""))</f>
        <v/>
      </c>
    </row>
    <row r="45">
      <c r="A45">
        <f>'Exercise Library'!A45</f>
        <v/>
      </c>
      <c r="B45" s="8">
        <f>IF(A45="","",IFERROR(MAXIFS(WL_Weight,WL_Exercise,A45),""))</f>
        <v/>
      </c>
      <c r="C45" s="7">
        <f>IF(OR(A45="",B45=""),"",IFERROR(XLOOKUP(1,(WL_Exercise=A45)*(WL_Weight=B45),WL_Date,"",0),""))</f>
        <v/>
      </c>
      <c r="D45" s="8">
        <f>IF(A45="","",IFERROR(MAXIFS(WL_e1RM,WL_Exercise,A45),""))</f>
        <v/>
      </c>
      <c r="E45" s="7">
        <f>IF(OR(A45="",D45=""),"",IFERROR(XLOOKUP(1,(WL_Exercise=A45)*(WL_e1RM=D45),WL_Date,"",0),""))</f>
        <v/>
      </c>
      <c r="F45">
        <f>IF(OR(A45="",D45=""),"",IFERROR(XLOOKUP(1,(WL_Exercise=A45)*(WL_e1RM=D45),WL_Reps,"",0),""))</f>
        <v/>
      </c>
      <c r="G45" s="8">
        <f>IF(OR(A45="",D45=""),"",IFERROR(XLOOKUP(1,(WL_Exercise=A45)*(WL_e1RM=D45),WL_Weight,"",0),""))</f>
        <v/>
      </c>
    </row>
    <row r="46">
      <c r="A46">
        <f>'Exercise Library'!A46</f>
        <v/>
      </c>
      <c r="B46" s="8">
        <f>IF(A46="","",IFERROR(MAXIFS(WL_Weight,WL_Exercise,A46),""))</f>
        <v/>
      </c>
      <c r="C46" s="7">
        <f>IF(OR(A46="",B46=""),"",IFERROR(XLOOKUP(1,(WL_Exercise=A46)*(WL_Weight=B46),WL_Date,"",0),""))</f>
        <v/>
      </c>
      <c r="D46" s="8">
        <f>IF(A46="","",IFERROR(MAXIFS(WL_e1RM,WL_Exercise,A46),""))</f>
        <v/>
      </c>
      <c r="E46" s="7">
        <f>IF(OR(A46="",D46=""),"",IFERROR(XLOOKUP(1,(WL_Exercise=A46)*(WL_e1RM=D46),WL_Date,"",0),""))</f>
        <v/>
      </c>
      <c r="F46">
        <f>IF(OR(A46="",D46=""),"",IFERROR(XLOOKUP(1,(WL_Exercise=A46)*(WL_e1RM=D46),WL_Reps,"",0),""))</f>
        <v/>
      </c>
      <c r="G46" s="8">
        <f>IF(OR(A46="",D46=""),"",IFERROR(XLOOKUP(1,(WL_Exercise=A46)*(WL_e1RM=D46),WL_Weight,"",0),""))</f>
        <v/>
      </c>
    </row>
    <row r="47">
      <c r="A47">
        <f>'Exercise Library'!A47</f>
        <v/>
      </c>
      <c r="B47" s="8">
        <f>IF(A47="","",IFERROR(MAXIFS(WL_Weight,WL_Exercise,A47),""))</f>
        <v/>
      </c>
      <c r="C47" s="7">
        <f>IF(OR(A47="",B47=""),"",IFERROR(XLOOKUP(1,(WL_Exercise=A47)*(WL_Weight=B47),WL_Date,"",0),""))</f>
        <v/>
      </c>
      <c r="D47" s="8">
        <f>IF(A47="","",IFERROR(MAXIFS(WL_e1RM,WL_Exercise,A47),""))</f>
        <v/>
      </c>
      <c r="E47" s="7">
        <f>IF(OR(A47="",D47=""),"",IFERROR(XLOOKUP(1,(WL_Exercise=A47)*(WL_e1RM=D47),WL_Date,"",0),""))</f>
        <v/>
      </c>
      <c r="F47">
        <f>IF(OR(A47="",D47=""),"",IFERROR(XLOOKUP(1,(WL_Exercise=A47)*(WL_e1RM=D47),WL_Reps,"",0),""))</f>
        <v/>
      </c>
      <c r="G47" s="8">
        <f>IF(OR(A47="",D47=""),"",IFERROR(XLOOKUP(1,(WL_Exercise=A47)*(WL_e1RM=D47),WL_Weight,"",0),""))</f>
        <v/>
      </c>
    </row>
    <row r="48">
      <c r="A48">
        <f>'Exercise Library'!A48</f>
        <v/>
      </c>
      <c r="B48" s="8">
        <f>IF(A48="","",IFERROR(MAXIFS(WL_Weight,WL_Exercise,A48),""))</f>
        <v/>
      </c>
      <c r="C48" s="7">
        <f>IF(OR(A48="",B48=""),"",IFERROR(XLOOKUP(1,(WL_Exercise=A48)*(WL_Weight=B48),WL_Date,"",0),""))</f>
        <v/>
      </c>
      <c r="D48" s="8">
        <f>IF(A48="","",IFERROR(MAXIFS(WL_e1RM,WL_Exercise,A48),""))</f>
        <v/>
      </c>
      <c r="E48" s="7">
        <f>IF(OR(A48="",D48=""),"",IFERROR(XLOOKUP(1,(WL_Exercise=A48)*(WL_e1RM=D48),WL_Date,"",0),""))</f>
        <v/>
      </c>
      <c r="F48">
        <f>IF(OR(A48="",D48=""),"",IFERROR(XLOOKUP(1,(WL_Exercise=A48)*(WL_e1RM=D48),WL_Reps,"",0),""))</f>
        <v/>
      </c>
      <c r="G48" s="8">
        <f>IF(OR(A48="",D48=""),"",IFERROR(XLOOKUP(1,(WL_Exercise=A48)*(WL_e1RM=D48),WL_Weight,"",0),""))</f>
        <v/>
      </c>
    </row>
    <row r="49">
      <c r="A49">
        <f>'Exercise Library'!A49</f>
        <v/>
      </c>
      <c r="B49" s="8">
        <f>IF(A49="","",IFERROR(MAXIFS(WL_Weight,WL_Exercise,A49),""))</f>
        <v/>
      </c>
      <c r="C49" s="7">
        <f>IF(OR(A49="",B49=""),"",IFERROR(XLOOKUP(1,(WL_Exercise=A49)*(WL_Weight=B49),WL_Date,"",0),""))</f>
        <v/>
      </c>
      <c r="D49" s="8">
        <f>IF(A49="","",IFERROR(MAXIFS(WL_e1RM,WL_Exercise,A49),""))</f>
        <v/>
      </c>
      <c r="E49" s="7">
        <f>IF(OR(A49="",D49=""),"",IFERROR(XLOOKUP(1,(WL_Exercise=A49)*(WL_e1RM=D49),WL_Date,"",0),""))</f>
        <v/>
      </c>
      <c r="F49">
        <f>IF(OR(A49="",D49=""),"",IFERROR(XLOOKUP(1,(WL_Exercise=A49)*(WL_e1RM=D49),WL_Reps,"",0),""))</f>
        <v/>
      </c>
      <c r="G49" s="8">
        <f>IF(OR(A49="",D49=""),"",IFERROR(XLOOKUP(1,(WL_Exercise=A49)*(WL_e1RM=D49),WL_Weight,"",0),""))</f>
        <v/>
      </c>
    </row>
    <row r="50">
      <c r="A50">
        <f>'Exercise Library'!A50</f>
        <v/>
      </c>
      <c r="B50" s="8">
        <f>IF(A50="","",IFERROR(MAXIFS(WL_Weight,WL_Exercise,A50),""))</f>
        <v/>
      </c>
      <c r="C50" s="7">
        <f>IF(OR(A50="",B50=""),"",IFERROR(XLOOKUP(1,(WL_Exercise=A50)*(WL_Weight=B50),WL_Date,"",0),""))</f>
        <v/>
      </c>
      <c r="D50" s="8">
        <f>IF(A50="","",IFERROR(MAXIFS(WL_e1RM,WL_Exercise,A50),""))</f>
        <v/>
      </c>
      <c r="E50" s="7">
        <f>IF(OR(A50="",D50=""),"",IFERROR(XLOOKUP(1,(WL_Exercise=A50)*(WL_e1RM=D50),WL_Date,"",0),""))</f>
        <v/>
      </c>
      <c r="F50">
        <f>IF(OR(A50="",D50=""),"",IFERROR(XLOOKUP(1,(WL_Exercise=A50)*(WL_e1RM=D50),WL_Reps,"",0),""))</f>
        <v/>
      </c>
      <c r="G50" s="8">
        <f>IF(OR(A50="",D50=""),"",IFERROR(XLOOKUP(1,(WL_Exercise=A50)*(WL_e1RM=D50),WL_Weight,"",0),""))</f>
        <v/>
      </c>
    </row>
    <row r="51">
      <c r="A51">
        <f>'Exercise Library'!A51</f>
        <v/>
      </c>
      <c r="B51" s="8">
        <f>IF(A51="","",IFERROR(MAXIFS(WL_Weight,WL_Exercise,A51),""))</f>
        <v/>
      </c>
      <c r="C51" s="7">
        <f>IF(OR(A51="",B51=""),"",IFERROR(XLOOKUP(1,(WL_Exercise=A51)*(WL_Weight=B51),WL_Date,"",0),""))</f>
        <v/>
      </c>
      <c r="D51" s="8">
        <f>IF(A51="","",IFERROR(MAXIFS(WL_e1RM,WL_Exercise,A51),""))</f>
        <v/>
      </c>
      <c r="E51" s="7">
        <f>IF(OR(A51="",D51=""),"",IFERROR(XLOOKUP(1,(WL_Exercise=A51)*(WL_e1RM=D51),WL_Date,"",0),""))</f>
        <v/>
      </c>
      <c r="F51">
        <f>IF(OR(A51="",D51=""),"",IFERROR(XLOOKUP(1,(WL_Exercise=A51)*(WL_e1RM=D51),WL_Reps,"",0),""))</f>
        <v/>
      </c>
      <c r="G51" s="8">
        <f>IF(OR(A51="",D51=""),"",IFERROR(XLOOKUP(1,(WL_Exercise=A51)*(WL_e1RM=D51),WL_Weight,"",0),""))</f>
        <v/>
      </c>
    </row>
    <row r="52">
      <c r="A52">
        <f>'Exercise Library'!A52</f>
        <v/>
      </c>
      <c r="B52" s="8">
        <f>IF(A52="","",IFERROR(MAXIFS(WL_Weight,WL_Exercise,A52),""))</f>
        <v/>
      </c>
      <c r="C52" s="7">
        <f>IF(OR(A52="",B52=""),"",IFERROR(XLOOKUP(1,(WL_Exercise=A52)*(WL_Weight=B52),WL_Date,"",0),""))</f>
        <v/>
      </c>
      <c r="D52" s="8">
        <f>IF(A52="","",IFERROR(MAXIFS(WL_e1RM,WL_Exercise,A52),""))</f>
        <v/>
      </c>
      <c r="E52" s="7">
        <f>IF(OR(A52="",D52=""),"",IFERROR(XLOOKUP(1,(WL_Exercise=A52)*(WL_e1RM=D52),WL_Date,"",0),""))</f>
        <v/>
      </c>
      <c r="F52">
        <f>IF(OR(A52="",D52=""),"",IFERROR(XLOOKUP(1,(WL_Exercise=A52)*(WL_e1RM=D52),WL_Reps,"",0),""))</f>
        <v/>
      </c>
      <c r="G52" s="8">
        <f>IF(OR(A52="",D52=""),"",IFERROR(XLOOKUP(1,(WL_Exercise=A52)*(WL_e1RM=D52),WL_Weight,"",0),""))</f>
        <v/>
      </c>
    </row>
    <row r="53">
      <c r="A53">
        <f>'Exercise Library'!A53</f>
        <v/>
      </c>
      <c r="B53" s="8">
        <f>IF(A53="","",IFERROR(MAXIFS(WL_Weight,WL_Exercise,A53),""))</f>
        <v/>
      </c>
      <c r="C53" s="7">
        <f>IF(OR(A53="",B53=""),"",IFERROR(XLOOKUP(1,(WL_Exercise=A53)*(WL_Weight=B53),WL_Date,"",0),""))</f>
        <v/>
      </c>
      <c r="D53" s="8">
        <f>IF(A53="","",IFERROR(MAXIFS(WL_e1RM,WL_Exercise,A53),""))</f>
        <v/>
      </c>
      <c r="E53" s="7">
        <f>IF(OR(A53="",D53=""),"",IFERROR(XLOOKUP(1,(WL_Exercise=A53)*(WL_e1RM=D53),WL_Date,"",0),""))</f>
        <v/>
      </c>
      <c r="F53">
        <f>IF(OR(A53="",D53=""),"",IFERROR(XLOOKUP(1,(WL_Exercise=A53)*(WL_e1RM=D53),WL_Reps,"",0),""))</f>
        <v/>
      </c>
      <c r="G53" s="8">
        <f>IF(OR(A53="",D53=""),"",IFERROR(XLOOKUP(1,(WL_Exercise=A53)*(WL_e1RM=D53),WL_Weight,"",0),""))</f>
        <v/>
      </c>
    </row>
    <row r="54">
      <c r="A54">
        <f>'Exercise Library'!A54</f>
        <v/>
      </c>
      <c r="B54" s="8">
        <f>IF(A54="","",IFERROR(MAXIFS(WL_Weight,WL_Exercise,A54),""))</f>
        <v/>
      </c>
      <c r="C54" s="7">
        <f>IF(OR(A54="",B54=""),"",IFERROR(XLOOKUP(1,(WL_Exercise=A54)*(WL_Weight=B54),WL_Date,"",0),""))</f>
        <v/>
      </c>
      <c r="D54" s="8">
        <f>IF(A54="","",IFERROR(MAXIFS(WL_e1RM,WL_Exercise,A54),""))</f>
        <v/>
      </c>
      <c r="E54" s="7">
        <f>IF(OR(A54="",D54=""),"",IFERROR(XLOOKUP(1,(WL_Exercise=A54)*(WL_e1RM=D54),WL_Date,"",0),""))</f>
        <v/>
      </c>
      <c r="F54">
        <f>IF(OR(A54="",D54=""),"",IFERROR(XLOOKUP(1,(WL_Exercise=A54)*(WL_e1RM=D54),WL_Reps,"",0),""))</f>
        <v/>
      </c>
      <c r="G54" s="8">
        <f>IF(OR(A54="",D54=""),"",IFERROR(XLOOKUP(1,(WL_Exercise=A54)*(WL_e1RM=D54),WL_Weight,"",0),""))</f>
        <v/>
      </c>
    </row>
    <row r="55">
      <c r="A55">
        <f>'Exercise Library'!A55</f>
        <v/>
      </c>
      <c r="B55" s="8">
        <f>IF(A55="","",IFERROR(MAXIFS(WL_Weight,WL_Exercise,A55),""))</f>
        <v/>
      </c>
      <c r="C55" s="7">
        <f>IF(OR(A55="",B55=""),"",IFERROR(XLOOKUP(1,(WL_Exercise=A55)*(WL_Weight=B55),WL_Date,"",0),""))</f>
        <v/>
      </c>
      <c r="D55" s="8">
        <f>IF(A55="","",IFERROR(MAXIFS(WL_e1RM,WL_Exercise,A55),""))</f>
        <v/>
      </c>
      <c r="E55" s="7">
        <f>IF(OR(A55="",D55=""),"",IFERROR(XLOOKUP(1,(WL_Exercise=A55)*(WL_e1RM=D55),WL_Date,"",0),""))</f>
        <v/>
      </c>
      <c r="F55">
        <f>IF(OR(A55="",D55=""),"",IFERROR(XLOOKUP(1,(WL_Exercise=A55)*(WL_e1RM=D55),WL_Reps,"",0),""))</f>
        <v/>
      </c>
      <c r="G55" s="8">
        <f>IF(OR(A55="",D55=""),"",IFERROR(XLOOKUP(1,(WL_Exercise=A55)*(WL_e1RM=D55),WL_Weight,"",0),""))</f>
        <v/>
      </c>
    </row>
    <row r="56">
      <c r="A56">
        <f>'Exercise Library'!A56</f>
        <v/>
      </c>
      <c r="B56" s="8">
        <f>IF(A56="","",IFERROR(MAXIFS(WL_Weight,WL_Exercise,A56),""))</f>
        <v/>
      </c>
      <c r="C56" s="7">
        <f>IF(OR(A56="",B56=""),"",IFERROR(XLOOKUP(1,(WL_Exercise=A56)*(WL_Weight=B56),WL_Date,"",0),""))</f>
        <v/>
      </c>
      <c r="D56" s="8">
        <f>IF(A56="","",IFERROR(MAXIFS(WL_e1RM,WL_Exercise,A56),""))</f>
        <v/>
      </c>
      <c r="E56" s="7">
        <f>IF(OR(A56="",D56=""),"",IFERROR(XLOOKUP(1,(WL_Exercise=A56)*(WL_e1RM=D56),WL_Date,"",0),""))</f>
        <v/>
      </c>
      <c r="F56">
        <f>IF(OR(A56="",D56=""),"",IFERROR(XLOOKUP(1,(WL_Exercise=A56)*(WL_e1RM=D56),WL_Reps,"",0),""))</f>
        <v/>
      </c>
      <c r="G56" s="8">
        <f>IF(OR(A56="",D56=""),"",IFERROR(XLOOKUP(1,(WL_Exercise=A56)*(WL_e1RM=D56),WL_Weight,"",0),""))</f>
        <v/>
      </c>
    </row>
    <row r="57">
      <c r="A57">
        <f>'Exercise Library'!A57</f>
        <v/>
      </c>
      <c r="B57" s="8">
        <f>IF(A57="","",IFERROR(MAXIFS(WL_Weight,WL_Exercise,A57),""))</f>
        <v/>
      </c>
      <c r="C57" s="7">
        <f>IF(OR(A57="",B57=""),"",IFERROR(XLOOKUP(1,(WL_Exercise=A57)*(WL_Weight=B57),WL_Date,"",0),""))</f>
        <v/>
      </c>
      <c r="D57" s="8">
        <f>IF(A57="","",IFERROR(MAXIFS(WL_e1RM,WL_Exercise,A57),""))</f>
        <v/>
      </c>
      <c r="E57" s="7">
        <f>IF(OR(A57="",D57=""),"",IFERROR(XLOOKUP(1,(WL_Exercise=A57)*(WL_e1RM=D57),WL_Date,"",0),""))</f>
        <v/>
      </c>
      <c r="F57">
        <f>IF(OR(A57="",D57=""),"",IFERROR(XLOOKUP(1,(WL_Exercise=A57)*(WL_e1RM=D57),WL_Reps,"",0),""))</f>
        <v/>
      </c>
      <c r="G57" s="8">
        <f>IF(OR(A57="",D57=""),"",IFERROR(XLOOKUP(1,(WL_Exercise=A57)*(WL_e1RM=D57),WL_Weight,"",0),""))</f>
        <v/>
      </c>
    </row>
    <row r="58">
      <c r="A58">
        <f>'Exercise Library'!A58</f>
        <v/>
      </c>
      <c r="B58" s="8">
        <f>IF(A58="","",IFERROR(MAXIFS(WL_Weight,WL_Exercise,A58),""))</f>
        <v/>
      </c>
      <c r="C58" s="7">
        <f>IF(OR(A58="",B58=""),"",IFERROR(XLOOKUP(1,(WL_Exercise=A58)*(WL_Weight=B58),WL_Date,"",0),""))</f>
        <v/>
      </c>
      <c r="D58" s="8">
        <f>IF(A58="","",IFERROR(MAXIFS(WL_e1RM,WL_Exercise,A58),""))</f>
        <v/>
      </c>
      <c r="E58" s="7">
        <f>IF(OR(A58="",D58=""),"",IFERROR(XLOOKUP(1,(WL_Exercise=A58)*(WL_e1RM=D58),WL_Date,"",0),""))</f>
        <v/>
      </c>
      <c r="F58">
        <f>IF(OR(A58="",D58=""),"",IFERROR(XLOOKUP(1,(WL_Exercise=A58)*(WL_e1RM=D58),WL_Reps,"",0),""))</f>
        <v/>
      </c>
      <c r="G58" s="8">
        <f>IF(OR(A58="",D58=""),"",IFERROR(XLOOKUP(1,(WL_Exercise=A58)*(WL_e1RM=D58),WL_Weight,"",0),""))</f>
        <v/>
      </c>
    </row>
    <row r="59">
      <c r="A59">
        <f>'Exercise Library'!A59</f>
        <v/>
      </c>
      <c r="B59" s="8">
        <f>IF(A59="","",IFERROR(MAXIFS(WL_Weight,WL_Exercise,A59),""))</f>
        <v/>
      </c>
      <c r="C59" s="7">
        <f>IF(OR(A59="",B59=""),"",IFERROR(XLOOKUP(1,(WL_Exercise=A59)*(WL_Weight=B59),WL_Date,"",0),""))</f>
        <v/>
      </c>
      <c r="D59" s="8">
        <f>IF(A59="","",IFERROR(MAXIFS(WL_e1RM,WL_Exercise,A59),""))</f>
        <v/>
      </c>
      <c r="E59" s="7">
        <f>IF(OR(A59="",D59=""),"",IFERROR(XLOOKUP(1,(WL_Exercise=A59)*(WL_e1RM=D59),WL_Date,"",0),""))</f>
        <v/>
      </c>
      <c r="F59">
        <f>IF(OR(A59="",D59=""),"",IFERROR(XLOOKUP(1,(WL_Exercise=A59)*(WL_e1RM=D59),WL_Reps,"",0),""))</f>
        <v/>
      </c>
      <c r="G59" s="8">
        <f>IF(OR(A59="",D59=""),"",IFERROR(XLOOKUP(1,(WL_Exercise=A59)*(WL_e1RM=D59),WL_Weight,"",0),""))</f>
        <v/>
      </c>
    </row>
    <row r="60">
      <c r="A60">
        <f>'Exercise Library'!A60</f>
        <v/>
      </c>
      <c r="B60" s="8">
        <f>IF(A60="","",IFERROR(MAXIFS(WL_Weight,WL_Exercise,A60),""))</f>
        <v/>
      </c>
      <c r="C60" s="7">
        <f>IF(OR(A60="",B60=""),"",IFERROR(XLOOKUP(1,(WL_Exercise=A60)*(WL_Weight=B60),WL_Date,"",0),""))</f>
        <v/>
      </c>
      <c r="D60" s="8">
        <f>IF(A60="","",IFERROR(MAXIFS(WL_e1RM,WL_Exercise,A60),""))</f>
        <v/>
      </c>
      <c r="E60" s="7">
        <f>IF(OR(A60="",D60=""),"",IFERROR(XLOOKUP(1,(WL_Exercise=A60)*(WL_e1RM=D60),WL_Date,"",0),""))</f>
        <v/>
      </c>
      <c r="F60">
        <f>IF(OR(A60="",D60=""),"",IFERROR(XLOOKUP(1,(WL_Exercise=A60)*(WL_e1RM=D60),WL_Reps,"",0),""))</f>
        <v/>
      </c>
      <c r="G60" s="8">
        <f>IF(OR(A60="",D60=""),"",IFERROR(XLOOKUP(1,(WL_Exercise=A60)*(WL_e1RM=D60),WL_Weight,"",0),""))</f>
        <v/>
      </c>
    </row>
    <row r="61">
      <c r="A61">
        <f>'Exercise Library'!A61</f>
        <v/>
      </c>
      <c r="B61" s="8">
        <f>IF(A61="","",IFERROR(MAXIFS(WL_Weight,WL_Exercise,A61),""))</f>
        <v/>
      </c>
      <c r="C61" s="7">
        <f>IF(OR(A61="",B61=""),"",IFERROR(XLOOKUP(1,(WL_Exercise=A61)*(WL_Weight=B61),WL_Date,"",0),""))</f>
        <v/>
      </c>
      <c r="D61" s="8">
        <f>IF(A61="","",IFERROR(MAXIFS(WL_e1RM,WL_Exercise,A61),""))</f>
        <v/>
      </c>
      <c r="E61" s="7">
        <f>IF(OR(A61="",D61=""),"",IFERROR(XLOOKUP(1,(WL_Exercise=A61)*(WL_e1RM=D61),WL_Date,"",0),""))</f>
        <v/>
      </c>
      <c r="F61">
        <f>IF(OR(A61="",D61=""),"",IFERROR(XLOOKUP(1,(WL_Exercise=A61)*(WL_e1RM=D61),WL_Reps,"",0),""))</f>
        <v/>
      </c>
      <c r="G61" s="8">
        <f>IF(OR(A61="",D61=""),"",IFERROR(XLOOKUP(1,(WL_Exercise=A61)*(WL_e1RM=D61),WL_Weight,"",0),""))</f>
        <v/>
      </c>
    </row>
    <row r="62">
      <c r="A62">
        <f>'Exercise Library'!A62</f>
        <v/>
      </c>
      <c r="B62" s="8">
        <f>IF(A62="","",IFERROR(MAXIFS(WL_Weight,WL_Exercise,A62),""))</f>
        <v/>
      </c>
      <c r="C62" s="7">
        <f>IF(OR(A62="",B62=""),"",IFERROR(XLOOKUP(1,(WL_Exercise=A62)*(WL_Weight=B62),WL_Date,"",0),""))</f>
        <v/>
      </c>
      <c r="D62" s="8">
        <f>IF(A62="","",IFERROR(MAXIFS(WL_e1RM,WL_Exercise,A62),""))</f>
        <v/>
      </c>
      <c r="E62" s="7">
        <f>IF(OR(A62="",D62=""),"",IFERROR(XLOOKUP(1,(WL_Exercise=A62)*(WL_e1RM=D62),WL_Date,"",0),""))</f>
        <v/>
      </c>
      <c r="F62">
        <f>IF(OR(A62="",D62=""),"",IFERROR(XLOOKUP(1,(WL_Exercise=A62)*(WL_e1RM=D62),WL_Reps,"",0),""))</f>
        <v/>
      </c>
      <c r="G62" s="8">
        <f>IF(OR(A62="",D62=""),"",IFERROR(XLOOKUP(1,(WL_Exercise=A62)*(WL_e1RM=D62),WL_Weight,"",0),""))</f>
        <v/>
      </c>
    </row>
    <row r="63">
      <c r="A63">
        <f>'Exercise Library'!A63</f>
        <v/>
      </c>
      <c r="B63" s="8">
        <f>IF(A63="","",IFERROR(MAXIFS(WL_Weight,WL_Exercise,A63),""))</f>
        <v/>
      </c>
      <c r="C63" s="7">
        <f>IF(OR(A63="",B63=""),"",IFERROR(XLOOKUP(1,(WL_Exercise=A63)*(WL_Weight=B63),WL_Date,"",0),""))</f>
        <v/>
      </c>
      <c r="D63" s="8">
        <f>IF(A63="","",IFERROR(MAXIFS(WL_e1RM,WL_Exercise,A63),""))</f>
        <v/>
      </c>
      <c r="E63" s="7">
        <f>IF(OR(A63="",D63=""),"",IFERROR(XLOOKUP(1,(WL_Exercise=A63)*(WL_e1RM=D63),WL_Date,"",0),""))</f>
        <v/>
      </c>
      <c r="F63">
        <f>IF(OR(A63="",D63=""),"",IFERROR(XLOOKUP(1,(WL_Exercise=A63)*(WL_e1RM=D63),WL_Reps,"",0),""))</f>
        <v/>
      </c>
      <c r="G63" s="8">
        <f>IF(OR(A63="",D63=""),"",IFERROR(XLOOKUP(1,(WL_Exercise=A63)*(WL_e1RM=D63),WL_Weight,"",0),""))</f>
        <v/>
      </c>
    </row>
    <row r="64">
      <c r="A64">
        <f>'Exercise Library'!A64</f>
        <v/>
      </c>
      <c r="B64" s="8">
        <f>IF(A64="","",IFERROR(MAXIFS(WL_Weight,WL_Exercise,A64),""))</f>
        <v/>
      </c>
      <c r="C64" s="7">
        <f>IF(OR(A64="",B64=""),"",IFERROR(XLOOKUP(1,(WL_Exercise=A64)*(WL_Weight=B64),WL_Date,"",0),""))</f>
        <v/>
      </c>
      <c r="D64" s="8">
        <f>IF(A64="","",IFERROR(MAXIFS(WL_e1RM,WL_Exercise,A64),""))</f>
        <v/>
      </c>
      <c r="E64" s="7">
        <f>IF(OR(A64="",D64=""),"",IFERROR(XLOOKUP(1,(WL_Exercise=A64)*(WL_e1RM=D64),WL_Date,"",0),""))</f>
        <v/>
      </c>
      <c r="F64">
        <f>IF(OR(A64="",D64=""),"",IFERROR(XLOOKUP(1,(WL_Exercise=A64)*(WL_e1RM=D64),WL_Reps,"",0),""))</f>
        <v/>
      </c>
      <c r="G64" s="8">
        <f>IF(OR(A64="",D64=""),"",IFERROR(XLOOKUP(1,(WL_Exercise=A64)*(WL_e1RM=D64),WL_Weight,"",0),""))</f>
        <v/>
      </c>
    </row>
    <row r="65">
      <c r="A65">
        <f>'Exercise Library'!A65</f>
        <v/>
      </c>
      <c r="B65" s="8">
        <f>IF(A65="","",IFERROR(MAXIFS(WL_Weight,WL_Exercise,A65),""))</f>
        <v/>
      </c>
      <c r="C65" s="7">
        <f>IF(OR(A65="",B65=""),"",IFERROR(XLOOKUP(1,(WL_Exercise=A65)*(WL_Weight=B65),WL_Date,"",0),""))</f>
        <v/>
      </c>
      <c r="D65" s="8">
        <f>IF(A65="","",IFERROR(MAXIFS(WL_e1RM,WL_Exercise,A65),""))</f>
        <v/>
      </c>
      <c r="E65" s="7">
        <f>IF(OR(A65="",D65=""),"",IFERROR(XLOOKUP(1,(WL_Exercise=A65)*(WL_e1RM=D65),WL_Date,"",0),""))</f>
        <v/>
      </c>
      <c r="F65">
        <f>IF(OR(A65="",D65=""),"",IFERROR(XLOOKUP(1,(WL_Exercise=A65)*(WL_e1RM=D65),WL_Reps,"",0),""))</f>
        <v/>
      </c>
      <c r="G65" s="8">
        <f>IF(OR(A65="",D65=""),"",IFERROR(XLOOKUP(1,(WL_Exercise=A65)*(WL_e1RM=D65),WL_Weight,"",0),""))</f>
        <v/>
      </c>
    </row>
    <row r="66">
      <c r="A66">
        <f>'Exercise Library'!A66</f>
        <v/>
      </c>
      <c r="B66" s="8">
        <f>IF(A66="","",IFERROR(MAXIFS(WL_Weight,WL_Exercise,A66),""))</f>
        <v/>
      </c>
      <c r="C66" s="7">
        <f>IF(OR(A66="",B66=""),"",IFERROR(XLOOKUP(1,(WL_Exercise=A66)*(WL_Weight=B66),WL_Date,"",0),""))</f>
        <v/>
      </c>
      <c r="D66" s="8">
        <f>IF(A66="","",IFERROR(MAXIFS(WL_e1RM,WL_Exercise,A66),""))</f>
        <v/>
      </c>
      <c r="E66" s="7">
        <f>IF(OR(A66="",D66=""),"",IFERROR(XLOOKUP(1,(WL_Exercise=A66)*(WL_e1RM=D66),WL_Date,"",0),""))</f>
        <v/>
      </c>
      <c r="F66">
        <f>IF(OR(A66="",D66=""),"",IFERROR(XLOOKUP(1,(WL_Exercise=A66)*(WL_e1RM=D66),WL_Reps,"",0),""))</f>
        <v/>
      </c>
      <c r="G66" s="8">
        <f>IF(OR(A66="",D66=""),"",IFERROR(XLOOKUP(1,(WL_Exercise=A66)*(WL_e1RM=D66),WL_Weight,"",0),""))</f>
        <v/>
      </c>
    </row>
    <row r="67">
      <c r="A67">
        <f>'Exercise Library'!A67</f>
        <v/>
      </c>
      <c r="B67" s="8">
        <f>IF(A67="","",IFERROR(MAXIFS(WL_Weight,WL_Exercise,A67),""))</f>
        <v/>
      </c>
      <c r="C67" s="7">
        <f>IF(OR(A67="",B67=""),"",IFERROR(XLOOKUP(1,(WL_Exercise=A67)*(WL_Weight=B67),WL_Date,"",0),""))</f>
        <v/>
      </c>
      <c r="D67" s="8">
        <f>IF(A67="","",IFERROR(MAXIFS(WL_e1RM,WL_Exercise,A67),""))</f>
        <v/>
      </c>
      <c r="E67" s="7">
        <f>IF(OR(A67="",D67=""),"",IFERROR(XLOOKUP(1,(WL_Exercise=A67)*(WL_e1RM=D67),WL_Date,"",0),""))</f>
        <v/>
      </c>
      <c r="F67">
        <f>IF(OR(A67="",D67=""),"",IFERROR(XLOOKUP(1,(WL_Exercise=A67)*(WL_e1RM=D67),WL_Reps,"",0),""))</f>
        <v/>
      </c>
      <c r="G67" s="8">
        <f>IF(OR(A67="",D67=""),"",IFERROR(XLOOKUP(1,(WL_Exercise=A67)*(WL_e1RM=D67),WL_Weight,"",0),""))</f>
        <v/>
      </c>
    </row>
    <row r="68">
      <c r="A68">
        <f>'Exercise Library'!A68</f>
        <v/>
      </c>
      <c r="B68" s="8">
        <f>IF(A68="","",IFERROR(MAXIFS(WL_Weight,WL_Exercise,A68),""))</f>
        <v/>
      </c>
      <c r="C68" s="7">
        <f>IF(OR(A68="",B68=""),"",IFERROR(XLOOKUP(1,(WL_Exercise=A68)*(WL_Weight=B68),WL_Date,"",0),""))</f>
        <v/>
      </c>
      <c r="D68" s="8">
        <f>IF(A68="","",IFERROR(MAXIFS(WL_e1RM,WL_Exercise,A68),""))</f>
        <v/>
      </c>
      <c r="E68" s="7">
        <f>IF(OR(A68="",D68=""),"",IFERROR(XLOOKUP(1,(WL_Exercise=A68)*(WL_e1RM=D68),WL_Date,"",0),""))</f>
        <v/>
      </c>
      <c r="F68">
        <f>IF(OR(A68="",D68=""),"",IFERROR(XLOOKUP(1,(WL_Exercise=A68)*(WL_e1RM=D68),WL_Reps,"",0),""))</f>
        <v/>
      </c>
      <c r="G68" s="8">
        <f>IF(OR(A68="",D68=""),"",IFERROR(XLOOKUP(1,(WL_Exercise=A68)*(WL_e1RM=D68),WL_Weight,"",0),""))</f>
        <v/>
      </c>
    </row>
    <row r="69">
      <c r="A69">
        <f>'Exercise Library'!A69</f>
        <v/>
      </c>
      <c r="B69" s="8">
        <f>IF(A69="","",IFERROR(MAXIFS(WL_Weight,WL_Exercise,A69),""))</f>
        <v/>
      </c>
      <c r="C69" s="7">
        <f>IF(OR(A69="",B69=""),"",IFERROR(XLOOKUP(1,(WL_Exercise=A69)*(WL_Weight=B69),WL_Date,"",0),""))</f>
        <v/>
      </c>
      <c r="D69" s="8">
        <f>IF(A69="","",IFERROR(MAXIFS(WL_e1RM,WL_Exercise,A69),""))</f>
        <v/>
      </c>
      <c r="E69" s="7">
        <f>IF(OR(A69="",D69=""),"",IFERROR(XLOOKUP(1,(WL_Exercise=A69)*(WL_e1RM=D69),WL_Date,"",0),""))</f>
        <v/>
      </c>
      <c r="F69">
        <f>IF(OR(A69="",D69=""),"",IFERROR(XLOOKUP(1,(WL_Exercise=A69)*(WL_e1RM=D69),WL_Reps,"",0),""))</f>
        <v/>
      </c>
      <c r="G69" s="8">
        <f>IF(OR(A69="",D69=""),"",IFERROR(XLOOKUP(1,(WL_Exercise=A69)*(WL_e1RM=D69),WL_Weight,"",0),""))</f>
        <v/>
      </c>
    </row>
    <row r="70">
      <c r="A70">
        <f>'Exercise Library'!A70</f>
        <v/>
      </c>
      <c r="B70" s="8">
        <f>IF(A70="","",IFERROR(MAXIFS(WL_Weight,WL_Exercise,A70),""))</f>
        <v/>
      </c>
      <c r="C70" s="7">
        <f>IF(OR(A70="",B70=""),"",IFERROR(XLOOKUP(1,(WL_Exercise=A70)*(WL_Weight=B70),WL_Date,"",0),""))</f>
        <v/>
      </c>
      <c r="D70" s="8">
        <f>IF(A70="","",IFERROR(MAXIFS(WL_e1RM,WL_Exercise,A70),""))</f>
        <v/>
      </c>
      <c r="E70" s="7">
        <f>IF(OR(A70="",D70=""),"",IFERROR(XLOOKUP(1,(WL_Exercise=A70)*(WL_e1RM=D70),WL_Date,"",0),""))</f>
        <v/>
      </c>
      <c r="F70">
        <f>IF(OR(A70="",D70=""),"",IFERROR(XLOOKUP(1,(WL_Exercise=A70)*(WL_e1RM=D70),WL_Reps,"",0),""))</f>
        <v/>
      </c>
      <c r="G70" s="8">
        <f>IF(OR(A70="",D70=""),"",IFERROR(XLOOKUP(1,(WL_Exercise=A70)*(WL_e1RM=D70),WL_Weight,"",0),""))</f>
        <v/>
      </c>
    </row>
    <row r="71">
      <c r="A71">
        <f>'Exercise Library'!A71</f>
        <v/>
      </c>
      <c r="B71" s="8">
        <f>IF(A71="","",IFERROR(MAXIFS(WL_Weight,WL_Exercise,A71),""))</f>
        <v/>
      </c>
      <c r="C71" s="7">
        <f>IF(OR(A71="",B71=""),"",IFERROR(XLOOKUP(1,(WL_Exercise=A71)*(WL_Weight=B71),WL_Date,"",0),""))</f>
        <v/>
      </c>
      <c r="D71" s="8">
        <f>IF(A71="","",IFERROR(MAXIFS(WL_e1RM,WL_Exercise,A71),""))</f>
        <v/>
      </c>
      <c r="E71" s="7">
        <f>IF(OR(A71="",D71=""),"",IFERROR(XLOOKUP(1,(WL_Exercise=A71)*(WL_e1RM=D71),WL_Date,"",0),""))</f>
        <v/>
      </c>
      <c r="F71">
        <f>IF(OR(A71="",D71=""),"",IFERROR(XLOOKUP(1,(WL_Exercise=A71)*(WL_e1RM=D71),WL_Reps,"",0),""))</f>
        <v/>
      </c>
      <c r="G71" s="8">
        <f>IF(OR(A71="",D71=""),"",IFERROR(XLOOKUP(1,(WL_Exercise=A71)*(WL_e1RM=D71),WL_Weight,"",0),""))</f>
        <v/>
      </c>
    </row>
    <row r="72">
      <c r="A72">
        <f>'Exercise Library'!A72</f>
        <v/>
      </c>
      <c r="B72" s="8">
        <f>IF(A72="","",IFERROR(MAXIFS(WL_Weight,WL_Exercise,A72),""))</f>
        <v/>
      </c>
      <c r="C72" s="7">
        <f>IF(OR(A72="",B72=""),"",IFERROR(XLOOKUP(1,(WL_Exercise=A72)*(WL_Weight=B72),WL_Date,"",0),""))</f>
        <v/>
      </c>
      <c r="D72" s="8">
        <f>IF(A72="","",IFERROR(MAXIFS(WL_e1RM,WL_Exercise,A72),""))</f>
        <v/>
      </c>
      <c r="E72" s="7">
        <f>IF(OR(A72="",D72=""),"",IFERROR(XLOOKUP(1,(WL_Exercise=A72)*(WL_e1RM=D72),WL_Date,"",0),""))</f>
        <v/>
      </c>
      <c r="F72">
        <f>IF(OR(A72="",D72=""),"",IFERROR(XLOOKUP(1,(WL_Exercise=A72)*(WL_e1RM=D72),WL_Reps,"",0),""))</f>
        <v/>
      </c>
      <c r="G72" s="8">
        <f>IF(OR(A72="",D72=""),"",IFERROR(XLOOKUP(1,(WL_Exercise=A72)*(WL_e1RM=D72),WL_Weight,"",0),""))</f>
        <v/>
      </c>
    </row>
    <row r="73">
      <c r="A73">
        <f>'Exercise Library'!A73</f>
        <v/>
      </c>
      <c r="B73" s="8">
        <f>IF(A73="","",IFERROR(MAXIFS(WL_Weight,WL_Exercise,A73),""))</f>
        <v/>
      </c>
      <c r="C73" s="7">
        <f>IF(OR(A73="",B73=""),"",IFERROR(XLOOKUP(1,(WL_Exercise=A73)*(WL_Weight=B73),WL_Date,"",0),""))</f>
        <v/>
      </c>
      <c r="D73" s="8">
        <f>IF(A73="","",IFERROR(MAXIFS(WL_e1RM,WL_Exercise,A73),""))</f>
        <v/>
      </c>
      <c r="E73" s="7">
        <f>IF(OR(A73="",D73=""),"",IFERROR(XLOOKUP(1,(WL_Exercise=A73)*(WL_e1RM=D73),WL_Date,"",0),""))</f>
        <v/>
      </c>
      <c r="F73">
        <f>IF(OR(A73="",D73=""),"",IFERROR(XLOOKUP(1,(WL_Exercise=A73)*(WL_e1RM=D73),WL_Reps,"",0),""))</f>
        <v/>
      </c>
      <c r="G73" s="8">
        <f>IF(OR(A73="",D73=""),"",IFERROR(XLOOKUP(1,(WL_Exercise=A73)*(WL_e1RM=D73),WL_Weight,"",0),""))</f>
        <v/>
      </c>
    </row>
    <row r="74">
      <c r="A74">
        <f>'Exercise Library'!A74</f>
        <v/>
      </c>
      <c r="B74" s="8">
        <f>IF(A74="","",IFERROR(MAXIFS(WL_Weight,WL_Exercise,A74),""))</f>
        <v/>
      </c>
      <c r="C74" s="7">
        <f>IF(OR(A74="",B74=""),"",IFERROR(XLOOKUP(1,(WL_Exercise=A74)*(WL_Weight=B74),WL_Date,"",0),""))</f>
        <v/>
      </c>
      <c r="D74" s="8">
        <f>IF(A74="","",IFERROR(MAXIFS(WL_e1RM,WL_Exercise,A74),""))</f>
        <v/>
      </c>
      <c r="E74" s="7">
        <f>IF(OR(A74="",D74=""),"",IFERROR(XLOOKUP(1,(WL_Exercise=A74)*(WL_e1RM=D74),WL_Date,"",0),""))</f>
        <v/>
      </c>
      <c r="F74">
        <f>IF(OR(A74="",D74=""),"",IFERROR(XLOOKUP(1,(WL_Exercise=A74)*(WL_e1RM=D74),WL_Reps,"",0),""))</f>
        <v/>
      </c>
      <c r="G74" s="8">
        <f>IF(OR(A74="",D74=""),"",IFERROR(XLOOKUP(1,(WL_Exercise=A74)*(WL_e1RM=D74),WL_Weight,"",0),""))</f>
        <v/>
      </c>
    </row>
    <row r="75">
      <c r="A75">
        <f>'Exercise Library'!A75</f>
        <v/>
      </c>
      <c r="B75" s="8">
        <f>IF(A75="","",IFERROR(MAXIFS(WL_Weight,WL_Exercise,A75),""))</f>
        <v/>
      </c>
      <c r="C75" s="7">
        <f>IF(OR(A75="",B75=""),"",IFERROR(XLOOKUP(1,(WL_Exercise=A75)*(WL_Weight=B75),WL_Date,"",0),""))</f>
        <v/>
      </c>
      <c r="D75" s="8">
        <f>IF(A75="","",IFERROR(MAXIFS(WL_e1RM,WL_Exercise,A75),""))</f>
        <v/>
      </c>
      <c r="E75" s="7">
        <f>IF(OR(A75="",D75=""),"",IFERROR(XLOOKUP(1,(WL_Exercise=A75)*(WL_e1RM=D75),WL_Date,"",0),""))</f>
        <v/>
      </c>
      <c r="F75">
        <f>IF(OR(A75="",D75=""),"",IFERROR(XLOOKUP(1,(WL_Exercise=A75)*(WL_e1RM=D75),WL_Reps,"",0),""))</f>
        <v/>
      </c>
      <c r="G75" s="8">
        <f>IF(OR(A75="",D75=""),"",IFERROR(XLOOKUP(1,(WL_Exercise=A75)*(WL_e1RM=D75),WL_Weight,"",0),""))</f>
        <v/>
      </c>
    </row>
    <row r="76">
      <c r="A76">
        <f>'Exercise Library'!A76</f>
        <v/>
      </c>
      <c r="B76" s="8">
        <f>IF(A76="","",IFERROR(MAXIFS(WL_Weight,WL_Exercise,A76),""))</f>
        <v/>
      </c>
      <c r="C76" s="7">
        <f>IF(OR(A76="",B76=""),"",IFERROR(XLOOKUP(1,(WL_Exercise=A76)*(WL_Weight=B76),WL_Date,"",0),""))</f>
        <v/>
      </c>
      <c r="D76" s="8">
        <f>IF(A76="","",IFERROR(MAXIFS(WL_e1RM,WL_Exercise,A76),""))</f>
        <v/>
      </c>
      <c r="E76" s="7">
        <f>IF(OR(A76="",D76=""),"",IFERROR(XLOOKUP(1,(WL_Exercise=A76)*(WL_e1RM=D76),WL_Date,"",0),""))</f>
        <v/>
      </c>
      <c r="F76">
        <f>IF(OR(A76="",D76=""),"",IFERROR(XLOOKUP(1,(WL_Exercise=A76)*(WL_e1RM=D76),WL_Reps,"",0),""))</f>
        <v/>
      </c>
      <c r="G76" s="8">
        <f>IF(OR(A76="",D76=""),"",IFERROR(XLOOKUP(1,(WL_Exercise=A76)*(WL_e1RM=D76),WL_Weight,"",0),""))</f>
        <v/>
      </c>
    </row>
    <row r="77">
      <c r="A77">
        <f>'Exercise Library'!A77</f>
        <v/>
      </c>
      <c r="B77" s="8">
        <f>IF(A77="","",IFERROR(MAXIFS(WL_Weight,WL_Exercise,A77),""))</f>
        <v/>
      </c>
      <c r="C77" s="7">
        <f>IF(OR(A77="",B77=""),"",IFERROR(XLOOKUP(1,(WL_Exercise=A77)*(WL_Weight=B77),WL_Date,"",0),""))</f>
        <v/>
      </c>
      <c r="D77" s="8">
        <f>IF(A77="","",IFERROR(MAXIFS(WL_e1RM,WL_Exercise,A77),""))</f>
        <v/>
      </c>
      <c r="E77" s="7">
        <f>IF(OR(A77="",D77=""),"",IFERROR(XLOOKUP(1,(WL_Exercise=A77)*(WL_e1RM=D77),WL_Date,"",0),""))</f>
        <v/>
      </c>
      <c r="F77">
        <f>IF(OR(A77="",D77=""),"",IFERROR(XLOOKUP(1,(WL_Exercise=A77)*(WL_e1RM=D77),WL_Reps,"",0),""))</f>
        <v/>
      </c>
      <c r="G77" s="8">
        <f>IF(OR(A77="",D77=""),"",IFERROR(XLOOKUP(1,(WL_Exercise=A77)*(WL_e1RM=D77),WL_Weight,"",0),""))</f>
        <v/>
      </c>
    </row>
    <row r="78">
      <c r="A78">
        <f>'Exercise Library'!A78</f>
        <v/>
      </c>
      <c r="B78" s="8">
        <f>IF(A78="","",IFERROR(MAXIFS(WL_Weight,WL_Exercise,A78),""))</f>
        <v/>
      </c>
      <c r="C78" s="7">
        <f>IF(OR(A78="",B78=""),"",IFERROR(XLOOKUP(1,(WL_Exercise=A78)*(WL_Weight=B78),WL_Date,"",0),""))</f>
        <v/>
      </c>
      <c r="D78" s="8">
        <f>IF(A78="","",IFERROR(MAXIFS(WL_e1RM,WL_Exercise,A78),""))</f>
        <v/>
      </c>
      <c r="E78" s="7">
        <f>IF(OR(A78="",D78=""),"",IFERROR(XLOOKUP(1,(WL_Exercise=A78)*(WL_e1RM=D78),WL_Date,"",0),""))</f>
        <v/>
      </c>
      <c r="F78">
        <f>IF(OR(A78="",D78=""),"",IFERROR(XLOOKUP(1,(WL_Exercise=A78)*(WL_e1RM=D78),WL_Reps,"",0),""))</f>
        <v/>
      </c>
      <c r="G78" s="8">
        <f>IF(OR(A78="",D78=""),"",IFERROR(XLOOKUP(1,(WL_Exercise=A78)*(WL_e1RM=D78),WL_Weight,"",0),""))</f>
        <v/>
      </c>
    </row>
    <row r="79">
      <c r="A79">
        <f>'Exercise Library'!A79</f>
        <v/>
      </c>
      <c r="B79" s="8">
        <f>IF(A79="","",IFERROR(MAXIFS(WL_Weight,WL_Exercise,A79),""))</f>
        <v/>
      </c>
      <c r="C79" s="7">
        <f>IF(OR(A79="",B79=""),"",IFERROR(XLOOKUP(1,(WL_Exercise=A79)*(WL_Weight=B79),WL_Date,"",0),""))</f>
        <v/>
      </c>
      <c r="D79" s="8">
        <f>IF(A79="","",IFERROR(MAXIFS(WL_e1RM,WL_Exercise,A79),""))</f>
        <v/>
      </c>
      <c r="E79" s="7">
        <f>IF(OR(A79="",D79=""),"",IFERROR(XLOOKUP(1,(WL_Exercise=A79)*(WL_e1RM=D79),WL_Date,"",0),""))</f>
        <v/>
      </c>
      <c r="F79">
        <f>IF(OR(A79="",D79=""),"",IFERROR(XLOOKUP(1,(WL_Exercise=A79)*(WL_e1RM=D79),WL_Reps,"",0),""))</f>
        <v/>
      </c>
      <c r="G79" s="8">
        <f>IF(OR(A79="",D79=""),"",IFERROR(XLOOKUP(1,(WL_Exercise=A79)*(WL_e1RM=D79),WL_Weight,"",0),""))</f>
        <v/>
      </c>
    </row>
    <row r="80">
      <c r="A80">
        <f>'Exercise Library'!A80</f>
        <v/>
      </c>
      <c r="B80" s="8">
        <f>IF(A80="","",IFERROR(MAXIFS(WL_Weight,WL_Exercise,A80),""))</f>
        <v/>
      </c>
      <c r="C80" s="7">
        <f>IF(OR(A80="",B80=""),"",IFERROR(XLOOKUP(1,(WL_Exercise=A80)*(WL_Weight=B80),WL_Date,"",0),""))</f>
        <v/>
      </c>
      <c r="D80" s="8">
        <f>IF(A80="","",IFERROR(MAXIFS(WL_e1RM,WL_Exercise,A80),""))</f>
        <v/>
      </c>
      <c r="E80" s="7">
        <f>IF(OR(A80="",D80=""),"",IFERROR(XLOOKUP(1,(WL_Exercise=A80)*(WL_e1RM=D80),WL_Date,"",0),""))</f>
        <v/>
      </c>
      <c r="F80">
        <f>IF(OR(A80="",D80=""),"",IFERROR(XLOOKUP(1,(WL_Exercise=A80)*(WL_e1RM=D80),WL_Reps,"",0),""))</f>
        <v/>
      </c>
      <c r="G80" s="8">
        <f>IF(OR(A80="",D80=""),"",IFERROR(XLOOKUP(1,(WL_Exercise=A80)*(WL_e1RM=D80),WL_Weight,"",0),""))</f>
        <v/>
      </c>
    </row>
    <row r="81">
      <c r="A81">
        <f>'Exercise Library'!A81</f>
        <v/>
      </c>
      <c r="B81" s="8">
        <f>IF(A81="","",IFERROR(MAXIFS(WL_Weight,WL_Exercise,A81),""))</f>
        <v/>
      </c>
      <c r="C81" s="7">
        <f>IF(OR(A81="",B81=""),"",IFERROR(XLOOKUP(1,(WL_Exercise=A81)*(WL_Weight=B81),WL_Date,"",0),""))</f>
        <v/>
      </c>
      <c r="D81" s="8">
        <f>IF(A81="","",IFERROR(MAXIFS(WL_e1RM,WL_Exercise,A81),""))</f>
        <v/>
      </c>
      <c r="E81" s="7">
        <f>IF(OR(A81="",D81=""),"",IFERROR(XLOOKUP(1,(WL_Exercise=A81)*(WL_e1RM=D81),WL_Date,"",0),""))</f>
        <v/>
      </c>
      <c r="F81">
        <f>IF(OR(A81="",D81=""),"",IFERROR(XLOOKUP(1,(WL_Exercise=A81)*(WL_e1RM=D81),WL_Reps,"",0),""))</f>
        <v/>
      </c>
      <c r="G81" s="8">
        <f>IF(OR(A81="",D81=""),"",IFERROR(XLOOKUP(1,(WL_Exercise=A81)*(WL_e1RM=D81),WL_Weight,"",0),""))</f>
        <v/>
      </c>
    </row>
    <row r="82">
      <c r="A82">
        <f>'Exercise Library'!A82</f>
        <v/>
      </c>
      <c r="B82" s="8">
        <f>IF(A82="","",IFERROR(MAXIFS(WL_Weight,WL_Exercise,A82),""))</f>
        <v/>
      </c>
      <c r="C82" s="7">
        <f>IF(OR(A82="",B82=""),"",IFERROR(XLOOKUP(1,(WL_Exercise=A82)*(WL_Weight=B82),WL_Date,"",0),""))</f>
        <v/>
      </c>
      <c r="D82" s="8">
        <f>IF(A82="","",IFERROR(MAXIFS(WL_e1RM,WL_Exercise,A82),""))</f>
        <v/>
      </c>
      <c r="E82" s="7">
        <f>IF(OR(A82="",D82=""),"",IFERROR(XLOOKUP(1,(WL_Exercise=A82)*(WL_e1RM=D82),WL_Date,"",0),""))</f>
        <v/>
      </c>
      <c r="F82">
        <f>IF(OR(A82="",D82=""),"",IFERROR(XLOOKUP(1,(WL_Exercise=A82)*(WL_e1RM=D82),WL_Reps,"",0),""))</f>
        <v/>
      </c>
      <c r="G82" s="8">
        <f>IF(OR(A82="",D82=""),"",IFERROR(XLOOKUP(1,(WL_Exercise=A82)*(WL_e1RM=D82),WL_Weight,"",0),""))</f>
        <v/>
      </c>
    </row>
    <row r="83">
      <c r="A83">
        <f>'Exercise Library'!A83</f>
        <v/>
      </c>
      <c r="B83" s="8">
        <f>IF(A83="","",IFERROR(MAXIFS(WL_Weight,WL_Exercise,A83),""))</f>
        <v/>
      </c>
      <c r="C83" s="7">
        <f>IF(OR(A83="",B83=""),"",IFERROR(XLOOKUP(1,(WL_Exercise=A83)*(WL_Weight=B83),WL_Date,"",0),""))</f>
        <v/>
      </c>
      <c r="D83" s="8">
        <f>IF(A83="","",IFERROR(MAXIFS(WL_e1RM,WL_Exercise,A83),""))</f>
        <v/>
      </c>
      <c r="E83" s="7">
        <f>IF(OR(A83="",D83=""),"",IFERROR(XLOOKUP(1,(WL_Exercise=A83)*(WL_e1RM=D83),WL_Date,"",0),""))</f>
        <v/>
      </c>
      <c r="F83">
        <f>IF(OR(A83="",D83=""),"",IFERROR(XLOOKUP(1,(WL_Exercise=A83)*(WL_e1RM=D83),WL_Reps,"",0),""))</f>
        <v/>
      </c>
      <c r="G83" s="8">
        <f>IF(OR(A83="",D83=""),"",IFERROR(XLOOKUP(1,(WL_Exercise=A83)*(WL_e1RM=D83),WL_Weight,"",0),""))</f>
        <v/>
      </c>
    </row>
    <row r="84">
      <c r="A84">
        <f>'Exercise Library'!A84</f>
        <v/>
      </c>
      <c r="B84" s="8">
        <f>IF(A84="","",IFERROR(MAXIFS(WL_Weight,WL_Exercise,A84),""))</f>
        <v/>
      </c>
      <c r="C84" s="7">
        <f>IF(OR(A84="",B84=""),"",IFERROR(XLOOKUP(1,(WL_Exercise=A84)*(WL_Weight=B84),WL_Date,"",0),""))</f>
        <v/>
      </c>
      <c r="D84" s="8">
        <f>IF(A84="","",IFERROR(MAXIFS(WL_e1RM,WL_Exercise,A84),""))</f>
        <v/>
      </c>
      <c r="E84" s="7">
        <f>IF(OR(A84="",D84=""),"",IFERROR(XLOOKUP(1,(WL_Exercise=A84)*(WL_e1RM=D84),WL_Date,"",0),""))</f>
        <v/>
      </c>
      <c r="F84">
        <f>IF(OR(A84="",D84=""),"",IFERROR(XLOOKUP(1,(WL_Exercise=A84)*(WL_e1RM=D84),WL_Reps,"",0),""))</f>
        <v/>
      </c>
      <c r="G84" s="8">
        <f>IF(OR(A84="",D84=""),"",IFERROR(XLOOKUP(1,(WL_Exercise=A84)*(WL_e1RM=D84),WL_Weight,"",0),""))</f>
        <v/>
      </c>
    </row>
    <row r="85">
      <c r="A85">
        <f>'Exercise Library'!A85</f>
        <v/>
      </c>
      <c r="B85" s="8">
        <f>IF(A85="","",IFERROR(MAXIFS(WL_Weight,WL_Exercise,A85),""))</f>
        <v/>
      </c>
      <c r="C85" s="7">
        <f>IF(OR(A85="",B85=""),"",IFERROR(XLOOKUP(1,(WL_Exercise=A85)*(WL_Weight=B85),WL_Date,"",0),""))</f>
        <v/>
      </c>
      <c r="D85" s="8">
        <f>IF(A85="","",IFERROR(MAXIFS(WL_e1RM,WL_Exercise,A85),""))</f>
        <v/>
      </c>
      <c r="E85" s="7">
        <f>IF(OR(A85="",D85=""),"",IFERROR(XLOOKUP(1,(WL_Exercise=A85)*(WL_e1RM=D85),WL_Date,"",0),""))</f>
        <v/>
      </c>
      <c r="F85">
        <f>IF(OR(A85="",D85=""),"",IFERROR(XLOOKUP(1,(WL_Exercise=A85)*(WL_e1RM=D85),WL_Reps,"",0),""))</f>
        <v/>
      </c>
      <c r="G85" s="8">
        <f>IF(OR(A85="",D85=""),"",IFERROR(XLOOKUP(1,(WL_Exercise=A85)*(WL_e1RM=D85),WL_Weight,"",0),""))</f>
        <v/>
      </c>
    </row>
    <row r="86">
      <c r="A86">
        <f>'Exercise Library'!A86</f>
        <v/>
      </c>
      <c r="B86" s="8">
        <f>IF(A86="","",IFERROR(MAXIFS(WL_Weight,WL_Exercise,A86),""))</f>
        <v/>
      </c>
      <c r="C86" s="7">
        <f>IF(OR(A86="",B86=""),"",IFERROR(XLOOKUP(1,(WL_Exercise=A86)*(WL_Weight=B86),WL_Date,"",0),""))</f>
        <v/>
      </c>
      <c r="D86" s="8">
        <f>IF(A86="","",IFERROR(MAXIFS(WL_e1RM,WL_Exercise,A86),""))</f>
        <v/>
      </c>
      <c r="E86" s="7">
        <f>IF(OR(A86="",D86=""),"",IFERROR(XLOOKUP(1,(WL_Exercise=A86)*(WL_e1RM=D86),WL_Date,"",0),""))</f>
        <v/>
      </c>
      <c r="F86">
        <f>IF(OR(A86="",D86=""),"",IFERROR(XLOOKUP(1,(WL_Exercise=A86)*(WL_e1RM=D86),WL_Reps,"",0),""))</f>
        <v/>
      </c>
      <c r="G86" s="8">
        <f>IF(OR(A86="",D86=""),"",IFERROR(XLOOKUP(1,(WL_Exercise=A86)*(WL_e1RM=D86),WL_Weight,"",0),""))</f>
        <v/>
      </c>
    </row>
    <row r="87">
      <c r="A87">
        <f>'Exercise Library'!A87</f>
        <v/>
      </c>
      <c r="B87" s="8">
        <f>IF(A87="","",IFERROR(MAXIFS(WL_Weight,WL_Exercise,A87),""))</f>
        <v/>
      </c>
      <c r="C87" s="7">
        <f>IF(OR(A87="",B87=""),"",IFERROR(XLOOKUP(1,(WL_Exercise=A87)*(WL_Weight=B87),WL_Date,"",0),""))</f>
        <v/>
      </c>
      <c r="D87" s="8">
        <f>IF(A87="","",IFERROR(MAXIFS(WL_e1RM,WL_Exercise,A87),""))</f>
        <v/>
      </c>
      <c r="E87" s="7">
        <f>IF(OR(A87="",D87=""),"",IFERROR(XLOOKUP(1,(WL_Exercise=A87)*(WL_e1RM=D87),WL_Date,"",0),""))</f>
        <v/>
      </c>
      <c r="F87">
        <f>IF(OR(A87="",D87=""),"",IFERROR(XLOOKUP(1,(WL_Exercise=A87)*(WL_e1RM=D87),WL_Reps,"",0),""))</f>
        <v/>
      </c>
      <c r="G87" s="8">
        <f>IF(OR(A87="",D87=""),"",IFERROR(XLOOKUP(1,(WL_Exercise=A87)*(WL_e1RM=D87),WL_Weight,"",0),""))</f>
        <v/>
      </c>
    </row>
    <row r="88">
      <c r="A88">
        <f>'Exercise Library'!A88</f>
        <v/>
      </c>
      <c r="B88" s="8">
        <f>IF(A88="","",IFERROR(MAXIFS(WL_Weight,WL_Exercise,A88),""))</f>
        <v/>
      </c>
      <c r="C88" s="7">
        <f>IF(OR(A88="",B88=""),"",IFERROR(XLOOKUP(1,(WL_Exercise=A88)*(WL_Weight=B88),WL_Date,"",0),""))</f>
        <v/>
      </c>
      <c r="D88" s="8">
        <f>IF(A88="","",IFERROR(MAXIFS(WL_e1RM,WL_Exercise,A88),""))</f>
        <v/>
      </c>
      <c r="E88" s="7">
        <f>IF(OR(A88="",D88=""),"",IFERROR(XLOOKUP(1,(WL_Exercise=A88)*(WL_e1RM=D88),WL_Date,"",0),""))</f>
        <v/>
      </c>
      <c r="F88">
        <f>IF(OR(A88="",D88=""),"",IFERROR(XLOOKUP(1,(WL_Exercise=A88)*(WL_e1RM=D88),WL_Reps,"",0),""))</f>
        <v/>
      </c>
      <c r="G88" s="8">
        <f>IF(OR(A88="",D88=""),"",IFERROR(XLOOKUP(1,(WL_Exercise=A88)*(WL_e1RM=D88),WL_Weight,"",0),""))</f>
        <v/>
      </c>
    </row>
    <row r="89">
      <c r="A89">
        <f>'Exercise Library'!A89</f>
        <v/>
      </c>
      <c r="B89" s="8">
        <f>IF(A89="","",IFERROR(MAXIFS(WL_Weight,WL_Exercise,A89),""))</f>
        <v/>
      </c>
      <c r="C89" s="7">
        <f>IF(OR(A89="",B89=""),"",IFERROR(XLOOKUP(1,(WL_Exercise=A89)*(WL_Weight=B89),WL_Date,"",0),""))</f>
        <v/>
      </c>
      <c r="D89" s="8">
        <f>IF(A89="","",IFERROR(MAXIFS(WL_e1RM,WL_Exercise,A89),""))</f>
        <v/>
      </c>
      <c r="E89" s="7">
        <f>IF(OR(A89="",D89=""),"",IFERROR(XLOOKUP(1,(WL_Exercise=A89)*(WL_e1RM=D89),WL_Date,"",0),""))</f>
        <v/>
      </c>
      <c r="F89">
        <f>IF(OR(A89="",D89=""),"",IFERROR(XLOOKUP(1,(WL_Exercise=A89)*(WL_e1RM=D89),WL_Reps,"",0),""))</f>
        <v/>
      </c>
      <c r="G89" s="8">
        <f>IF(OR(A89="",D89=""),"",IFERROR(XLOOKUP(1,(WL_Exercise=A89)*(WL_e1RM=D89),WL_Weight,"",0),""))</f>
        <v/>
      </c>
    </row>
    <row r="90">
      <c r="A90">
        <f>'Exercise Library'!A90</f>
        <v/>
      </c>
      <c r="B90" s="8">
        <f>IF(A90="","",IFERROR(MAXIFS(WL_Weight,WL_Exercise,A90),""))</f>
        <v/>
      </c>
      <c r="C90" s="7">
        <f>IF(OR(A90="",B90=""),"",IFERROR(XLOOKUP(1,(WL_Exercise=A90)*(WL_Weight=B90),WL_Date,"",0),""))</f>
        <v/>
      </c>
      <c r="D90" s="8">
        <f>IF(A90="","",IFERROR(MAXIFS(WL_e1RM,WL_Exercise,A90),""))</f>
        <v/>
      </c>
      <c r="E90" s="7">
        <f>IF(OR(A90="",D90=""),"",IFERROR(XLOOKUP(1,(WL_Exercise=A90)*(WL_e1RM=D90),WL_Date,"",0),""))</f>
        <v/>
      </c>
      <c r="F90">
        <f>IF(OR(A90="",D90=""),"",IFERROR(XLOOKUP(1,(WL_Exercise=A90)*(WL_e1RM=D90),WL_Reps,"",0),""))</f>
        <v/>
      </c>
      <c r="G90" s="8">
        <f>IF(OR(A90="",D90=""),"",IFERROR(XLOOKUP(1,(WL_Exercise=A90)*(WL_e1RM=D90),WL_Weight,"",0),""))</f>
        <v/>
      </c>
    </row>
    <row r="91">
      <c r="A91">
        <f>'Exercise Library'!A91</f>
        <v/>
      </c>
      <c r="B91" s="8">
        <f>IF(A91="","",IFERROR(MAXIFS(WL_Weight,WL_Exercise,A91),""))</f>
        <v/>
      </c>
      <c r="C91" s="7">
        <f>IF(OR(A91="",B91=""),"",IFERROR(XLOOKUP(1,(WL_Exercise=A91)*(WL_Weight=B91),WL_Date,"",0),""))</f>
        <v/>
      </c>
      <c r="D91" s="8">
        <f>IF(A91="","",IFERROR(MAXIFS(WL_e1RM,WL_Exercise,A91),""))</f>
        <v/>
      </c>
      <c r="E91" s="7">
        <f>IF(OR(A91="",D91=""),"",IFERROR(XLOOKUP(1,(WL_Exercise=A91)*(WL_e1RM=D91),WL_Date,"",0),""))</f>
        <v/>
      </c>
      <c r="F91">
        <f>IF(OR(A91="",D91=""),"",IFERROR(XLOOKUP(1,(WL_Exercise=A91)*(WL_e1RM=D91),WL_Reps,"",0),""))</f>
        <v/>
      </c>
      <c r="G91" s="8">
        <f>IF(OR(A91="",D91=""),"",IFERROR(XLOOKUP(1,(WL_Exercise=A91)*(WL_e1RM=D91),WL_Weight,"",0),""))</f>
        <v/>
      </c>
    </row>
    <row r="92">
      <c r="A92">
        <f>'Exercise Library'!A92</f>
        <v/>
      </c>
      <c r="B92" s="8">
        <f>IF(A92="","",IFERROR(MAXIFS(WL_Weight,WL_Exercise,A92),""))</f>
        <v/>
      </c>
      <c r="C92" s="7">
        <f>IF(OR(A92="",B92=""),"",IFERROR(XLOOKUP(1,(WL_Exercise=A92)*(WL_Weight=B92),WL_Date,"",0),""))</f>
        <v/>
      </c>
      <c r="D92" s="8">
        <f>IF(A92="","",IFERROR(MAXIFS(WL_e1RM,WL_Exercise,A92),""))</f>
        <v/>
      </c>
      <c r="E92" s="7">
        <f>IF(OR(A92="",D92=""),"",IFERROR(XLOOKUP(1,(WL_Exercise=A92)*(WL_e1RM=D92),WL_Date,"",0),""))</f>
        <v/>
      </c>
      <c r="F92">
        <f>IF(OR(A92="",D92=""),"",IFERROR(XLOOKUP(1,(WL_Exercise=A92)*(WL_e1RM=D92),WL_Reps,"",0),""))</f>
        <v/>
      </c>
      <c r="G92" s="8">
        <f>IF(OR(A92="",D92=""),"",IFERROR(XLOOKUP(1,(WL_Exercise=A92)*(WL_e1RM=D92),WL_Weight,"",0),""))</f>
        <v/>
      </c>
    </row>
    <row r="93">
      <c r="A93">
        <f>'Exercise Library'!A93</f>
        <v/>
      </c>
      <c r="B93" s="8">
        <f>IF(A93="","",IFERROR(MAXIFS(WL_Weight,WL_Exercise,A93),""))</f>
        <v/>
      </c>
      <c r="C93" s="7">
        <f>IF(OR(A93="",B93=""),"",IFERROR(XLOOKUP(1,(WL_Exercise=A93)*(WL_Weight=B93),WL_Date,"",0),""))</f>
        <v/>
      </c>
      <c r="D93" s="8">
        <f>IF(A93="","",IFERROR(MAXIFS(WL_e1RM,WL_Exercise,A93),""))</f>
        <v/>
      </c>
      <c r="E93" s="7">
        <f>IF(OR(A93="",D93=""),"",IFERROR(XLOOKUP(1,(WL_Exercise=A93)*(WL_e1RM=D93),WL_Date,"",0),""))</f>
        <v/>
      </c>
      <c r="F93">
        <f>IF(OR(A93="",D93=""),"",IFERROR(XLOOKUP(1,(WL_Exercise=A93)*(WL_e1RM=D93),WL_Reps,"",0),""))</f>
        <v/>
      </c>
      <c r="G93" s="8">
        <f>IF(OR(A93="",D93=""),"",IFERROR(XLOOKUP(1,(WL_Exercise=A93)*(WL_e1RM=D93),WL_Weight,"",0),""))</f>
        <v/>
      </c>
    </row>
    <row r="94">
      <c r="A94">
        <f>'Exercise Library'!A94</f>
        <v/>
      </c>
      <c r="B94" s="8">
        <f>IF(A94="","",IFERROR(MAXIFS(WL_Weight,WL_Exercise,A94),""))</f>
        <v/>
      </c>
      <c r="C94" s="7">
        <f>IF(OR(A94="",B94=""),"",IFERROR(XLOOKUP(1,(WL_Exercise=A94)*(WL_Weight=B94),WL_Date,"",0),""))</f>
        <v/>
      </c>
      <c r="D94" s="8">
        <f>IF(A94="","",IFERROR(MAXIFS(WL_e1RM,WL_Exercise,A94),""))</f>
        <v/>
      </c>
      <c r="E94" s="7">
        <f>IF(OR(A94="",D94=""),"",IFERROR(XLOOKUP(1,(WL_Exercise=A94)*(WL_e1RM=D94),WL_Date,"",0),""))</f>
        <v/>
      </c>
      <c r="F94">
        <f>IF(OR(A94="",D94=""),"",IFERROR(XLOOKUP(1,(WL_Exercise=A94)*(WL_e1RM=D94),WL_Reps,"",0),""))</f>
        <v/>
      </c>
      <c r="G94" s="8">
        <f>IF(OR(A94="",D94=""),"",IFERROR(XLOOKUP(1,(WL_Exercise=A94)*(WL_e1RM=D94),WL_Weight,"",0),""))</f>
        <v/>
      </c>
    </row>
    <row r="95">
      <c r="A95">
        <f>'Exercise Library'!A95</f>
        <v/>
      </c>
      <c r="B95" s="8">
        <f>IF(A95="","",IFERROR(MAXIFS(WL_Weight,WL_Exercise,A95),""))</f>
        <v/>
      </c>
      <c r="C95" s="7">
        <f>IF(OR(A95="",B95=""),"",IFERROR(XLOOKUP(1,(WL_Exercise=A95)*(WL_Weight=B95),WL_Date,"",0),""))</f>
        <v/>
      </c>
      <c r="D95" s="8">
        <f>IF(A95="","",IFERROR(MAXIFS(WL_e1RM,WL_Exercise,A95),""))</f>
        <v/>
      </c>
      <c r="E95" s="7">
        <f>IF(OR(A95="",D95=""),"",IFERROR(XLOOKUP(1,(WL_Exercise=A95)*(WL_e1RM=D95),WL_Date,"",0),""))</f>
        <v/>
      </c>
      <c r="F95">
        <f>IF(OR(A95="",D95=""),"",IFERROR(XLOOKUP(1,(WL_Exercise=A95)*(WL_e1RM=D95),WL_Reps,"",0),""))</f>
        <v/>
      </c>
      <c r="G95" s="8">
        <f>IF(OR(A95="",D95=""),"",IFERROR(XLOOKUP(1,(WL_Exercise=A95)*(WL_e1RM=D95),WL_Weight,"",0),""))</f>
        <v/>
      </c>
    </row>
    <row r="96">
      <c r="A96">
        <f>'Exercise Library'!A96</f>
        <v/>
      </c>
      <c r="B96" s="8">
        <f>IF(A96="","",IFERROR(MAXIFS(WL_Weight,WL_Exercise,A96),""))</f>
        <v/>
      </c>
      <c r="C96" s="7">
        <f>IF(OR(A96="",B96=""),"",IFERROR(XLOOKUP(1,(WL_Exercise=A96)*(WL_Weight=B96),WL_Date,"",0),""))</f>
        <v/>
      </c>
      <c r="D96" s="8">
        <f>IF(A96="","",IFERROR(MAXIFS(WL_e1RM,WL_Exercise,A96),""))</f>
        <v/>
      </c>
      <c r="E96" s="7">
        <f>IF(OR(A96="",D96=""),"",IFERROR(XLOOKUP(1,(WL_Exercise=A96)*(WL_e1RM=D96),WL_Date,"",0),""))</f>
        <v/>
      </c>
      <c r="F96">
        <f>IF(OR(A96="",D96=""),"",IFERROR(XLOOKUP(1,(WL_Exercise=A96)*(WL_e1RM=D96),WL_Reps,"",0),""))</f>
        <v/>
      </c>
      <c r="G96" s="8">
        <f>IF(OR(A96="",D96=""),"",IFERROR(XLOOKUP(1,(WL_Exercise=A96)*(WL_e1RM=D96),WL_Weight,"",0),""))</f>
        <v/>
      </c>
    </row>
    <row r="97">
      <c r="A97">
        <f>'Exercise Library'!A97</f>
        <v/>
      </c>
      <c r="B97" s="8">
        <f>IF(A97="","",IFERROR(MAXIFS(WL_Weight,WL_Exercise,A97),""))</f>
        <v/>
      </c>
      <c r="C97" s="7">
        <f>IF(OR(A97="",B97=""),"",IFERROR(XLOOKUP(1,(WL_Exercise=A97)*(WL_Weight=B97),WL_Date,"",0),""))</f>
        <v/>
      </c>
      <c r="D97" s="8">
        <f>IF(A97="","",IFERROR(MAXIFS(WL_e1RM,WL_Exercise,A97),""))</f>
        <v/>
      </c>
      <c r="E97" s="7">
        <f>IF(OR(A97="",D97=""),"",IFERROR(XLOOKUP(1,(WL_Exercise=A97)*(WL_e1RM=D97),WL_Date,"",0),""))</f>
        <v/>
      </c>
      <c r="F97">
        <f>IF(OR(A97="",D97=""),"",IFERROR(XLOOKUP(1,(WL_Exercise=A97)*(WL_e1RM=D97),WL_Reps,"",0),""))</f>
        <v/>
      </c>
      <c r="G97" s="8">
        <f>IF(OR(A97="",D97=""),"",IFERROR(XLOOKUP(1,(WL_Exercise=A97)*(WL_e1RM=D97),WL_Weight,"",0),""))</f>
        <v/>
      </c>
    </row>
    <row r="98">
      <c r="A98">
        <f>'Exercise Library'!A98</f>
        <v/>
      </c>
      <c r="B98" s="8">
        <f>IF(A98="","",IFERROR(MAXIFS(WL_Weight,WL_Exercise,A98),""))</f>
        <v/>
      </c>
      <c r="C98" s="7">
        <f>IF(OR(A98="",B98=""),"",IFERROR(XLOOKUP(1,(WL_Exercise=A98)*(WL_Weight=B98),WL_Date,"",0),""))</f>
        <v/>
      </c>
      <c r="D98" s="8">
        <f>IF(A98="","",IFERROR(MAXIFS(WL_e1RM,WL_Exercise,A98),""))</f>
        <v/>
      </c>
      <c r="E98" s="7">
        <f>IF(OR(A98="",D98=""),"",IFERROR(XLOOKUP(1,(WL_Exercise=A98)*(WL_e1RM=D98),WL_Date,"",0),""))</f>
        <v/>
      </c>
      <c r="F98">
        <f>IF(OR(A98="",D98=""),"",IFERROR(XLOOKUP(1,(WL_Exercise=A98)*(WL_e1RM=D98),WL_Reps,"",0),""))</f>
        <v/>
      </c>
      <c r="G98" s="8">
        <f>IF(OR(A98="",D98=""),"",IFERROR(XLOOKUP(1,(WL_Exercise=A98)*(WL_e1RM=D98),WL_Weight,"",0),""))</f>
        <v/>
      </c>
    </row>
    <row r="99">
      <c r="A99">
        <f>'Exercise Library'!A99</f>
        <v/>
      </c>
      <c r="B99" s="8">
        <f>IF(A99="","",IFERROR(MAXIFS(WL_Weight,WL_Exercise,A99),""))</f>
        <v/>
      </c>
      <c r="C99" s="7">
        <f>IF(OR(A99="",B99=""),"",IFERROR(XLOOKUP(1,(WL_Exercise=A99)*(WL_Weight=B99),WL_Date,"",0),""))</f>
        <v/>
      </c>
      <c r="D99" s="8">
        <f>IF(A99="","",IFERROR(MAXIFS(WL_e1RM,WL_Exercise,A99),""))</f>
        <v/>
      </c>
      <c r="E99" s="7">
        <f>IF(OR(A99="",D99=""),"",IFERROR(XLOOKUP(1,(WL_Exercise=A99)*(WL_e1RM=D99),WL_Date,"",0),""))</f>
        <v/>
      </c>
      <c r="F99">
        <f>IF(OR(A99="",D99=""),"",IFERROR(XLOOKUP(1,(WL_Exercise=A99)*(WL_e1RM=D99),WL_Reps,"",0),""))</f>
        <v/>
      </c>
      <c r="G99" s="8">
        <f>IF(OR(A99="",D99=""),"",IFERROR(XLOOKUP(1,(WL_Exercise=A99)*(WL_e1RM=D99),WL_Weight,"",0),""))</f>
        <v/>
      </c>
    </row>
    <row r="100">
      <c r="A100">
        <f>'Exercise Library'!A100</f>
        <v/>
      </c>
      <c r="B100" s="8">
        <f>IF(A100="","",IFERROR(MAXIFS(WL_Weight,WL_Exercise,A100),""))</f>
        <v/>
      </c>
      <c r="C100" s="7">
        <f>IF(OR(A100="",B100=""),"",IFERROR(XLOOKUP(1,(WL_Exercise=A100)*(WL_Weight=B100),WL_Date,"",0),""))</f>
        <v/>
      </c>
      <c r="D100" s="8">
        <f>IF(A100="","",IFERROR(MAXIFS(WL_e1RM,WL_Exercise,A100),""))</f>
        <v/>
      </c>
      <c r="E100" s="7">
        <f>IF(OR(A100="",D100=""),"",IFERROR(XLOOKUP(1,(WL_Exercise=A100)*(WL_e1RM=D100),WL_Date,"",0),""))</f>
        <v/>
      </c>
      <c r="F100">
        <f>IF(OR(A100="",D100=""),"",IFERROR(XLOOKUP(1,(WL_Exercise=A100)*(WL_e1RM=D100),WL_Reps,"",0),""))</f>
        <v/>
      </c>
      <c r="G100" s="8">
        <f>IF(OR(A100="",D100=""),"",IFERROR(XLOOKUP(1,(WL_Exercise=A100)*(WL_e1RM=D100),WL_Weight,"",0),""))</f>
        <v/>
      </c>
    </row>
    <row r="101">
      <c r="A101">
        <f>'Exercise Library'!A101</f>
        <v/>
      </c>
      <c r="B101" s="8">
        <f>IF(A101="","",IFERROR(MAXIFS(WL_Weight,WL_Exercise,A101),""))</f>
        <v/>
      </c>
      <c r="C101" s="7">
        <f>IF(OR(A101="",B101=""),"",IFERROR(XLOOKUP(1,(WL_Exercise=A101)*(WL_Weight=B101),WL_Date,"",0),""))</f>
        <v/>
      </c>
      <c r="D101" s="8">
        <f>IF(A101="","",IFERROR(MAXIFS(WL_e1RM,WL_Exercise,A101),""))</f>
        <v/>
      </c>
      <c r="E101" s="7">
        <f>IF(OR(A101="",D101=""),"",IFERROR(XLOOKUP(1,(WL_Exercise=A101)*(WL_e1RM=D101),WL_Date,"",0),""))</f>
        <v/>
      </c>
      <c r="F101">
        <f>IF(OR(A101="",D101=""),"",IFERROR(XLOOKUP(1,(WL_Exercise=A101)*(WL_e1RM=D101),WL_Reps,"",0),""))</f>
        <v/>
      </c>
      <c r="G101" s="8">
        <f>IF(OR(A101="",D101=""),"",IFERROR(XLOOKUP(1,(WL_Exercise=A101)*(WL_e1RM=D101),WL_Weight,"",0),""))</f>
        <v/>
      </c>
    </row>
    <row r="102">
      <c r="A102">
        <f>'Exercise Library'!A102</f>
        <v/>
      </c>
      <c r="B102" s="8">
        <f>IF(A102="","",IFERROR(MAXIFS(WL_Weight,WL_Exercise,A102),""))</f>
        <v/>
      </c>
      <c r="C102" s="7">
        <f>IF(OR(A102="",B102=""),"",IFERROR(XLOOKUP(1,(WL_Exercise=A102)*(WL_Weight=B102),WL_Date,"",0),""))</f>
        <v/>
      </c>
      <c r="D102" s="8">
        <f>IF(A102="","",IFERROR(MAXIFS(WL_e1RM,WL_Exercise,A102),""))</f>
        <v/>
      </c>
      <c r="E102" s="7">
        <f>IF(OR(A102="",D102=""),"",IFERROR(XLOOKUP(1,(WL_Exercise=A102)*(WL_e1RM=D102),WL_Date,"",0),""))</f>
        <v/>
      </c>
      <c r="F102">
        <f>IF(OR(A102="",D102=""),"",IFERROR(XLOOKUP(1,(WL_Exercise=A102)*(WL_e1RM=D102),WL_Reps,"",0),""))</f>
        <v/>
      </c>
      <c r="G102" s="8">
        <f>IF(OR(A102="",D102=""),"",IFERROR(XLOOKUP(1,(WL_Exercise=A102)*(WL_e1RM=D102),WL_Weight,"",0),""))</f>
        <v/>
      </c>
    </row>
    <row r="103">
      <c r="A103">
        <f>'Exercise Library'!A103</f>
        <v/>
      </c>
      <c r="B103" s="8">
        <f>IF(A103="","",IFERROR(MAXIFS(WL_Weight,WL_Exercise,A103),""))</f>
        <v/>
      </c>
      <c r="C103" s="7">
        <f>IF(OR(A103="",B103=""),"",IFERROR(XLOOKUP(1,(WL_Exercise=A103)*(WL_Weight=B103),WL_Date,"",0),""))</f>
        <v/>
      </c>
      <c r="D103" s="8">
        <f>IF(A103="","",IFERROR(MAXIFS(WL_e1RM,WL_Exercise,A103),""))</f>
        <v/>
      </c>
      <c r="E103" s="7">
        <f>IF(OR(A103="",D103=""),"",IFERROR(XLOOKUP(1,(WL_Exercise=A103)*(WL_e1RM=D103),WL_Date,"",0),""))</f>
        <v/>
      </c>
      <c r="F103">
        <f>IF(OR(A103="",D103=""),"",IFERROR(XLOOKUP(1,(WL_Exercise=A103)*(WL_e1RM=D103),WL_Reps,"",0),""))</f>
        <v/>
      </c>
      <c r="G103" s="8">
        <f>IF(OR(A103="",D103=""),"",IFERROR(XLOOKUP(1,(WL_Exercise=A103)*(WL_e1RM=D103),WL_Weight,"",0),""))</f>
        <v/>
      </c>
    </row>
    <row r="104">
      <c r="A104">
        <f>'Exercise Library'!A104</f>
        <v/>
      </c>
      <c r="B104" s="8">
        <f>IF(A104="","",IFERROR(MAXIFS(WL_Weight,WL_Exercise,A104),""))</f>
        <v/>
      </c>
      <c r="C104" s="7">
        <f>IF(OR(A104="",B104=""),"",IFERROR(XLOOKUP(1,(WL_Exercise=A104)*(WL_Weight=B104),WL_Date,"",0),""))</f>
        <v/>
      </c>
      <c r="D104" s="8">
        <f>IF(A104="","",IFERROR(MAXIFS(WL_e1RM,WL_Exercise,A104),""))</f>
        <v/>
      </c>
      <c r="E104" s="7">
        <f>IF(OR(A104="",D104=""),"",IFERROR(XLOOKUP(1,(WL_Exercise=A104)*(WL_e1RM=D104),WL_Date,"",0),""))</f>
        <v/>
      </c>
      <c r="F104">
        <f>IF(OR(A104="",D104=""),"",IFERROR(XLOOKUP(1,(WL_Exercise=A104)*(WL_e1RM=D104),WL_Reps,"",0),""))</f>
        <v/>
      </c>
      <c r="G104" s="8">
        <f>IF(OR(A104="",D104=""),"",IFERROR(XLOOKUP(1,(WL_Exercise=A104)*(WL_e1RM=D104),WL_Weight,"",0),""))</f>
        <v/>
      </c>
    </row>
    <row r="105">
      <c r="A105">
        <f>'Exercise Library'!A105</f>
        <v/>
      </c>
      <c r="B105" s="8">
        <f>IF(A105="","",IFERROR(MAXIFS(WL_Weight,WL_Exercise,A105),""))</f>
        <v/>
      </c>
      <c r="C105" s="7">
        <f>IF(OR(A105="",B105=""),"",IFERROR(XLOOKUP(1,(WL_Exercise=A105)*(WL_Weight=B105),WL_Date,"",0),""))</f>
        <v/>
      </c>
      <c r="D105" s="8">
        <f>IF(A105="","",IFERROR(MAXIFS(WL_e1RM,WL_Exercise,A105),""))</f>
        <v/>
      </c>
      <c r="E105" s="7">
        <f>IF(OR(A105="",D105=""),"",IFERROR(XLOOKUP(1,(WL_Exercise=A105)*(WL_e1RM=D105),WL_Date,"",0),""))</f>
        <v/>
      </c>
      <c r="F105">
        <f>IF(OR(A105="",D105=""),"",IFERROR(XLOOKUP(1,(WL_Exercise=A105)*(WL_e1RM=D105),WL_Reps,"",0),""))</f>
        <v/>
      </c>
      <c r="G105" s="8">
        <f>IF(OR(A105="",D105=""),"",IFERROR(XLOOKUP(1,(WL_Exercise=A105)*(WL_e1RM=D105),WL_Weight,"",0),""))</f>
        <v/>
      </c>
    </row>
    <row r="106">
      <c r="A106">
        <f>'Exercise Library'!A106</f>
        <v/>
      </c>
      <c r="B106" s="8">
        <f>IF(A106="","",IFERROR(MAXIFS(WL_Weight,WL_Exercise,A106),""))</f>
        <v/>
      </c>
      <c r="C106" s="7">
        <f>IF(OR(A106="",B106=""),"",IFERROR(XLOOKUP(1,(WL_Exercise=A106)*(WL_Weight=B106),WL_Date,"",0),""))</f>
        <v/>
      </c>
      <c r="D106" s="8">
        <f>IF(A106="","",IFERROR(MAXIFS(WL_e1RM,WL_Exercise,A106),""))</f>
        <v/>
      </c>
      <c r="E106" s="7">
        <f>IF(OR(A106="",D106=""),"",IFERROR(XLOOKUP(1,(WL_Exercise=A106)*(WL_e1RM=D106),WL_Date,"",0),""))</f>
        <v/>
      </c>
      <c r="F106">
        <f>IF(OR(A106="",D106=""),"",IFERROR(XLOOKUP(1,(WL_Exercise=A106)*(WL_e1RM=D106),WL_Reps,"",0),""))</f>
        <v/>
      </c>
      <c r="G106" s="8">
        <f>IF(OR(A106="",D106=""),"",IFERROR(XLOOKUP(1,(WL_Exercise=A106)*(WL_e1RM=D106),WL_Weight,"",0),""))</f>
        <v/>
      </c>
    </row>
    <row r="107">
      <c r="A107">
        <f>'Exercise Library'!A107</f>
        <v/>
      </c>
      <c r="B107" s="8">
        <f>IF(A107="","",IFERROR(MAXIFS(WL_Weight,WL_Exercise,A107),""))</f>
        <v/>
      </c>
      <c r="C107" s="7">
        <f>IF(OR(A107="",B107=""),"",IFERROR(XLOOKUP(1,(WL_Exercise=A107)*(WL_Weight=B107),WL_Date,"",0),""))</f>
        <v/>
      </c>
      <c r="D107" s="8">
        <f>IF(A107="","",IFERROR(MAXIFS(WL_e1RM,WL_Exercise,A107),""))</f>
        <v/>
      </c>
      <c r="E107" s="7">
        <f>IF(OR(A107="",D107=""),"",IFERROR(XLOOKUP(1,(WL_Exercise=A107)*(WL_e1RM=D107),WL_Date,"",0),""))</f>
        <v/>
      </c>
      <c r="F107">
        <f>IF(OR(A107="",D107=""),"",IFERROR(XLOOKUP(1,(WL_Exercise=A107)*(WL_e1RM=D107),WL_Reps,"",0),""))</f>
        <v/>
      </c>
      <c r="G107" s="8">
        <f>IF(OR(A107="",D107=""),"",IFERROR(XLOOKUP(1,(WL_Exercise=A107)*(WL_e1RM=D107),WL_Weight,"",0),""))</f>
        <v/>
      </c>
    </row>
    <row r="108">
      <c r="A108">
        <f>'Exercise Library'!A108</f>
        <v/>
      </c>
      <c r="B108" s="8">
        <f>IF(A108="","",IFERROR(MAXIFS(WL_Weight,WL_Exercise,A108),""))</f>
        <v/>
      </c>
      <c r="C108" s="7">
        <f>IF(OR(A108="",B108=""),"",IFERROR(XLOOKUP(1,(WL_Exercise=A108)*(WL_Weight=B108),WL_Date,"",0),""))</f>
        <v/>
      </c>
      <c r="D108" s="8">
        <f>IF(A108="","",IFERROR(MAXIFS(WL_e1RM,WL_Exercise,A108),""))</f>
        <v/>
      </c>
      <c r="E108" s="7">
        <f>IF(OR(A108="",D108=""),"",IFERROR(XLOOKUP(1,(WL_Exercise=A108)*(WL_e1RM=D108),WL_Date,"",0),""))</f>
        <v/>
      </c>
      <c r="F108">
        <f>IF(OR(A108="",D108=""),"",IFERROR(XLOOKUP(1,(WL_Exercise=A108)*(WL_e1RM=D108),WL_Reps,"",0),""))</f>
        <v/>
      </c>
      <c r="G108" s="8">
        <f>IF(OR(A108="",D108=""),"",IFERROR(XLOOKUP(1,(WL_Exercise=A108)*(WL_e1RM=D108),WL_Weight,"",0),""))</f>
        <v/>
      </c>
    </row>
    <row r="109">
      <c r="A109">
        <f>'Exercise Library'!A109</f>
        <v/>
      </c>
      <c r="B109" s="8">
        <f>IF(A109="","",IFERROR(MAXIFS(WL_Weight,WL_Exercise,A109),""))</f>
        <v/>
      </c>
      <c r="C109" s="7">
        <f>IF(OR(A109="",B109=""),"",IFERROR(XLOOKUP(1,(WL_Exercise=A109)*(WL_Weight=B109),WL_Date,"",0),""))</f>
        <v/>
      </c>
      <c r="D109" s="8">
        <f>IF(A109="","",IFERROR(MAXIFS(WL_e1RM,WL_Exercise,A109),""))</f>
        <v/>
      </c>
      <c r="E109" s="7">
        <f>IF(OR(A109="",D109=""),"",IFERROR(XLOOKUP(1,(WL_Exercise=A109)*(WL_e1RM=D109),WL_Date,"",0),""))</f>
        <v/>
      </c>
      <c r="F109">
        <f>IF(OR(A109="",D109=""),"",IFERROR(XLOOKUP(1,(WL_Exercise=A109)*(WL_e1RM=D109),WL_Reps,"",0),""))</f>
        <v/>
      </c>
      <c r="G109" s="8">
        <f>IF(OR(A109="",D109=""),"",IFERROR(XLOOKUP(1,(WL_Exercise=A109)*(WL_e1RM=D109),WL_Weight,"",0),""))</f>
        <v/>
      </c>
    </row>
    <row r="110">
      <c r="A110">
        <f>'Exercise Library'!A110</f>
        <v/>
      </c>
      <c r="B110" s="8">
        <f>IF(A110="","",IFERROR(MAXIFS(WL_Weight,WL_Exercise,A110),""))</f>
        <v/>
      </c>
      <c r="C110" s="7">
        <f>IF(OR(A110="",B110=""),"",IFERROR(XLOOKUP(1,(WL_Exercise=A110)*(WL_Weight=B110),WL_Date,"",0),""))</f>
        <v/>
      </c>
      <c r="D110" s="8">
        <f>IF(A110="","",IFERROR(MAXIFS(WL_e1RM,WL_Exercise,A110),""))</f>
        <v/>
      </c>
      <c r="E110" s="7">
        <f>IF(OR(A110="",D110=""),"",IFERROR(XLOOKUP(1,(WL_Exercise=A110)*(WL_e1RM=D110),WL_Date,"",0),""))</f>
        <v/>
      </c>
      <c r="F110">
        <f>IF(OR(A110="",D110=""),"",IFERROR(XLOOKUP(1,(WL_Exercise=A110)*(WL_e1RM=D110),WL_Reps,"",0),""))</f>
        <v/>
      </c>
      <c r="G110" s="8">
        <f>IF(OR(A110="",D110=""),"",IFERROR(XLOOKUP(1,(WL_Exercise=A110)*(WL_e1RM=D110),WL_Weight,"",0),""))</f>
        <v/>
      </c>
    </row>
    <row r="111">
      <c r="A111">
        <f>'Exercise Library'!A111</f>
        <v/>
      </c>
      <c r="B111" s="8">
        <f>IF(A111="","",IFERROR(MAXIFS(WL_Weight,WL_Exercise,A111),""))</f>
        <v/>
      </c>
      <c r="C111" s="7">
        <f>IF(OR(A111="",B111=""),"",IFERROR(XLOOKUP(1,(WL_Exercise=A111)*(WL_Weight=B111),WL_Date,"",0),""))</f>
        <v/>
      </c>
      <c r="D111" s="8">
        <f>IF(A111="","",IFERROR(MAXIFS(WL_e1RM,WL_Exercise,A111),""))</f>
        <v/>
      </c>
      <c r="E111" s="7">
        <f>IF(OR(A111="",D111=""),"",IFERROR(XLOOKUP(1,(WL_Exercise=A111)*(WL_e1RM=D111),WL_Date,"",0),""))</f>
        <v/>
      </c>
      <c r="F111">
        <f>IF(OR(A111="",D111=""),"",IFERROR(XLOOKUP(1,(WL_Exercise=A111)*(WL_e1RM=D111),WL_Reps,"",0),""))</f>
        <v/>
      </c>
      <c r="G111" s="8">
        <f>IF(OR(A111="",D111=""),"",IFERROR(XLOOKUP(1,(WL_Exercise=A111)*(WL_e1RM=D111),WL_Weight,"",0),""))</f>
        <v/>
      </c>
    </row>
    <row r="112">
      <c r="A112">
        <f>'Exercise Library'!A112</f>
        <v/>
      </c>
      <c r="B112" s="8">
        <f>IF(A112="","",IFERROR(MAXIFS(WL_Weight,WL_Exercise,A112),""))</f>
        <v/>
      </c>
      <c r="C112" s="7">
        <f>IF(OR(A112="",B112=""),"",IFERROR(XLOOKUP(1,(WL_Exercise=A112)*(WL_Weight=B112),WL_Date,"",0),""))</f>
        <v/>
      </c>
      <c r="D112" s="8">
        <f>IF(A112="","",IFERROR(MAXIFS(WL_e1RM,WL_Exercise,A112),""))</f>
        <v/>
      </c>
      <c r="E112" s="7">
        <f>IF(OR(A112="",D112=""),"",IFERROR(XLOOKUP(1,(WL_Exercise=A112)*(WL_e1RM=D112),WL_Date,"",0),""))</f>
        <v/>
      </c>
      <c r="F112">
        <f>IF(OR(A112="",D112=""),"",IFERROR(XLOOKUP(1,(WL_Exercise=A112)*(WL_e1RM=D112),WL_Reps,"",0),""))</f>
        <v/>
      </c>
      <c r="G112" s="8">
        <f>IF(OR(A112="",D112=""),"",IFERROR(XLOOKUP(1,(WL_Exercise=A112)*(WL_e1RM=D112),WL_Weight,"",0),""))</f>
        <v/>
      </c>
    </row>
    <row r="113">
      <c r="A113">
        <f>'Exercise Library'!A113</f>
        <v/>
      </c>
      <c r="B113" s="8">
        <f>IF(A113="","",IFERROR(MAXIFS(WL_Weight,WL_Exercise,A113),""))</f>
        <v/>
      </c>
      <c r="C113" s="7">
        <f>IF(OR(A113="",B113=""),"",IFERROR(XLOOKUP(1,(WL_Exercise=A113)*(WL_Weight=B113),WL_Date,"",0),""))</f>
        <v/>
      </c>
      <c r="D113" s="8">
        <f>IF(A113="","",IFERROR(MAXIFS(WL_e1RM,WL_Exercise,A113),""))</f>
        <v/>
      </c>
      <c r="E113" s="7">
        <f>IF(OR(A113="",D113=""),"",IFERROR(XLOOKUP(1,(WL_Exercise=A113)*(WL_e1RM=D113),WL_Date,"",0),""))</f>
        <v/>
      </c>
      <c r="F113">
        <f>IF(OR(A113="",D113=""),"",IFERROR(XLOOKUP(1,(WL_Exercise=A113)*(WL_e1RM=D113),WL_Reps,"",0),""))</f>
        <v/>
      </c>
      <c r="G113" s="8">
        <f>IF(OR(A113="",D113=""),"",IFERROR(XLOOKUP(1,(WL_Exercise=A113)*(WL_e1RM=D113),WL_Weight,"",0),""))</f>
        <v/>
      </c>
    </row>
    <row r="114">
      <c r="A114">
        <f>'Exercise Library'!A114</f>
        <v/>
      </c>
      <c r="B114" s="8">
        <f>IF(A114="","",IFERROR(MAXIFS(WL_Weight,WL_Exercise,A114),""))</f>
        <v/>
      </c>
      <c r="C114" s="7">
        <f>IF(OR(A114="",B114=""),"",IFERROR(XLOOKUP(1,(WL_Exercise=A114)*(WL_Weight=B114),WL_Date,"",0),""))</f>
        <v/>
      </c>
      <c r="D114" s="8">
        <f>IF(A114="","",IFERROR(MAXIFS(WL_e1RM,WL_Exercise,A114),""))</f>
        <v/>
      </c>
      <c r="E114" s="7">
        <f>IF(OR(A114="",D114=""),"",IFERROR(XLOOKUP(1,(WL_Exercise=A114)*(WL_e1RM=D114),WL_Date,"",0),""))</f>
        <v/>
      </c>
      <c r="F114">
        <f>IF(OR(A114="",D114=""),"",IFERROR(XLOOKUP(1,(WL_Exercise=A114)*(WL_e1RM=D114),WL_Reps,"",0),""))</f>
        <v/>
      </c>
      <c r="G114" s="8">
        <f>IF(OR(A114="",D114=""),"",IFERROR(XLOOKUP(1,(WL_Exercise=A114)*(WL_e1RM=D114),WL_Weight,"",0),""))</f>
        <v/>
      </c>
    </row>
    <row r="115">
      <c r="A115">
        <f>'Exercise Library'!A115</f>
        <v/>
      </c>
      <c r="B115" s="8">
        <f>IF(A115="","",IFERROR(MAXIFS(WL_Weight,WL_Exercise,A115),""))</f>
        <v/>
      </c>
      <c r="C115" s="7">
        <f>IF(OR(A115="",B115=""),"",IFERROR(XLOOKUP(1,(WL_Exercise=A115)*(WL_Weight=B115),WL_Date,"",0),""))</f>
        <v/>
      </c>
      <c r="D115" s="8">
        <f>IF(A115="","",IFERROR(MAXIFS(WL_e1RM,WL_Exercise,A115),""))</f>
        <v/>
      </c>
      <c r="E115" s="7">
        <f>IF(OR(A115="",D115=""),"",IFERROR(XLOOKUP(1,(WL_Exercise=A115)*(WL_e1RM=D115),WL_Date,"",0),""))</f>
        <v/>
      </c>
      <c r="F115">
        <f>IF(OR(A115="",D115=""),"",IFERROR(XLOOKUP(1,(WL_Exercise=A115)*(WL_e1RM=D115),WL_Reps,"",0),""))</f>
        <v/>
      </c>
      <c r="G115" s="8">
        <f>IF(OR(A115="",D115=""),"",IFERROR(XLOOKUP(1,(WL_Exercise=A115)*(WL_e1RM=D115),WL_Weight,"",0),""))</f>
        <v/>
      </c>
    </row>
    <row r="116">
      <c r="A116">
        <f>'Exercise Library'!A116</f>
        <v/>
      </c>
      <c r="B116" s="8">
        <f>IF(A116="","",IFERROR(MAXIFS(WL_Weight,WL_Exercise,A116),""))</f>
        <v/>
      </c>
      <c r="C116" s="7">
        <f>IF(OR(A116="",B116=""),"",IFERROR(XLOOKUP(1,(WL_Exercise=A116)*(WL_Weight=B116),WL_Date,"",0),""))</f>
        <v/>
      </c>
      <c r="D116" s="8">
        <f>IF(A116="","",IFERROR(MAXIFS(WL_e1RM,WL_Exercise,A116),""))</f>
        <v/>
      </c>
      <c r="E116" s="7">
        <f>IF(OR(A116="",D116=""),"",IFERROR(XLOOKUP(1,(WL_Exercise=A116)*(WL_e1RM=D116),WL_Date,"",0),""))</f>
        <v/>
      </c>
      <c r="F116">
        <f>IF(OR(A116="",D116=""),"",IFERROR(XLOOKUP(1,(WL_Exercise=A116)*(WL_e1RM=D116),WL_Reps,"",0),""))</f>
        <v/>
      </c>
      <c r="G116" s="8">
        <f>IF(OR(A116="",D116=""),"",IFERROR(XLOOKUP(1,(WL_Exercise=A116)*(WL_e1RM=D116),WL_Weight,"",0),""))</f>
        <v/>
      </c>
    </row>
    <row r="117">
      <c r="A117">
        <f>'Exercise Library'!A117</f>
        <v/>
      </c>
      <c r="B117" s="8">
        <f>IF(A117="","",IFERROR(MAXIFS(WL_Weight,WL_Exercise,A117),""))</f>
        <v/>
      </c>
      <c r="C117" s="7">
        <f>IF(OR(A117="",B117=""),"",IFERROR(XLOOKUP(1,(WL_Exercise=A117)*(WL_Weight=B117),WL_Date,"",0),""))</f>
        <v/>
      </c>
      <c r="D117" s="8">
        <f>IF(A117="","",IFERROR(MAXIFS(WL_e1RM,WL_Exercise,A117),""))</f>
        <v/>
      </c>
      <c r="E117" s="7">
        <f>IF(OR(A117="",D117=""),"",IFERROR(XLOOKUP(1,(WL_Exercise=A117)*(WL_e1RM=D117),WL_Date,"",0),""))</f>
        <v/>
      </c>
      <c r="F117">
        <f>IF(OR(A117="",D117=""),"",IFERROR(XLOOKUP(1,(WL_Exercise=A117)*(WL_e1RM=D117),WL_Reps,"",0),""))</f>
        <v/>
      </c>
      <c r="G117" s="8">
        <f>IF(OR(A117="",D117=""),"",IFERROR(XLOOKUP(1,(WL_Exercise=A117)*(WL_e1RM=D117),WL_Weight,"",0),""))</f>
        <v/>
      </c>
    </row>
    <row r="118">
      <c r="A118">
        <f>'Exercise Library'!A118</f>
        <v/>
      </c>
      <c r="B118" s="8">
        <f>IF(A118="","",IFERROR(MAXIFS(WL_Weight,WL_Exercise,A118),""))</f>
        <v/>
      </c>
      <c r="C118" s="7">
        <f>IF(OR(A118="",B118=""),"",IFERROR(XLOOKUP(1,(WL_Exercise=A118)*(WL_Weight=B118),WL_Date,"",0),""))</f>
        <v/>
      </c>
      <c r="D118" s="8">
        <f>IF(A118="","",IFERROR(MAXIFS(WL_e1RM,WL_Exercise,A118),""))</f>
        <v/>
      </c>
      <c r="E118" s="7">
        <f>IF(OR(A118="",D118=""),"",IFERROR(XLOOKUP(1,(WL_Exercise=A118)*(WL_e1RM=D118),WL_Date,"",0),""))</f>
        <v/>
      </c>
      <c r="F118">
        <f>IF(OR(A118="",D118=""),"",IFERROR(XLOOKUP(1,(WL_Exercise=A118)*(WL_e1RM=D118),WL_Reps,"",0),""))</f>
        <v/>
      </c>
      <c r="G118" s="8">
        <f>IF(OR(A118="",D118=""),"",IFERROR(XLOOKUP(1,(WL_Exercise=A118)*(WL_e1RM=D118),WL_Weight,"",0),""))</f>
        <v/>
      </c>
    </row>
    <row r="119">
      <c r="A119">
        <f>'Exercise Library'!A119</f>
        <v/>
      </c>
      <c r="B119" s="8">
        <f>IF(A119="","",IFERROR(MAXIFS(WL_Weight,WL_Exercise,A119),""))</f>
        <v/>
      </c>
      <c r="C119" s="7">
        <f>IF(OR(A119="",B119=""),"",IFERROR(XLOOKUP(1,(WL_Exercise=A119)*(WL_Weight=B119),WL_Date,"",0),""))</f>
        <v/>
      </c>
      <c r="D119" s="8">
        <f>IF(A119="","",IFERROR(MAXIFS(WL_e1RM,WL_Exercise,A119),""))</f>
        <v/>
      </c>
      <c r="E119" s="7">
        <f>IF(OR(A119="",D119=""),"",IFERROR(XLOOKUP(1,(WL_Exercise=A119)*(WL_e1RM=D119),WL_Date,"",0),""))</f>
        <v/>
      </c>
      <c r="F119">
        <f>IF(OR(A119="",D119=""),"",IFERROR(XLOOKUP(1,(WL_Exercise=A119)*(WL_e1RM=D119),WL_Reps,"",0),""))</f>
        <v/>
      </c>
      <c r="G119" s="8">
        <f>IF(OR(A119="",D119=""),"",IFERROR(XLOOKUP(1,(WL_Exercise=A119)*(WL_e1RM=D119),WL_Weight,"",0),""))</f>
        <v/>
      </c>
    </row>
    <row r="120">
      <c r="A120">
        <f>'Exercise Library'!A120</f>
        <v/>
      </c>
      <c r="B120" s="8">
        <f>IF(A120="","",IFERROR(MAXIFS(WL_Weight,WL_Exercise,A120),""))</f>
        <v/>
      </c>
      <c r="C120" s="7">
        <f>IF(OR(A120="",B120=""),"",IFERROR(XLOOKUP(1,(WL_Exercise=A120)*(WL_Weight=B120),WL_Date,"",0),""))</f>
        <v/>
      </c>
      <c r="D120" s="8">
        <f>IF(A120="","",IFERROR(MAXIFS(WL_e1RM,WL_Exercise,A120),""))</f>
        <v/>
      </c>
      <c r="E120" s="7">
        <f>IF(OR(A120="",D120=""),"",IFERROR(XLOOKUP(1,(WL_Exercise=A120)*(WL_e1RM=D120),WL_Date,"",0),""))</f>
        <v/>
      </c>
      <c r="F120">
        <f>IF(OR(A120="",D120=""),"",IFERROR(XLOOKUP(1,(WL_Exercise=A120)*(WL_e1RM=D120),WL_Reps,"",0),""))</f>
        <v/>
      </c>
      <c r="G120" s="8">
        <f>IF(OR(A120="",D120=""),"",IFERROR(XLOOKUP(1,(WL_Exercise=A120)*(WL_e1RM=D120),WL_Weight,"",0),""))</f>
        <v/>
      </c>
    </row>
    <row r="121">
      <c r="A121">
        <f>'Exercise Library'!A121</f>
        <v/>
      </c>
      <c r="B121" s="8">
        <f>IF(A121="","",IFERROR(MAXIFS(WL_Weight,WL_Exercise,A121),""))</f>
        <v/>
      </c>
      <c r="C121" s="7">
        <f>IF(OR(A121="",B121=""),"",IFERROR(XLOOKUP(1,(WL_Exercise=A121)*(WL_Weight=B121),WL_Date,"",0),""))</f>
        <v/>
      </c>
      <c r="D121" s="8">
        <f>IF(A121="","",IFERROR(MAXIFS(WL_e1RM,WL_Exercise,A121),""))</f>
        <v/>
      </c>
      <c r="E121" s="7">
        <f>IF(OR(A121="",D121=""),"",IFERROR(XLOOKUP(1,(WL_Exercise=A121)*(WL_e1RM=D121),WL_Date,"",0),""))</f>
        <v/>
      </c>
      <c r="F121">
        <f>IF(OR(A121="",D121=""),"",IFERROR(XLOOKUP(1,(WL_Exercise=A121)*(WL_e1RM=D121),WL_Reps,"",0),""))</f>
        <v/>
      </c>
      <c r="G121" s="8">
        <f>IF(OR(A121="",D121=""),"",IFERROR(XLOOKUP(1,(WL_Exercise=A121)*(WL_e1RM=D121),WL_Weight,"",0),""))</f>
        <v/>
      </c>
    </row>
    <row r="122">
      <c r="A122">
        <f>'Exercise Library'!A122</f>
        <v/>
      </c>
      <c r="B122" s="8">
        <f>IF(A122="","",IFERROR(MAXIFS(WL_Weight,WL_Exercise,A122),""))</f>
        <v/>
      </c>
      <c r="C122" s="7">
        <f>IF(OR(A122="",B122=""),"",IFERROR(XLOOKUP(1,(WL_Exercise=A122)*(WL_Weight=B122),WL_Date,"",0),""))</f>
        <v/>
      </c>
      <c r="D122" s="8">
        <f>IF(A122="","",IFERROR(MAXIFS(WL_e1RM,WL_Exercise,A122),""))</f>
        <v/>
      </c>
      <c r="E122" s="7">
        <f>IF(OR(A122="",D122=""),"",IFERROR(XLOOKUP(1,(WL_Exercise=A122)*(WL_e1RM=D122),WL_Date,"",0),""))</f>
        <v/>
      </c>
      <c r="F122">
        <f>IF(OR(A122="",D122=""),"",IFERROR(XLOOKUP(1,(WL_Exercise=A122)*(WL_e1RM=D122),WL_Reps,"",0),""))</f>
        <v/>
      </c>
      <c r="G122" s="8">
        <f>IF(OR(A122="",D122=""),"",IFERROR(XLOOKUP(1,(WL_Exercise=A122)*(WL_e1RM=D122),WL_Weight,"",0),""))</f>
        <v/>
      </c>
    </row>
    <row r="123">
      <c r="A123">
        <f>'Exercise Library'!A123</f>
        <v/>
      </c>
      <c r="B123" s="8">
        <f>IF(A123="","",IFERROR(MAXIFS(WL_Weight,WL_Exercise,A123),""))</f>
        <v/>
      </c>
      <c r="C123" s="7">
        <f>IF(OR(A123="",B123=""),"",IFERROR(XLOOKUP(1,(WL_Exercise=A123)*(WL_Weight=B123),WL_Date,"",0),""))</f>
        <v/>
      </c>
      <c r="D123" s="8">
        <f>IF(A123="","",IFERROR(MAXIFS(WL_e1RM,WL_Exercise,A123),""))</f>
        <v/>
      </c>
      <c r="E123" s="7">
        <f>IF(OR(A123="",D123=""),"",IFERROR(XLOOKUP(1,(WL_Exercise=A123)*(WL_e1RM=D123),WL_Date,"",0),""))</f>
        <v/>
      </c>
      <c r="F123">
        <f>IF(OR(A123="",D123=""),"",IFERROR(XLOOKUP(1,(WL_Exercise=A123)*(WL_e1RM=D123),WL_Reps,"",0),""))</f>
        <v/>
      </c>
      <c r="G123" s="8">
        <f>IF(OR(A123="",D123=""),"",IFERROR(XLOOKUP(1,(WL_Exercise=A123)*(WL_e1RM=D123),WL_Weight,"",0),""))</f>
        <v/>
      </c>
    </row>
    <row r="124">
      <c r="A124">
        <f>'Exercise Library'!A124</f>
        <v/>
      </c>
      <c r="B124" s="8">
        <f>IF(A124="","",IFERROR(MAXIFS(WL_Weight,WL_Exercise,A124),""))</f>
        <v/>
      </c>
      <c r="C124" s="7">
        <f>IF(OR(A124="",B124=""),"",IFERROR(XLOOKUP(1,(WL_Exercise=A124)*(WL_Weight=B124),WL_Date,"",0),""))</f>
        <v/>
      </c>
      <c r="D124" s="8">
        <f>IF(A124="","",IFERROR(MAXIFS(WL_e1RM,WL_Exercise,A124),""))</f>
        <v/>
      </c>
      <c r="E124" s="7">
        <f>IF(OR(A124="",D124=""),"",IFERROR(XLOOKUP(1,(WL_Exercise=A124)*(WL_e1RM=D124),WL_Date,"",0),""))</f>
        <v/>
      </c>
      <c r="F124">
        <f>IF(OR(A124="",D124=""),"",IFERROR(XLOOKUP(1,(WL_Exercise=A124)*(WL_e1RM=D124),WL_Reps,"",0),""))</f>
        <v/>
      </c>
      <c r="G124" s="8">
        <f>IF(OR(A124="",D124=""),"",IFERROR(XLOOKUP(1,(WL_Exercise=A124)*(WL_e1RM=D124),WL_Weight,"",0),""))</f>
        <v/>
      </c>
    </row>
    <row r="125">
      <c r="A125">
        <f>'Exercise Library'!A125</f>
        <v/>
      </c>
      <c r="B125" s="8">
        <f>IF(A125="","",IFERROR(MAXIFS(WL_Weight,WL_Exercise,A125),""))</f>
        <v/>
      </c>
      <c r="C125" s="7">
        <f>IF(OR(A125="",B125=""),"",IFERROR(XLOOKUP(1,(WL_Exercise=A125)*(WL_Weight=B125),WL_Date,"",0),""))</f>
        <v/>
      </c>
      <c r="D125" s="8">
        <f>IF(A125="","",IFERROR(MAXIFS(WL_e1RM,WL_Exercise,A125),""))</f>
        <v/>
      </c>
      <c r="E125" s="7">
        <f>IF(OR(A125="",D125=""),"",IFERROR(XLOOKUP(1,(WL_Exercise=A125)*(WL_e1RM=D125),WL_Date,"",0),""))</f>
        <v/>
      </c>
      <c r="F125">
        <f>IF(OR(A125="",D125=""),"",IFERROR(XLOOKUP(1,(WL_Exercise=A125)*(WL_e1RM=D125),WL_Reps,"",0),""))</f>
        <v/>
      </c>
      <c r="G125" s="8">
        <f>IF(OR(A125="",D125=""),"",IFERROR(XLOOKUP(1,(WL_Exercise=A125)*(WL_e1RM=D125),WL_Weight,"",0),""))</f>
        <v/>
      </c>
    </row>
    <row r="126">
      <c r="A126">
        <f>'Exercise Library'!A126</f>
        <v/>
      </c>
      <c r="B126" s="8">
        <f>IF(A126="","",IFERROR(MAXIFS(WL_Weight,WL_Exercise,A126),""))</f>
        <v/>
      </c>
      <c r="C126" s="7">
        <f>IF(OR(A126="",B126=""),"",IFERROR(XLOOKUP(1,(WL_Exercise=A126)*(WL_Weight=B126),WL_Date,"",0),""))</f>
        <v/>
      </c>
      <c r="D126" s="8">
        <f>IF(A126="","",IFERROR(MAXIFS(WL_e1RM,WL_Exercise,A126),""))</f>
        <v/>
      </c>
      <c r="E126" s="7">
        <f>IF(OR(A126="",D126=""),"",IFERROR(XLOOKUP(1,(WL_Exercise=A126)*(WL_e1RM=D126),WL_Date,"",0),""))</f>
        <v/>
      </c>
      <c r="F126">
        <f>IF(OR(A126="",D126=""),"",IFERROR(XLOOKUP(1,(WL_Exercise=A126)*(WL_e1RM=D126),WL_Reps,"",0),""))</f>
        <v/>
      </c>
      <c r="G126" s="8">
        <f>IF(OR(A126="",D126=""),"",IFERROR(XLOOKUP(1,(WL_Exercise=A126)*(WL_e1RM=D126),WL_Weight,"",0),""))</f>
        <v/>
      </c>
    </row>
    <row r="127">
      <c r="A127">
        <f>'Exercise Library'!A127</f>
        <v/>
      </c>
      <c r="B127" s="8">
        <f>IF(A127="","",IFERROR(MAXIFS(WL_Weight,WL_Exercise,A127),""))</f>
        <v/>
      </c>
      <c r="C127" s="7">
        <f>IF(OR(A127="",B127=""),"",IFERROR(XLOOKUP(1,(WL_Exercise=A127)*(WL_Weight=B127),WL_Date,"",0),""))</f>
        <v/>
      </c>
      <c r="D127" s="8">
        <f>IF(A127="","",IFERROR(MAXIFS(WL_e1RM,WL_Exercise,A127),""))</f>
        <v/>
      </c>
      <c r="E127" s="7">
        <f>IF(OR(A127="",D127=""),"",IFERROR(XLOOKUP(1,(WL_Exercise=A127)*(WL_e1RM=D127),WL_Date,"",0),""))</f>
        <v/>
      </c>
      <c r="F127">
        <f>IF(OR(A127="",D127=""),"",IFERROR(XLOOKUP(1,(WL_Exercise=A127)*(WL_e1RM=D127),WL_Reps,"",0),""))</f>
        <v/>
      </c>
      <c r="G127" s="8">
        <f>IF(OR(A127="",D127=""),"",IFERROR(XLOOKUP(1,(WL_Exercise=A127)*(WL_e1RM=D127),WL_Weight,"",0),""))</f>
        <v/>
      </c>
    </row>
    <row r="128">
      <c r="A128">
        <f>'Exercise Library'!A128</f>
        <v/>
      </c>
      <c r="B128" s="8">
        <f>IF(A128="","",IFERROR(MAXIFS(WL_Weight,WL_Exercise,A128),""))</f>
        <v/>
      </c>
      <c r="C128" s="7">
        <f>IF(OR(A128="",B128=""),"",IFERROR(XLOOKUP(1,(WL_Exercise=A128)*(WL_Weight=B128),WL_Date,"",0),""))</f>
        <v/>
      </c>
      <c r="D128" s="8">
        <f>IF(A128="","",IFERROR(MAXIFS(WL_e1RM,WL_Exercise,A128),""))</f>
        <v/>
      </c>
      <c r="E128" s="7">
        <f>IF(OR(A128="",D128=""),"",IFERROR(XLOOKUP(1,(WL_Exercise=A128)*(WL_e1RM=D128),WL_Date,"",0),""))</f>
        <v/>
      </c>
      <c r="F128">
        <f>IF(OR(A128="",D128=""),"",IFERROR(XLOOKUP(1,(WL_Exercise=A128)*(WL_e1RM=D128),WL_Reps,"",0),""))</f>
        <v/>
      </c>
      <c r="G128" s="8">
        <f>IF(OR(A128="",D128=""),"",IFERROR(XLOOKUP(1,(WL_Exercise=A128)*(WL_e1RM=D128),WL_Weight,"",0),""))</f>
        <v/>
      </c>
    </row>
    <row r="129">
      <c r="A129">
        <f>'Exercise Library'!A129</f>
        <v/>
      </c>
      <c r="B129" s="8">
        <f>IF(A129="","",IFERROR(MAXIFS(WL_Weight,WL_Exercise,A129),""))</f>
        <v/>
      </c>
      <c r="C129" s="7">
        <f>IF(OR(A129="",B129=""),"",IFERROR(XLOOKUP(1,(WL_Exercise=A129)*(WL_Weight=B129),WL_Date,"",0),""))</f>
        <v/>
      </c>
      <c r="D129" s="8">
        <f>IF(A129="","",IFERROR(MAXIFS(WL_e1RM,WL_Exercise,A129),""))</f>
        <v/>
      </c>
      <c r="E129" s="7">
        <f>IF(OR(A129="",D129=""),"",IFERROR(XLOOKUP(1,(WL_Exercise=A129)*(WL_e1RM=D129),WL_Date,"",0),""))</f>
        <v/>
      </c>
      <c r="F129">
        <f>IF(OR(A129="",D129=""),"",IFERROR(XLOOKUP(1,(WL_Exercise=A129)*(WL_e1RM=D129),WL_Reps,"",0),""))</f>
        <v/>
      </c>
      <c r="G129" s="8">
        <f>IF(OR(A129="",D129=""),"",IFERROR(XLOOKUP(1,(WL_Exercise=A129)*(WL_e1RM=D129),WL_Weight,"",0),""))</f>
        <v/>
      </c>
    </row>
    <row r="130">
      <c r="A130">
        <f>'Exercise Library'!A130</f>
        <v/>
      </c>
      <c r="B130" s="8">
        <f>IF(A130="","",IFERROR(MAXIFS(WL_Weight,WL_Exercise,A130),""))</f>
        <v/>
      </c>
      <c r="C130" s="7">
        <f>IF(OR(A130="",B130=""),"",IFERROR(XLOOKUP(1,(WL_Exercise=A130)*(WL_Weight=B130),WL_Date,"",0),""))</f>
        <v/>
      </c>
      <c r="D130" s="8">
        <f>IF(A130="","",IFERROR(MAXIFS(WL_e1RM,WL_Exercise,A130),""))</f>
        <v/>
      </c>
      <c r="E130" s="7">
        <f>IF(OR(A130="",D130=""),"",IFERROR(XLOOKUP(1,(WL_Exercise=A130)*(WL_e1RM=D130),WL_Date,"",0),""))</f>
        <v/>
      </c>
      <c r="F130">
        <f>IF(OR(A130="",D130=""),"",IFERROR(XLOOKUP(1,(WL_Exercise=A130)*(WL_e1RM=D130),WL_Reps,"",0),""))</f>
        <v/>
      </c>
      <c r="G130" s="8">
        <f>IF(OR(A130="",D130=""),"",IFERROR(XLOOKUP(1,(WL_Exercise=A130)*(WL_e1RM=D130),WL_Weight,"",0),""))</f>
        <v/>
      </c>
    </row>
    <row r="131">
      <c r="A131">
        <f>'Exercise Library'!A131</f>
        <v/>
      </c>
      <c r="B131" s="8">
        <f>IF(A131="","",IFERROR(MAXIFS(WL_Weight,WL_Exercise,A131),""))</f>
        <v/>
      </c>
      <c r="C131" s="7">
        <f>IF(OR(A131="",B131=""),"",IFERROR(XLOOKUP(1,(WL_Exercise=A131)*(WL_Weight=B131),WL_Date,"",0),""))</f>
        <v/>
      </c>
      <c r="D131" s="8">
        <f>IF(A131="","",IFERROR(MAXIFS(WL_e1RM,WL_Exercise,A131),""))</f>
        <v/>
      </c>
      <c r="E131" s="7">
        <f>IF(OR(A131="",D131=""),"",IFERROR(XLOOKUP(1,(WL_Exercise=A131)*(WL_e1RM=D131),WL_Date,"",0),""))</f>
        <v/>
      </c>
      <c r="F131">
        <f>IF(OR(A131="",D131=""),"",IFERROR(XLOOKUP(1,(WL_Exercise=A131)*(WL_e1RM=D131),WL_Reps,"",0),""))</f>
        <v/>
      </c>
      <c r="G131" s="8">
        <f>IF(OR(A131="",D131=""),"",IFERROR(XLOOKUP(1,(WL_Exercise=A131)*(WL_e1RM=D131),WL_Weight,"",0),""))</f>
        <v/>
      </c>
    </row>
    <row r="132">
      <c r="A132">
        <f>'Exercise Library'!A132</f>
        <v/>
      </c>
      <c r="B132" s="8">
        <f>IF(A132="","",IFERROR(MAXIFS(WL_Weight,WL_Exercise,A132),""))</f>
        <v/>
      </c>
      <c r="C132" s="7">
        <f>IF(OR(A132="",B132=""),"",IFERROR(XLOOKUP(1,(WL_Exercise=A132)*(WL_Weight=B132),WL_Date,"",0),""))</f>
        <v/>
      </c>
      <c r="D132" s="8">
        <f>IF(A132="","",IFERROR(MAXIFS(WL_e1RM,WL_Exercise,A132),""))</f>
        <v/>
      </c>
      <c r="E132" s="7">
        <f>IF(OR(A132="",D132=""),"",IFERROR(XLOOKUP(1,(WL_Exercise=A132)*(WL_e1RM=D132),WL_Date,"",0),""))</f>
        <v/>
      </c>
      <c r="F132">
        <f>IF(OR(A132="",D132=""),"",IFERROR(XLOOKUP(1,(WL_Exercise=A132)*(WL_e1RM=D132),WL_Reps,"",0),""))</f>
        <v/>
      </c>
      <c r="G132" s="8">
        <f>IF(OR(A132="",D132=""),"",IFERROR(XLOOKUP(1,(WL_Exercise=A132)*(WL_e1RM=D132),WL_Weight,"",0),""))</f>
        <v/>
      </c>
    </row>
    <row r="133">
      <c r="A133">
        <f>'Exercise Library'!A133</f>
        <v/>
      </c>
      <c r="B133" s="8">
        <f>IF(A133="","",IFERROR(MAXIFS(WL_Weight,WL_Exercise,A133),""))</f>
        <v/>
      </c>
      <c r="C133" s="7">
        <f>IF(OR(A133="",B133=""),"",IFERROR(XLOOKUP(1,(WL_Exercise=A133)*(WL_Weight=B133),WL_Date,"",0),""))</f>
        <v/>
      </c>
      <c r="D133" s="8">
        <f>IF(A133="","",IFERROR(MAXIFS(WL_e1RM,WL_Exercise,A133),""))</f>
        <v/>
      </c>
      <c r="E133" s="7">
        <f>IF(OR(A133="",D133=""),"",IFERROR(XLOOKUP(1,(WL_Exercise=A133)*(WL_e1RM=D133),WL_Date,"",0),""))</f>
        <v/>
      </c>
      <c r="F133">
        <f>IF(OR(A133="",D133=""),"",IFERROR(XLOOKUP(1,(WL_Exercise=A133)*(WL_e1RM=D133),WL_Reps,"",0),""))</f>
        <v/>
      </c>
      <c r="G133" s="8">
        <f>IF(OR(A133="",D133=""),"",IFERROR(XLOOKUP(1,(WL_Exercise=A133)*(WL_e1RM=D133),WL_Weight,"",0),""))</f>
        <v/>
      </c>
    </row>
    <row r="134">
      <c r="A134">
        <f>'Exercise Library'!A134</f>
        <v/>
      </c>
      <c r="B134" s="8">
        <f>IF(A134="","",IFERROR(MAXIFS(WL_Weight,WL_Exercise,A134),""))</f>
        <v/>
      </c>
      <c r="C134" s="7">
        <f>IF(OR(A134="",B134=""),"",IFERROR(XLOOKUP(1,(WL_Exercise=A134)*(WL_Weight=B134),WL_Date,"",0),""))</f>
        <v/>
      </c>
      <c r="D134" s="8">
        <f>IF(A134="","",IFERROR(MAXIFS(WL_e1RM,WL_Exercise,A134),""))</f>
        <v/>
      </c>
      <c r="E134" s="7">
        <f>IF(OR(A134="",D134=""),"",IFERROR(XLOOKUP(1,(WL_Exercise=A134)*(WL_e1RM=D134),WL_Date,"",0),""))</f>
        <v/>
      </c>
      <c r="F134">
        <f>IF(OR(A134="",D134=""),"",IFERROR(XLOOKUP(1,(WL_Exercise=A134)*(WL_e1RM=D134),WL_Reps,"",0),""))</f>
        <v/>
      </c>
      <c r="G134" s="8">
        <f>IF(OR(A134="",D134=""),"",IFERROR(XLOOKUP(1,(WL_Exercise=A134)*(WL_e1RM=D134),WL_Weight,"",0),""))</f>
        <v/>
      </c>
    </row>
    <row r="135">
      <c r="A135">
        <f>'Exercise Library'!A135</f>
        <v/>
      </c>
      <c r="B135" s="8">
        <f>IF(A135="","",IFERROR(MAXIFS(WL_Weight,WL_Exercise,A135),""))</f>
        <v/>
      </c>
      <c r="C135" s="7">
        <f>IF(OR(A135="",B135=""),"",IFERROR(XLOOKUP(1,(WL_Exercise=A135)*(WL_Weight=B135),WL_Date,"",0),""))</f>
        <v/>
      </c>
      <c r="D135" s="8">
        <f>IF(A135="","",IFERROR(MAXIFS(WL_e1RM,WL_Exercise,A135),""))</f>
        <v/>
      </c>
      <c r="E135" s="7">
        <f>IF(OR(A135="",D135=""),"",IFERROR(XLOOKUP(1,(WL_Exercise=A135)*(WL_e1RM=D135),WL_Date,"",0),""))</f>
        <v/>
      </c>
      <c r="F135">
        <f>IF(OR(A135="",D135=""),"",IFERROR(XLOOKUP(1,(WL_Exercise=A135)*(WL_e1RM=D135),WL_Reps,"",0),""))</f>
        <v/>
      </c>
      <c r="G135" s="8">
        <f>IF(OR(A135="",D135=""),"",IFERROR(XLOOKUP(1,(WL_Exercise=A135)*(WL_e1RM=D135),WL_Weight,"",0),""))</f>
        <v/>
      </c>
    </row>
    <row r="136">
      <c r="A136">
        <f>'Exercise Library'!A136</f>
        <v/>
      </c>
      <c r="B136" s="8">
        <f>IF(A136="","",IFERROR(MAXIFS(WL_Weight,WL_Exercise,A136),""))</f>
        <v/>
      </c>
      <c r="C136" s="7">
        <f>IF(OR(A136="",B136=""),"",IFERROR(XLOOKUP(1,(WL_Exercise=A136)*(WL_Weight=B136),WL_Date,"",0),""))</f>
        <v/>
      </c>
      <c r="D136" s="8">
        <f>IF(A136="","",IFERROR(MAXIFS(WL_e1RM,WL_Exercise,A136),""))</f>
        <v/>
      </c>
      <c r="E136" s="7">
        <f>IF(OR(A136="",D136=""),"",IFERROR(XLOOKUP(1,(WL_Exercise=A136)*(WL_e1RM=D136),WL_Date,"",0),""))</f>
        <v/>
      </c>
      <c r="F136">
        <f>IF(OR(A136="",D136=""),"",IFERROR(XLOOKUP(1,(WL_Exercise=A136)*(WL_e1RM=D136),WL_Reps,"",0),""))</f>
        <v/>
      </c>
      <c r="G136" s="8">
        <f>IF(OR(A136="",D136=""),"",IFERROR(XLOOKUP(1,(WL_Exercise=A136)*(WL_e1RM=D136),WL_Weight,"",0),""))</f>
        <v/>
      </c>
    </row>
    <row r="137">
      <c r="A137">
        <f>'Exercise Library'!A137</f>
        <v/>
      </c>
      <c r="B137" s="8">
        <f>IF(A137="","",IFERROR(MAXIFS(WL_Weight,WL_Exercise,A137),""))</f>
        <v/>
      </c>
      <c r="C137" s="7">
        <f>IF(OR(A137="",B137=""),"",IFERROR(XLOOKUP(1,(WL_Exercise=A137)*(WL_Weight=B137),WL_Date,"",0),""))</f>
        <v/>
      </c>
      <c r="D137" s="8">
        <f>IF(A137="","",IFERROR(MAXIFS(WL_e1RM,WL_Exercise,A137),""))</f>
        <v/>
      </c>
      <c r="E137" s="7">
        <f>IF(OR(A137="",D137=""),"",IFERROR(XLOOKUP(1,(WL_Exercise=A137)*(WL_e1RM=D137),WL_Date,"",0),""))</f>
        <v/>
      </c>
      <c r="F137">
        <f>IF(OR(A137="",D137=""),"",IFERROR(XLOOKUP(1,(WL_Exercise=A137)*(WL_e1RM=D137),WL_Reps,"",0),""))</f>
        <v/>
      </c>
      <c r="G137" s="8">
        <f>IF(OR(A137="",D137=""),"",IFERROR(XLOOKUP(1,(WL_Exercise=A137)*(WL_e1RM=D137),WL_Weight,"",0),""))</f>
        <v/>
      </c>
    </row>
    <row r="138">
      <c r="A138">
        <f>'Exercise Library'!A138</f>
        <v/>
      </c>
      <c r="B138" s="8">
        <f>IF(A138="","",IFERROR(MAXIFS(WL_Weight,WL_Exercise,A138),""))</f>
        <v/>
      </c>
      <c r="C138" s="7">
        <f>IF(OR(A138="",B138=""),"",IFERROR(XLOOKUP(1,(WL_Exercise=A138)*(WL_Weight=B138),WL_Date,"",0),""))</f>
        <v/>
      </c>
      <c r="D138" s="8">
        <f>IF(A138="","",IFERROR(MAXIFS(WL_e1RM,WL_Exercise,A138),""))</f>
        <v/>
      </c>
      <c r="E138" s="7">
        <f>IF(OR(A138="",D138=""),"",IFERROR(XLOOKUP(1,(WL_Exercise=A138)*(WL_e1RM=D138),WL_Date,"",0),""))</f>
        <v/>
      </c>
      <c r="F138">
        <f>IF(OR(A138="",D138=""),"",IFERROR(XLOOKUP(1,(WL_Exercise=A138)*(WL_e1RM=D138),WL_Reps,"",0),""))</f>
        <v/>
      </c>
      <c r="G138" s="8">
        <f>IF(OR(A138="",D138=""),"",IFERROR(XLOOKUP(1,(WL_Exercise=A138)*(WL_e1RM=D138),WL_Weight,"",0),""))</f>
        <v/>
      </c>
    </row>
    <row r="139">
      <c r="A139">
        <f>'Exercise Library'!A139</f>
        <v/>
      </c>
      <c r="B139" s="8">
        <f>IF(A139="","",IFERROR(MAXIFS(WL_Weight,WL_Exercise,A139),""))</f>
        <v/>
      </c>
      <c r="C139" s="7">
        <f>IF(OR(A139="",B139=""),"",IFERROR(XLOOKUP(1,(WL_Exercise=A139)*(WL_Weight=B139),WL_Date,"",0),""))</f>
        <v/>
      </c>
      <c r="D139" s="8">
        <f>IF(A139="","",IFERROR(MAXIFS(WL_e1RM,WL_Exercise,A139),""))</f>
        <v/>
      </c>
      <c r="E139" s="7">
        <f>IF(OR(A139="",D139=""),"",IFERROR(XLOOKUP(1,(WL_Exercise=A139)*(WL_e1RM=D139),WL_Date,"",0),""))</f>
        <v/>
      </c>
      <c r="F139">
        <f>IF(OR(A139="",D139=""),"",IFERROR(XLOOKUP(1,(WL_Exercise=A139)*(WL_e1RM=D139),WL_Reps,"",0),""))</f>
        <v/>
      </c>
      <c r="G139" s="8">
        <f>IF(OR(A139="",D139=""),"",IFERROR(XLOOKUP(1,(WL_Exercise=A139)*(WL_e1RM=D139),WL_Weight,"",0),""))</f>
        <v/>
      </c>
    </row>
    <row r="140">
      <c r="A140">
        <f>'Exercise Library'!A140</f>
        <v/>
      </c>
      <c r="B140" s="8">
        <f>IF(A140="","",IFERROR(MAXIFS(WL_Weight,WL_Exercise,A140),""))</f>
        <v/>
      </c>
      <c r="C140" s="7">
        <f>IF(OR(A140="",B140=""),"",IFERROR(XLOOKUP(1,(WL_Exercise=A140)*(WL_Weight=B140),WL_Date,"",0),""))</f>
        <v/>
      </c>
      <c r="D140" s="8">
        <f>IF(A140="","",IFERROR(MAXIFS(WL_e1RM,WL_Exercise,A140),""))</f>
        <v/>
      </c>
      <c r="E140" s="7">
        <f>IF(OR(A140="",D140=""),"",IFERROR(XLOOKUP(1,(WL_Exercise=A140)*(WL_e1RM=D140),WL_Date,"",0),""))</f>
        <v/>
      </c>
      <c r="F140">
        <f>IF(OR(A140="",D140=""),"",IFERROR(XLOOKUP(1,(WL_Exercise=A140)*(WL_e1RM=D140),WL_Reps,"",0),""))</f>
        <v/>
      </c>
      <c r="G140" s="8">
        <f>IF(OR(A140="",D140=""),"",IFERROR(XLOOKUP(1,(WL_Exercise=A140)*(WL_e1RM=D140),WL_Weight,"",0),""))</f>
        <v/>
      </c>
    </row>
    <row r="141">
      <c r="A141">
        <f>'Exercise Library'!A141</f>
        <v/>
      </c>
      <c r="B141" s="8">
        <f>IF(A141="","",IFERROR(MAXIFS(WL_Weight,WL_Exercise,A141),""))</f>
        <v/>
      </c>
      <c r="C141" s="7">
        <f>IF(OR(A141="",B141=""),"",IFERROR(XLOOKUP(1,(WL_Exercise=A141)*(WL_Weight=B141),WL_Date,"",0),""))</f>
        <v/>
      </c>
      <c r="D141" s="8">
        <f>IF(A141="","",IFERROR(MAXIFS(WL_e1RM,WL_Exercise,A141),""))</f>
        <v/>
      </c>
      <c r="E141" s="7">
        <f>IF(OR(A141="",D141=""),"",IFERROR(XLOOKUP(1,(WL_Exercise=A141)*(WL_e1RM=D141),WL_Date,"",0),""))</f>
        <v/>
      </c>
      <c r="F141">
        <f>IF(OR(A141="",D141=""),"",IFERROR(XLOOKUP(1,(WL_Exercise=A141)*(WL_e1RM=D141),WL_Reps,"",0),""))</f>
        <v/>
      </c>
      <c r="G141" s="8">
        <f>IF(OR(A141="",D141=""),"",IFERROR(XLOOKUP(1,(WL_Exercise=A141)*(WL_e1RM=D141),WL_Weight,"",0),""))</f>
        <v/>
      </c>
    </row>
    <row r="142">
      <c r="A142">
        <f>'Exercise Library'!A142</f>
        <v/>
      </c>
      <c r="B142" s="8">
        <f>IF(A142="","",IFERROR(MAXIFS(WL_Weight,WL_Exercise,A142),""))</f>
        <v/>
      </c>
      <c r="C142" s="7">
        <f>IF(OR(A142="",B142=""),"",IFERROR(XLOOKUP(1,(WL_Exercise=A142)*(WL_Weight=B142),WL_Date,"",0),""))</f>
        <v/>
      </c>
      <c r="D142" s="8">
        <f>IF(A142="","",IFERROR(MAXIFS(WL_e1RM,WL_Exercise,A142),""))</f>
        <v/>
      </c>
      <c r="E142" s="7">
        <f>IF(OR(A142="",D142=""),"",IFERROR(XLOOKUP(1,(WL_Exercise=A142)*(WL_e1RM=D142),WL_Date,"",0),""))</f>
        <v/>
      </c>
      <c r="F142">
        <f>IF(OR(A142="",D142=""),"",IFERROR(XLOOKUP(1,(WL_Exercise=A142)*(WL_e1RM=D142),WL_Reps,"",0),""))</f>
        <v/>
      </c>
      <c r="G142" s="8">
        <f>IF(OR(A142="",D142=""),"",IFERROR(XLOOKUP(1,(WL_Exercise=A142)*(WL_e1RM=D142),WL_Weight,"",0),""))</f>
        <v/>
      </c>
    </row>
    <row r="143">
      <c r="A143">
        <f>'Exercise Library'!A143</f>
        <v/>
      </c>
      <c r="B143" s="8">
        <f>IF(A143="","",IFERROR(MAXIFS(WL_Weight,WL_Exercise,A143),""))</f>
        <v/>
      </c>
      <c r="C143" s="7">
        <f>IF(OR(A143="",B143=""),"",IFERROR(XLOOKUP(1,(WL_Exercise=A143)*(WL_Weight=B143),WL_Date,"",0),""))</f>
        <v/>
      </c>
      <c r="D143" s="8">
        <f>IF(A143="","",IFERROR(MAXIFS(WL_e1RM,WL_Exercise,A143),""))</f>
        <v/>
      </c>
      <c r="E143" s="7">
        <f>IF(OR(A143="",D143=""),"",IFERROR(XLOOKUP(1,(WL_Exercise=A143)*(WL_e1RM=D143),WL_Date,"",0),""))</f>
        <v/>
      </c>
      <c r="F143">
        <f>IF(OR(A143="",D143=""),"",IFERROR(XLOOKUP(1,(WL_Exercise=A143)*(WL_e1RM=D143),WL_Reps,"",0),""))</f>
        <v/>
      </c>
      <c r="G143" s="8">
        <f>IF(OR(A143="",D143=""),"",IFERROR(XLOOKUP(1,(WL_Exercise=A143)*(WL_e1RM=D143),WL_Weight,"",0),""))</f>
        <v/>
      </c>
    </row>
    <row r="144">
      <c r="A144">
        <f>'Exercise Library'!A144</f>
        <v/>
      </c>
      <c r="B144" s="8">
        <f>IF(A144="","",IFERROR(MAXIFS(WL_Weight,WL_Exercise,A144),""))</f>
        <v/>
      </c>
      <c r="C144" s="7">
        <f>IF(OR(A144="",B144=""),"",IFERROR(XLOOKUP(1,(WL_Exercise=A144)*(WL_Weight=B144),WL_Date,"",0),""))</f>
        <v/>
      </c>
      <c r="D144" s="8">
        <f>IF(A144="","",IFERROR(MAXIFS(WL_e1RM,WL_Exercise,A144),""))</f>
        <v/>
      </c>
      <c r="E144" s="7">
        <f>IF(OR(A144="",D144=""),"",IFERROR(XLOOKUP(1,(WL_Exercise=A144)*(WL_e1RM=D144),WL_Date,"",0),""))</f>
        <v/>
      </c>
      <c r="F144">
        <f>IF(OR(A144="",D144=""),"",IFERROR(XLOOKUP(1,(WL_Exercise=A144)*(WL_e1RM=D144),WL_Reps,"",0),""))</f>
        <v/>
      </c>
      <c r="G144" s="8">
        <f>IF(OR(A144="",D144=""),"",IFERROR(XLOOKUP(1,(WL_Exercise=A144)*(WL_e1RM=D144),WL_Weight,"",0),""))</f>
        <v/>
      </c>
    </row>
    <row r="145">
      <c r="A145">
        <f>'Exercise Library'!A145</f>
        <v/>
      </c>
      <c r="B145" s="8">
        <f>IF(A145="","",IFERROR(MAXIFS(WL_Weight,WL_Exercise,A145),""))</f>
        <v/>
      </c>
      <c r="C145" s="7">
        <f>IF(OR(A145="",B145=""),"",IFERROR(XLOOKUP(1,(WL_Exercise=A145)*(WL_Weight=B145),WL_Date,"",0),""))</f>
        <v/>
      </c>
      <c r="D145" s="8">
        <f>IF(A145="","",IFERROR(MAXIFS(WL_e1RM,WL_Exercise,A145),""))</f>
        <v/>
      </c>
      <c r="E145" s="7">
        <f>IF(OR(A145="",D145=""),"",IFERROR(XLOOKUP(1,(WL_Exercise=A145)*(WL_e1RM=D145),WL_Date,"",0),""))</f>
        <v/>
      </c>
      <c r="F145">
        <f>IF(OR(A145="",D145=""),"",IFERROR(XLOOKUP(1,(WL_Exercise=A145)*(WL_e1RM=D145),WL_Reps,"",0),""))</f>
        <v/>
      </c>
      <c r="G145" s="8">
        <f>IF(OR(A145="",D145=""),"",IFERROR(XLOOKUP(1,(WL_Exercise=A145)*(WL_e1RM=D145),WL_Weight,"",0),""))</f>
        <v/>
      </c>
    </row>
    <row r="146">
      <c r="A146">
        <f>'Exercise Library'!A146</f>
        <v/>
      </c>
      <c r="B146" s="8">
        <f>IF(A146="","",IFERROR(MAXIFS(WL_Weight,WL_Exercise,A146),""))</f>
        <v/>
      </c>
      <c r="C146" s="7">
        <f>IF(OR(A146="",B146=""),"",IFERROR(XLOOKUP(1,(WL_Exercise=A146)*(WL_Weight=B146),WL_Date,"",0),""))</f>
        <v/>
      </c>
      <c r="D146" s="8">
        <f>IF(A146="","",IFERROR(MAXIFS(WL_e1RM,WL_Exercise,A146),""))</f>
        <v/>
      </c>
      <c r="E146" s="7">
        <f>IF(OR(A146="",D146=""),"",IFERROR(XLOOKUP(1,(WL_Exercise=A146)*(WL_e1RM=D146),WL_Date,"",0),""))</f>
        <v/>
      </c>
      <c r="F146">
        <f>IF(OR(A146="",D146=""),"",IFERROR(XLOOKUP(1,(WL_Exercise=A146)*(WL_e1RM=D146),WL_Reps,"",0),""))</f>
        <v/>
      </c>
      <c r="G146" s="8">
        <f>IF(OR(A146="",D146=""),"",IFERROR(XLOOKUP(1,(WL_Exercise=A146)*(WL_e1RM=D146),WL_Weight,"",0),""))</f>
        <v/>
      </c>
    </row>
    <row r="147">
      <c r="A147">
        <f>'Exercise Library'!A147</f>
        <v/>
      </c>
      <c r="B147" s="8">
        <f>IF(A147="","",IFERROR(MAXIFS(WL_Weight,WL_Exercise,A147),""))</f>
        <v/>
      </c>
      <c r="C147" s="7">
        <f>IF(OR(A147="",B147=""),"",IFERROR(XLOOKUP(1,(WL_Exercise=A147)*(WL_Weight=B147),WL_Date,"",0),""))</f>
        <v/>
      </c>
      <c r="D147" s="8">
        <f>IF(A147="","",IFERROR(MAXIFS(WL_e1RM,WL_Exercise,A147),""))</f>
        <v/>
      </c>
      <c r="E147" s="7">
        <f>IF(OR(A147="",D147=""),"",IFERROR(XLOOKUP(1,(WL_Exercise=A147)*(WL_e1RM=D147),WL_Date,"",0),""))</f>
        <v/>
      </c>
      <c r="F147">
        <f>IF(OR(A147="",D147=""),"",IFERROR(XLOOKUP(1,(WL_Exercise=A147)*(WL_e1RM=D147),WL_Reps,"",0),""))</f>
        <v/>
      </c>
      <c r="G147" s="8">
        <f>IF(OR(A147="",D147=""),"",IFERROR(XLOOKUP(1,(WL_Exercise=A147)*(WL_e1RM=D147),WL_Weight,"",0),""))</f>
        <v/>
      </c>
    </row>
    <row r="148">
      <c r="A148">
        <f>'Exercise Library'!A148</f>
        <v/>
      </c>
      <c r="B148" s="8">
        <f>IF(A148="","",IFERROR(MAXIFS(WL_Weight,WL_Exercise,A148),""))</f>
        <v/>
      </c>
      <c r="C148" s="7">
        <f>IF(OR(A148="",B148=""),"",IFERROR(XLOOKUP(1,(WL_Exercise=A148)*(WL_Weight=B148),WL_Date,"",0),""))</f>
        <v/>
      </c>
      <c r="D148" s="8">
        <f>IF(A148="","",IFERROR(MAXIFS(WL_e1RM,WL_Exercise,A148),""))</f>
        <v/>
      </c>
      <c r="E148" s="7">
        <f>IF(OR(A148="",D148=""),"",IFERROR(XLOOKUP(1,(WL_Exercise=A148)*(WL_e1RM=D148),WL_Date,"",0),""))</f>
        <v/>
      </c>
      <c r="F148">
        <f>IF(OR(A148="",D148=""),"",IFERROR(XLOOKUP(1,(WL_Exercise=A148)*(WL_e1RM=D148),WL_Reps,"",0),""))</f>
        <v/>
      </c>
      <c r="G148" s="8">
        <f>IF(OR(A148="",D148=""),"",IFERROR(XLOOKUP(1,(WL_Exercise=A148)*(WL_e1RM=D148),WL_Weight,"",0),""))</f>
        <v/>
      </c>
    </row>
    <row r="149">
      <c r="A149">
        <f>'Exercise Library'!A149</f>
        <v/>
      </c>
      <c r="B149" s="8">
        <f>IF(A149="","",IFERROR(MAXIFS(WL_Weight,WL_Exercise,A149),""))</f>
        <v/>
      </c>
      <c r="C149" s="7">
        <f>IF(OR(A149="",B149=""),"",IFERROR(XLOOKUP(1,(WL_Exercise=A149)*(WL_Weight=B149),WL_Date,"",0),""))</f>
        <v/>
      </c>
      <c r="D149" s="8">
        <f>IF(A149="","",IFERROR(MAXIFS(WL_e1RM,WL_Exercise,A149),""))</f>
        <v/>
      </c>
      <c r="E149" s="7">
        <f>IF(OR(A149="",D149=""),"",IFERROR(XLOOKUP(1,(WL_Exercise=A149)*(WL_e1RM=D149),WL_Date,"",0),""))</f>
        <v/>
      </c>
      <c r="F149">
        <f>IF(OR(A149="",D149=""),"",IFERROR(XLOOKUP(1,(WL_Exercise=A149)*(WL_e1RM=D149),WL_Reps,"",0),""))</f>
        <v/>
      </c>
      <c r="G149" s="8">
        <f>IF(OR(A149="",D149=""),"",IFERROR(XLOOKUP(1,(WL_Exercise=A149)*(WL_e1RM=D149),WL_Weight,"",0),""))</f>
        <v/>
      </c>
    </row>
    <row r="150">
      <c r="A150">
        <f>'Exercise Library'!A150</f>
        <v/>
      </c>
      <c r="B150" s="8">
        <f>IF(A150="","",IFERROR(MAXIFS(WL_Weight,WL_Exercise,A150),""))</f>
        <v/>
      </c>
      <c r="C150" s="7">
        <f>IF(OR(A150="",B150=""),"",IFERROR(XLOOKUP(1,(WL_Exercise=A150)*(WL_Weight=B150),WL_Date,"",0),""))</f>
        <v/>
      </c>
      <c r="D150" s="8">
        <f>IF(A150="","",IFERROR(MAXIFS(WL_e1RM,WL_Exercise,A150),""))</f>
        <v/>
      </c>
      <c r="E150" s="7">
        <f>IF(OR(A150="",D150=""),"",IFERROR(XLOOKUP(1,(WL_Exercise=A150)*(WL_e1RM=D150),WL_Date,"",0),""))</f>
        <v/>
      </c>
      <c r="F150">
        <f>IF(OR(A150="",D150=""),"",IFERROR(XLOOKUP(1,(WL_Exercise=A150)*(WL_e1RM=D150),WL_Reps,"",0),""))</f>
        <v/>
      </c>
      <c r="G150" s="8">
        <f>IF(OR(A150="",D150=""),"",IFERROR(XLOOKUP(1,(WL_Exercise=A150)*(WL_e1RM=D150),WL_Weight,"",0),""))</f>
        <v/>
      </c>
    </row>
    <row r="151">
      <c r="A151">
        <f>'Exercise Library'!A151</f>
        <v/>
      </c>
      <c r="B151" s="8">
        <f>IF(A151="","",IFERROR(MAXIFS(WL_Weight,WL_Exercise,A151),""))</f>
        <v/>
      </c>
      <c r="C151" s="7">
        <f>IF(OR(A151="",B151=""),"",IFERROR(XLOOKUP(1,(WL_Exercise=A151)*(WL_Weight=B151),WL_Date,"",0),""))</f>
        <v/>
      </c>
      <c r="D151" s="8">
        <f>IF(A151="","",IFERROR(MAXIFS(WL_e1RM,WL_Exercise,A151),""))</f>
        <v/>
      </c>
      <c r="E151" s="7">
        <f>IF(OR(A151="",D151=""),"",IFERROR(XLOOKUP(1,(WL_Exercise=A151)*(WL_e1RM=D151),WL_Date,"",0),""))</f>
        <v/>
      </c>
      <c r="F151">
        <f>IF(OR(A151="",D151=""),"",IFERROR(XLOOKUP(1,(WL_Exercise=A151)*(WL_e1RM=D151),WL_Reps,"",0),""))</f>
        <v/>
      </c>
      <c r="G151" s="8">
        <f>IF(OR(A151="",D151=""),"",IFERROR(XLOOKUP(1,(WL_Exercise=A151)*(WL_e1RM=D151),WL_Weight,"",0),""))</f>
        <v/>
      </c>
    </row>
    <row r="152">
      <c r="A152">
        <f>'Exercise Library'!A152</f>
        <v/>
      </c>
      <c r="B152" s="8">
        <f>IF(A152="","",IFERROR(MAXIFS(WL_Weight,WL_Exercise,A152),""))</f>
        <v/>
      </c>
      <c r="C152" s="7">
        <f>IF(OR(A152="",B152=""),"",IFERROR(XLOOKUP(1,(WL_Exercise=A152)*(WL_Weight=B152),WL_Date,"",0),""))</f>
        <v/>
      </c>
      <c r="D152" s="8">
        <f>IF(A152="","",IFERROR(MAXIFS(WL_e1RM,WL_Exercise,A152),""))</f>
        <v/>
      </c>
      <c r="E152" s="7">
        <f>IF(OR(A152="",D152=""),"",IFERROR(XLOOKUP(1,(WL_Exercise=A152)*(WL_e1RM=D152),WL_Date,"",0),""))</f>
        <v/>
      </c>
      <c r="F152">
        <f>IF(OR(A152="",D152=""),"",IFERROR(XLOOKUP(1,(WL_Exercise=A152)*(WL_e1RM=D152),WL_Reps,"",0),""))</f>
        <v/>
      </c>
      <c r="G152" s="8">
        <f>IF(OR(A152="",D152=""),"",IFERROR(XLOOKUP(1,(WL_Exercise=A152)*(WL_e1RM=D152),WL_Weight,"",0),""))</f>
        <v/>
      </c>
    </row>
    <row r="153">
      <c r="A153">
        <f>'Exercise Library'!A153</f>
        <v/>
      </c>
      <c r="B153" s="8">
        <f>IF(A153="","",IFERROR(MAXIFS(WL_Weight,WL_Exercise,A153),""))</f>
        <v/>
      </c>
      <c r="C153" s="7">
        <f>IF(OR(A153="",B153=""),"",IFERROR(XLOOKUP(1,(WL_Exercise=A153)*(WL_Weight=B153),WL_Date,"",0),""))</f>
        <v/>
      </c>
      <c r="D153" s="8">
        <f>IF(A153="","",IFERROR(MAXIFS(WL_e1RM,WL_Exercise,A153),""))</f>
        <v/>
      </c>
      <c r="E153" s="7">
        <f>IF(OR(A153="",D153=""),"",IFERROR(XLOOKUP(1,(WL_Exercise=A153)*(WL_e1RM=D153),WL_Date,"",0),""))</f>
        <v/>
      </c>
      <c r="F153">
        <f>IF(OR(A153="",D153=""),"",IFERROR(XLOOKUP(1,(WL_Exercise=A153)*(WL_e1RM=D153),WL_Reps,"",0),""))</f>
        <v/>
      </c>
      <c r="G153" s="8">
        <f>IF(OR(A153="",D153=""),"",IFERROR(XLOOKUP(1,(WL_Exercise=A153)*(WL_e1RM=D153),WL_Weight,"",0),""))</f>
        <v/>
      </c>
    </row>
    <row r="154">
      <c r="A154">
        <f>'Exercise Library'!A154</f>
        <v/>
      </c>
      <c r="B154" s="8">
        <f>IF(A154="","",IFERROR(MAXIFS(WL_Weight,WL_Exercise,A154),""))</f>
        <v/>
      </c>
      <c r="C154" s="7">
        <f>IF(OR(A154="",B154=""),"",IFERROR(XLOOKUP(1,(WL_Exercise=A154)*(WL_Weight=B154),WL_Date,"",0),""))</f>
        <v/>
      </c>
      <c r="D154" s="8">
        <f>IF(A154="","",IFERROR(MAXIFS(WL_e1RM,WL_Exercise,A154),""))</f>
        <v/>
      </c>
      <c r="E154" s="7">
        <f>IF(OR(A154="",D154=""),"",IFERROR(XLOOKUP(1,(WL_Exercise=A154)*(WL_e1RM=D154),WL_Date,"",0),""))</f>
        <v/>
      </c>
      <c r="F154">
        <f>IF(OR(A154="",D154=""),"",IFERROR(XLOOKUP(1,(WL_Exercise=A154)*(WL_e1RM=D154),WL_Reps,"",0),""))</f>
        <v/>
      </c>
      <c r="G154" s="8">
        <f>IF(OR(A154="",D154=""),"",IFERROR(XLOOKUP(1,(WL_Exercise=A154)*(WL_e1RM=D154),WL_Weight,"",0),""))</f>
        <v/>
      </c>
    </row>
    <row r="155">
      <c r="A155">
        <f>'Exercise Library'!A155</f>
        <v/>
      </c>
      <c r="B155" s="8">
        <f>IF(A155="","",IFERROR(MAXIFS(WL_Weight,WL_Exercise,A155),""))</f>
        <v/>
      </c>
      <c r="C155" s="7">
        <f>IF(OR(A155="",B155=""),"",IFERROR(XLOOKUP(1,(WL_Exercise=A155)*(WL_Weight=B155),WL_Date,"",0),""))</f>
        <v/>
      </c>
      <c r="D155" s="8">
        <f>IF(A155="","",IFERROR(MAXIFS(WL_e1RM,WL_Exercise,A155),""))</f>
        <v/>
      </c>
      <c r="E155" s="7">
        <f>IF(OR(A155="",D155=""),"",IFERROR(XLOOKUP(1,(WL_Exercise=A155)*(WL_e1RM=D155),WL_Date,"",0),""))</f>
        <v/>
      </c>
      <c r="F155">
        <f>IF(OR(A155="",D155=""),"",IFERROR(XLOOKUP(1,(WL_Exercise=A155)*(WL_e1RM=D155),WL_Reps,"",0),""))</f>
        <v/>
      </c>
      <c r="G155" s="8">
        <f>IF(OR(A155="",D155=""),"",IFERROR(XLOOKUP(1,(WL_Exercise=A155)*(WL_e1RM=D155),WL_Weight,"",0),""))</f>
        <v/>
      </c>
    </row>
    <row r="156">
      <c r="A156">
        <f>'Exercise Library'!A156</f>
        <v/>
      </c>
      <c r="B156" s="8">
        <f>IF(A156="","",IFERROR(MAXIFS(WL_Weight,WL_Exercise,A156),""))</f>
        <v/>
      </c>
      <c r="C156" s="7">
        <f>IF(OR(A156="",B156=""),"",IFERROR(XLOOKUP(1,(WL_Exercise=A156)*(WL_Weight=B156),WL_Date,"",0),""))</f>
        <v/>
      </c>
      <c r="D156" s="8">
        <f>IF(A156="","",IFERROR(MAXIFS(WL_e1RM,WL_Exercise,A156),""))</f>
        <v/>
      </c>
      <c r="E156" s="7">
        <f>IF(OR(A156="",D156=""),"",IFERROR(XLOOKUP(1,(WL_Exercise=A156)*(WL_e1RM=D156),WL_Date,"",0),""))</f>
        <v/>
      </c>
      <c r="F156">
        <f>IF(OR(A156="",D156=""),"",IFERROR(XLOOKUP(1,(WL_Exercise=A156)*(WL_e1RM=D156),WL_Reps,"",0),""))</f>
        <v/>
      </c>
      <c r="G156" s="8">
        <f>IF(OR(A156="",D156=""),"",IFERROR(XLOOKUP(1,(WL_Exercise=A156)*(WL_e1RM=D156),WL_Weight,"",0),""))</f>
        <v/>
      </c>
    </row>
    <row r="157">
      <c r="A157">
        <f>'Exercise Library'!A157</f>
        <v/>
      </c>
      <c r="B157" s="8">
        <f>IF(A157="","",IFERROR(MAXIFS(WL_Weight,WL_Exercise,A157),""))</f>
        <v/>
      </c>
      <c r="C157" s="7">
        <f>IF(OR(A157="",B157=""),"",IFERROR(XLOOKUP(1,(WL_Exercise=A157)*(WL_Weight=B157),WL_Date,"",0),""))</f>
        <v/>
      </c>
      <c r="D157" s="8">
        <f>IF(A157="","",IFERROR(MAXIFS(WL_e1RM,WL_Exercise,A157),""))</f>
        <v/>
      </c>
      <c r="E157" s="7">
        <f>IF(OR(A157="",D157=""),"",IFERROR(XLOOKUP(1,(WL_Exercise=A157)*(WL_e1RM=D157),WL_Date,"",0),""))</f>
        <v/>
      </c>
      <c r="F157">
        <f>IF(OR(A157="",D157=""),"",IFERROR(XLOOKUP(1,(WL_Exercise=A157)*(WL_e1RM=D157),WL_Reps,"",0),""))</f>
        <v/>
      </c>
      <c r="G157" s="8">
        <f>IF(OR(A157="",D157=""),"",IFERROR(XLOOKUP(1,(WL_Exercise=A157)*(WL_e1RM=D157),WL_Weight,"",0),""))</f>
        <v/>
      </c>
    </row>
    <row r="158">
      <c r="A158">
        <f>'Exercise Library'!A158</f>
        <v/>
      </c>
      <c r="B158" s="8">
        <f>IF(A158="","",IFERROR(MAXIFS(WL_Weight,WL_Exercise,A158),""))</f>
        <v/>
      </c>
      <c r="C158" s="7">
        <f>IF(OR(A158="",B158=""),"",IFERROR(XLOOKUP(1,(WL_Exercise=A158)*(WL_Weight=B158),WL_Date,"",0),""))</f>
        <v/>
      </c>
      <c r="D158" s="8">
        <f>IF(A158="","",IFERROR(MAXIFS(WL_e1RM,WL_Exercise,A158),""))</f>
        <v/>
      </c>
      <c r="E158" s="7">
        <f>IF(OR(A158="",D158=""),"",IFERROR(XLOOKUP(1,(WL_Exercise=A158)*(WL_e1RM=D158),WL_Date,"",0),""))</f>
        <v/>
      </c>
      <c r="F158">
        <f>IF(OR(A158="",D158=""),"",IFERROR(XLOOKUP(1,(WL_Exercise=A158)*(WL_e1RM=D158),WL_Reps,"",0),""))</f>
        <v/>
      </c>
      <c r="G158" s="8">
        <f>IF(OR(A158="",D158=""),"",IFERROR(XLOOKUP(1,(WL_Exercise=A158)*(WL_e1RM=D158),WL_Weight,"",0),""))</f>
        <v/>
      </c>
    </row>
    <row r="159">
      <c r="A159">
        <f>'Exercise Library'!A159</f>
        <v/>
      </c>
      <c r="B159" s="8">
        <f>IF(A159="","",IFERROR(MAXIFS(WL_Weight,WL_Exercise,A159),""))</f>
        <v/>
      </c>
      <c r="C159" s="7">
        <f>IF(OR(A159="",B159=""),"",IFERROR(XLOOKUP(1,(WL_Exercise=A159)*(WL_Weight=B159),WL_Date,"",0),""))</f>
        <v/>
      </c>
      <c r="D159" s="8">
        <f>IF(A159="","",IFERROR(MAXIFS(WL_e1RM,WL_Exercise,A159),""))</f>
        <v/>
      </c>
      <c r="E159" s="7">
        <f>IF(OR(A159="",D159=""),"",IFERROR(XLOOKUP(1,(WL_Exercise=A159)*(WL_e1RM=D159),WL_Date,"",0),""))</f>
        <v/>
      </c>
      <c r="F159">
        <f>IF(OR(A159="",D159=""),"",IFERROR(XLOOKUP(1,(WL_Exercise=A159)*(WL_e1RM=D159),WL_Reps,"",0),""))</f>
        <v/>
      </c>
      <c r="G159" s="8">
        <f>IF(OR(A159="",D159=""),"",IFERROR(XLOOKUP(1,(WL_Exercise=A159)*(WL_e1RM=D159),WL_Weight,"",0),""))</f>
        <v/>
      </c>
    </row>
    <row r="160">
      <c r="A160">
        <f>'Exercise Library'!A160</f>
        <v/>
      </c>
      <c r="B160" s="8">
        <f>IF(A160="","",IFERROR(MAXIFS(WL_Weight,WL_Exercise,A160),""))</f>
        <v/>
      </c>
      <c r="C160" s="7">
        <f>IF(OR(A160="",B160=""),"",IFERROR(XLOOKUP(1,(WL_Exercise=A160)*(WL_Weight=B160),WL_Date,"",0),""))</f>
        <v/>
      </c>
      <c r="D160" s="8">
        <f>IF(A160="","",IFERROR(MAXIFS(WL_e1RM,WL_Exercise,A160),""))</f>
        <v/>
      </c>
      <c r="E160" s="7">
        <f>IF(OR(A160="",D160=""),"",IFERROR(XLOOKUP(1,(WL_Exercise=A160)*(WL_e1RM=D160),WL_Date,"",0),""))</f>
        <v/>
      </c>
      <c r="F160">
        <f>IF(OR(A160="",D160=""),"",IFERROR(XLOOKUP(1,(WL_Exercise=A160)*(WL_e1RM=D160),WL_Reps,"",0),""))</f>
        <v/>
      </c>
      <c r="G160" s="8">
        <f>IF(OR(A160="",D160=""),"",IFERROR(XLOOKUP(1,(WL_Exercise=A160)*(WL_e1RM=D160),WL_Weight,"",0),""))</f>
        <v/>
      </c>
    </row>
    <row r="161">
      <c r="A161">
        <f>'Exercise Library'!A161</f>
        <v/>
      </c>
      <c r="B161" s="8">
        <f>IF(A161="","",IFERROR(MAXIFS(WL_Weight,WL_Exercise,A161),""))</f>
        <v/>
      </c>
      <c r="C161" s="7">
        <f>IF(OR(A161="",B161=""),"",IFERROR(XLOOKUP(1,(WL_Exercise=A161)*(WL_Weight=B161),WL_Date,"",0),""))</f>
        <v/>
      </c>
      <c r="D161" s="8">
        <f>IF(A161="","",IFERROR(MAXIFS(WL_e1RM,WL_Exercise,A161),""))</f>
        <v/>
      </c>
      <c r="E161" s="7">
        <f>IF(OR(A161="",D161=""),"",IFERROR(XLOOKUP(1,(WL_Exercise=A161)*(WL_e1RM=D161),WL_Date,"",0),""))</f>
        <v/>
      </c>
      <c r="F161">
        <f>IF(OR(A161="",D161=""),"",IFERROR(XLOOKUP(1,(WL_Exercise=A161)*(WL_e1RM=D161),WL_Reps,"",0),""))</f>
        <v/>
      </c>
      <c r="G161" s="8">
        <f>IF(OR(A161="",D161=""),"",IFERROR(XLOOKUP(1,(WL_Exercise=A161)*(WL_e1RM=D161),WL_Weight,"",0),""))</f>
        <v/>
      </c>
    </row>
    <row r="162">
      <c r="A162">
        <f>'Exercise Library'!A162</f>
        <v/>
      </c>
      <c r="B162" s="8">
        <f>IF(A162="","",IFERROR(MAXIFS(WL_Weight,WL_Exercise,A162),""))</f>
        <v/>
      </c>
      <c r="C162" s="7">
        <f>IF(OR(A162="",B162=""),"",IFERROR(XLOOKUP(1,(WL_Exercise=A162)*(WL_Weight=B162),WL_Date,"",0),""))</f>
        <v/>
      </c>
      <c r="D162" s="8">
        <f>IF(A162="","",IFERROR(MAXIFS(WL_e1RM,WL_Exercise,A162),""))</f>
        <v/>
      </c>
      <c r="E162" s="7">
        <f>IF(OR(A162="",D162=""),"",IFERROR(XLOOKUP(1,(WL_Exercise=A162)*(WL_e1RM=D162),WL_Date,"",0),""))</f>
        <v/>
      </c>
      <c r="F162">
        <f>IF(OR(A162="",D162=""),"",IFERROR(XLOOKUP(1,(WL_Exercise=A162)*(WL_e1RM=D162),WL_Reps,"",0),""))</f>
        <v/>
      </c>
      <c r="G162" s="8">
        <f>IF(OR(A162="",D162=""),"",IFERROR(XLOOKUP(1,(WL_Exercise=A162)*(WL_e1RM=D162),WL_Weight,"",0),""))</f>
        <v/>
      </c>
    </row>
    <row r="163">
      <c r="A163">
        <f>'Exercise Library'!A163</f>
        <v/>
      </c>
      <c r="B163" s="8">
        <f>IF(A163="","",IFERROR(MAXIFS(WL_Weight,WL_Exercise,A163),""))</f>
        <v/>
      </c>
      <c r="C163" s="7">
        <f>IF(OR(A163="",B163=""),"",IFERROR(XLOOKUP(1,(WL_Exercise=A163)*(WL_Weight=B163),WL_Date,"",0),""))</f>
        <v/>
      </c>
      <c r="D163" s="8">
        <f>IF(A163="","",IFERROR(MAXIFS(WL_e1RM,WL_Exercise,A163),""))</f>
        <v/>
      </c>
      <c r="E163" s="7">
        <f>IF(OR(A163="",D163=""),"",IFERROR(XLOOKUP(1,(WL_Exercise=A163)*(WL_e1RM=D163),WL_Date,"",0),""))</f>
        <v/>
      </c>
      <c r="F163">
        <f>IF(OR(A163="",D163=""),"",IFERROR(XLOOKUP(1,(WL_Exercise=A163)*(WL_e1RM=D163),WL_Reps,"",0),""))</f>
        <v/>
      </c>
      <c r="G163" s="8">
        <f>IF(OR(A163="",D163=""),"",IFERROR(XLOOKUP(1,(WL_Exercise=A163)*(WL_e1RM=D163),WL_Weight,"",0),""))</f>
        <v/>
      </c>
    </row>
    <row r="164">
      <c r="A164">
        <f>'Exercise Library'!A164</f>
        <v/>
      </c>
      <c r="B164" s="8">
        <f>IF(A164="","",IFERROR(MAXIFS(WL_Weight,WL_Exercise,A164),""))</f>
        <v/>
      </c>
      <c r="C164" s="7">
        <f>IF(OR(A164="",B164=""),"",IFERROR(XLOOKUP(1,(WL_Exercise=A164)*(WL_Weight=B164),WL_Date,"",0),""))</f>
        <v/>
      </c>
      <c r="D164" s="8">
        <f>IF(A164="","",IFERROR(MAXIFS(WL_e1RM,WL_Exercise,A164),""))</f>
        <v/>
      </c>
      <c r="E164" s="7">
        <f>IF(OR(A164="",D164=""),"",IFERROR(XLOOKUP(1,(WL_Exercise=A164)*(WL_e1RM=D164),WL_Date,"",0),""))</f>
        <v/>
      </c>
      <c r="F164">
        <f>IF(OR(A164="",D164=""),"",IFERROR(XLOOKUP(1,(WL_Exercise=A164)*(WL_e1RM=D164),WL_Reps,"",0),""))</f>
        <v/>
      </c>
      <c r="G164" s="8">
        <f>IF(OR(A164="",D164=""),"",IFERROR(XLOOKUP(1,(WL_Exercise=A164)*(WL_e1RM=D164),WL_Weight,"",0),""))</f>
        <v/>
      </c>
    </row>
    <row r="165">
      <c r="A165">
        <f>'Exercise Library'!A165</f>
        <v/>
      </c>
      <c r="B165" s="8">
        <f>IF(A165="","",IFERROR(MAXIFS(WL_Weight,WL_Exercise,A165),""))</f>
        <v/>
      </c>
      <c r="C165" s="7">
        <f>IF(OR(A165="",B165=""),"",IFERROR(XLOOKUP(1,(WL_Exercise=A165)*(WL_Weight=B165),WL_Date,"",0),""))</f>
        <v/>
      </c>
      <c r="D165" s="8">
        <f>IF(A165="","",IFERROR(MAXIFS(WL_e1RM,WL_Exercise,A165),""))</f>
        <v/>
      </c>
      <c r="E165" s="7">
        <f>IF(OR(A165="",D165=""),"",IFERROR(XLOOKUP(1,(WL_Exercise=A165)*(WL_e1RM=D165),WL_Date,"",0),""))</f>
        <v/>
      </c>
      <c r="F165">
        <f>IF(OR(A165="",D165=""),"",IFERROR(XLOOKUP(1,(WL_Exercise=A165)*(WL_e1RM=D165),WL_Reps,"",0),""))</f>
        <v/>
      </c>
      <c r="G165" s="8">
        <f>IF(OR(A165="",D165=""),"",IFERROR(XLOOKUP(1,(WL_Exercise=A165)*(WL_e1RM=D165),WL_Weight,"",0),""))</f>
        <v/>
      </c>
    </row>
    <row r="166">
      <c r="A166">
        <f>'Exercise Library'!A166</f>
        <v/>
      </c>
      <c r="B166" s="8">
        <f>IF(A166="","",IFERROR(MAXIFS(WL_Weight,WL_Exercise,A166),""))</f>
        <v/>
      </c>
      <c r="C166" s="7">
        <f>IF(OR(A166="",B166=""),"",IFERROR(XLOOKUP(1,(WL_Exercise=A166)*(WL_Weight=B166),WL_Date,"",0),""))</f>
        <v/>
      </c>
      <c r="D166" s="8">
        <f>IF(A166="","",IFERROR(MAXIFS(WL_e1RM,WL_Exercise,A166),""))</f>
        <v/>
      </c>
      <c r="E166" s="7">
        <f>IF(OR(A166="",D166=""),"",IFERROR(XLOOKUP(1,(WL_Exercise=A166)*(WL_e1RM=D166),WL_Date,"",0),""))</f>
        <v/>
      </c>
      <c r="F166">
        <f>IF(OR(A166="",D166=""),"",IFERROR(XLOOKUP(1,(WL_Exercise=A166)*(WL_e1RM=D166),WL_Reps,"",0),""))</f>
        <v/>
      </c>
      <c r="G166" s="8">
        <f>IF(OR(A166="",D166=""),"",IFERROR(XLOOKUP(1,(WL_Exercise=A166)*(WL_e1RM=D166),WL_Weight,"",0),""))</f>
        <v/>
      </c>
    </row>
    <row r="167">
      <c r="A167">
        <f>'Exercise Library'!A167</f>
        <v/>
      </c>
      <c r="B167" s="8">
        <f>IF(A167="","",IFERROR(MAXIFS(WL_Weight,WL_Exercise,A167),""))</f>
        <v/>
      </c>
      <c r="C167" s="7">
        <f>IF(OR(A167="",B167=""),"",IFERROR(XLOOKUP(1,(WL_Exercise=A167)*(WL_Weight=B167),WL_Date,"",0),""))</f>
        <v/>
      </c>
      <c r="D167" s="8">
        <f>IF(A167="","",IFERROR(MAXIFS(WL_e1RM,WL_Exercise,A167),""))</f>
        <v/>
      </c>
      <c r="E167" s="7">
        <f>IF(OR(A167="",D167=""),"",IFERROR(XLOOKUP(1,(WL_Exercise=A167)*(WL_e1RM=D167),WL_Date,"",0),""))</f>
        <v/>
      </c>
      <c r="F167">
        <f>IF(OR(A167="",D167=""),"",IFERROR(XLOOKUP(1,(WL_Exercise=A167)*(WL_e1RM=D167),WL_Reps,"",0),""))</f>
        <v/>
      </c>
      <c r="G167" s="8">
        <f>IF(OR(A167="",D167=""),"",IFERROR(XLOOKUP(1,(WL_Exercise=A167)*(WL_e1RM=D167),WL_Weight,"",0),""))</f>
        <v/>
      </c>
    </row>
    <row r="168">
      <c r="A168">
        <f>'Exercise Library'!A168</f>
        <v/>
      </c>
      <c r="B168" s="8">
        <f>IF(A168="","",IFERROR(MAXIFS(WL_Weight,WL_Exercise,A168),""))</f>
        <v/>
      </c>
      <c r="C168" s="7">
        <f>IF(OR(A168="",B168=""),"",IFERROR(XLOOKUP(1,(WL_Exercise=A168)*(WL_Weight=B168),WL_Date,"",0),""))</f>
        <v/>
      </c>
      <c r="D168" s="8">
        <f>IF(A168="","",IFERROR(MAXIFS(WL_e1RM,WL_Exercise,A168),""))</f>
        <v/>
      </c>
      <c r="E168" s="7">
        <f>IF(OR(A168="",D168=""),"",IFERROR(XLOOKUP(1,(WL_Exercise=A168)*(WL_e1RM=D168),WL_Date,"",0),""))</f>
        <v/>
      </c>
      <c r="F168">
        <f>IF(OR(A168="",D168=""),"",IFERROR(XLOOKUP(1,(WL_Exercise=A168)*(WL_e1RM=D168),WL_Reps,"",0),""))</f>
        <v/>
      </c>
      <c r="G168" s="8">
        <f>IF(OR(A168="",D168=""),"",IFERROR(XLOOKUP(1,(WL_Exercise=A168)*(WL_e1RM=D168),WL_Weight,"",0),""))</f>
        <v/>
      </c>
    </row>
    <row r="169">
      <c r="A169">
        <f>'Exercise Library'!A169</f>
        <v/>
      </c>
      <c r="B169" s="8">
        <f>IF(A169="","",IFERROR(MAXIFS(WL_Weight,WL_Exercise,A169),""))</f>
        <v/>
      </c>
      <c r="C169" s="7">
        <f>IF(OR(A169="",B169=""),"",IFERROR(XLOOKUP(1,(WL_Exercise=A169)*(WL_Weight=B169),WL_Date,"",0),""))</f>
        <v/>
      </c>
      <c r="D169" s="8">
        <f>IF(A169="","",IFERROR(MAXIFS(WL_e1RM,WL_Exercise,A169),""))</f>
        <v/>
      </c>
      <c r="E169" s="7">
        <f>IF(OR(A169="",D169=""),"",IFERROR(XLOOKUP(1,(WL_Exercise=A169)*(WL_e1RM=D169),WL_Date,"",0),""))</f>
        <v/>
      </c>
      <c r="F169">
        <f>IF(OR(A169="",D169=""),"",IFERROR(XLOOKUP(1,(WL_Exercise=A169)*(WL_e1RM=D169),WL_Reps,"",0),""))</f>
        <v/>
      </c>
      <c r="G169" s="8">
        <f>IF(OR(A169="",D169=""),"",IFERROR(XLOOKUP(1,(WL_Exercise=A169)*(WL_e1RM=D169),WL_Weight,"",0),""))</f>
        <v/>
      </c>
    </row>
    <row r="170">
      <c r="A170">
        <f>'Exercise Library'!A170</f>
        <v/>
      </c>
      <c r="B170" s="8">
        <f>IF(A170="","",IFERROR(MAXIFS(WL_Weight,WL_Exercise,A170),""))</f>
        <v/>
      </c>
      <c r="C170" s="7">
        <f>IF(OR(A170="",B170=""),"",IFERROR(XLOOKUP(1,(WL_Exercise=A170)*(WL_Weight=B170),WL_Date,"",0),""))</f>
        <v/>
      </c>
      <c r="D170" s="8">
        <f>IF(A170="","",IFERROR(MAXIFS(WL_e1RM,WL_Exercise,A170),""))</f>
        <v/>
      </c>
      <c r="E170" s="7">
        <f>IF(OR(A170="",D170=""),"",IFERROR(XLOOKUP(1,(WL_Exercise=A170)*(WL_e1RM=D170),WL_Date,"",0),""))</f>
        <v/>
      </c>
      <c r="F170">
        <f>IF(OR(A170="",D170=""),"",IFERROR(XLOOKUP(1,(WL_Exercise=A170)*(WL_e1RM=D170),WL_Reps,"",0),""))</f>
        <v/>
      </c>
      <c r="G170" s="8">
        <f>IF(OR(A170="",D170=""),"",IFERROR(XLOOKUP(1,(WL_Exercise=A170)*(WL_e1RM=D170),WL_Weight,"",0),""))</f>
        <v/>
      </c>
    </row>
    <row r="171">
      <c r="A171">
        <f>'Exercise Library'!A171</f>
        <v/>
      </c>
      <c r="B171" s="8">
        <f>IF(A171="","",IFERROR(MAXIFS(WL_Weight,WL_Exercise,A171),""))</f>
        <v/>
      </c>
      <c r="C171" s="7">
        <f>IF(OR(A171="",B171=""),"",IFERROR(XLOOKUP(1,(WL_Exercise=A171)*(WL_Weight=B171),WL_Date,"",0),""))</f>
        <v/>
      </c>
      <c r="D171" s="8">
        <f>IF(A171="","",IFERROR(MAXIFS(WL_e1RM,WL_Exercise,A171),""))</f>
        <v/>
      </c>
      <c r="E171" s="7">
        <f>IF(OR(A171="",D171=""),"",IFERROR(XLOOKUP(1,(WL_Exercise=A171)*(WL_e1RM=D171),WL_Date,"",0),""))</f>
        <v/>
      </c>
      <c r="F171">
        <f>IF(OR(A171="",D171=""),"",IFERROR(XLOOKUP(1,(WL_Exercise=A171)*(WL_e1RM=D171),WL_Reps,"",0),""))</f>
        <v/>
      </c>
      <c r="G171" s="8">
        <f>IF(OR(A171="",D171=""),"",IFERROR(XLOOKUP(1,(WL_Exercise=A171)*(WL_e1RM=D171),WL_Weight,"",0),""))</f>
        <v/>
      </c>
    </row>
    <row r="172">
      <c r="A172">
        <f>'Exercise Library'!A172</f>
        <v/>
      </c>
      <c r="B172" s="8">
        <f>IF(A172="","",IFERROR(MAXIFS(WL_Weight,WL_Exercise,A172),""))</f>
        <v/>
      </c>
      <c r="C172" s="7">
        <f>IF(OR(A172="",B172=""),"",IFERROR(XLOOKUP(1,(WL_Exercise=A172)*(WL_Weight=B172),WL_Date,"",0),""))</f>
        <v/>
      </c>
      <c r="D172" s="8">
        <f>IF(A172="","",IFERROR(MAXIFS(WL_e1RM,WL_Exercise,A172),""))</f>
        <v/>
      </c>
      <c r="E172" s="7">
        <f>IF(OR(A172="",D172=""),"",IFERROR(XLOOKUP(1,(WL_Exercise=A172)*(WL_e1RM=D172),WL_Date,"",0),""))</f>
        <v/>
      </c>
      <c r="F172">
        <f>IF(OR(A172="",D172=""),"",IFERROR(XLOOKUP(1,(WL_Exercise=A172)*(WL_e1RM=D172),WL_Reps,"",0),""))</f>
        <v/>
      </c>
      <c r="G172" s="8">
        <f>IF(OR(A172="",D172=""),"",IFERROR(XLOOKUP(1,(WL_Exercise=A172)*(WL_e1RM=D172),WL_Weight,"",0),""))</f>
        <v/>
      </c>
    </row>
    <row r="173">
      <c r="A173">
        <f>'Exercise Library'!A173</f>
        <v/>
      </c>
      <c r="B173" s="8">
        <f>IF(A173="","",IFERROR(MAXIFS(WL_Weight,WL_Exercise,A173),""))</f>
        <v/>
      </c>
      <c r="C173" s="7">
        <f>IF(OR(A173="",B173=""),"",IFERROR(XLOOKUP(1,(WL_Exercise=A173)*(WL_Weight=B173),WL_Date,"",0),""))</f>
        <v/>
      </c>
      <c r="D173" s="8">
        <f>IF(A173="","",IFERROR(MAXIFS(WL_e1RM,WL_Exercise,A173),""))</f>
        <v/>
      </c>
      <c r="E173" s="7">
        <f>IF(OR(A173="",D173=""),"",IFERROR(XLOOKUP(1,(WL_Exercise=A173)*(WL_e1RM=D173),WL_Date,"",0),""))</f>
        <v/>
      </c>
      <c r="F173">
        <f>IF(OR(A173="",D173=""),"",IFERROR(XLOOKUP(1,(WL_Exercise=A173)*(WL_e1RM=D173),WL_Reps,"",0),""))</f>
        <v/>
      </c>
      <c r="G173" s="8">
        <f>IF(OR(A173="",D173=""),"",IFERROR(XLOOKUP(1,(WL_Exercise=A173)*(WL_e1RM=D173),WL_Weight,"",0),""))</f>
        <v/>
      </c>
    </row>
    <row r="174">
      <c r="A174">
        <f>'Exercise Library'!A174</f>
        <v/>
      </c>
      <c r="B174" s="8">
        <f>IF(A174="","",IFERROR(MAXIFS(WL_Weight,WL_Exercise,A174),""))</f>
        <v/>
      </c>
      <c r="C174" s="7">
        <f>IF(OR(A174="",B174=""),"",IFERROR(XLOOKUP(1,(WL_Exercise=A174)*(WL_Weight=B174),WL_Date,"",0),""))</f>
        <v/>
      </c>
      <c r="D174" s="8">
        <f>IF(A174="","",IFERROR(MAXIFS(WL_e1RM,WL_Exercise,A174),""))</f>
        <v/>
      </c>
      <c r="E174" s="7">
        <f>IF(OR(A174="",D174=""),"",IFERROR(XLOOKUP(1,(WL_Exercise=A174)*(WL_e1RM=D174),WL_Date,"",0),""))</f>
        <v/>
      </c>
      <c r="F174">
        <f>IF(OR(A174="",D174=""),"",IFERROR(XLOOKUP(1,(WL_Exercise=A174)*(WL_e1RM=D174),WL_Reps,"",0),""))</f>
        <v/>
      </c>
      <c r="G174" s="8">
        <f>IF(OR(A174="",D174=""),"",IFERROR(XLOOKUP(1,(WL_Exercise=A174)*(WL_e1RM=D174),WL_Weight,"",0),""))</f>
        <v/>
      </c>
    </row>
    <row r="175">
      <c r="A175">
        <f>'Exercise Library'!A175</f>
        <v/>
      </c>
      <c r="B175" s="8">
        <f>IF(A175="","",IFERROR(MAXIFS(WL_Weight,WL_Exercise,A175),""))</f>
        <v/>
      </c>
      <c r="C175" s="7">
        <f>IF(OR(A175="",B175=""),"",IFERROR(XLOOKUP(1,(WL_Exercise=A175)*(WL_Weight=B175),WL_Date,"",0),""))</f>
        <v/>
      </c>
      <c r="D175" s="8">
        <f>IF(A175="","",IFERROR(MAXIFS(WL_e1RM,WL_Exercise,A175),""))</f>
        <v/>
      </c>
      <c r="E175" s="7">
        <f>IF(OR(A175="",D175=""),"",IFERROR(XLOOKUP(1,(WL_Exercise=A175)*(WL_e1RM=D175),WL_Date,"",0),""))</f>
        <v/>
      </c>
      <c r="F175">
        <f>IF(OR(A175="",D175=""),"",IFERROR(XLOOKUP(1,(WL_Exercise=A175)*(WL_e1RM=D175),WL_Reps,"",0),""))</f>
        <v/>
      </c>
      <c r="G175" s="8">
        <f>IF(OR(A175="",D175=""),"",IFERROR(XLOOKUP(1,(WL_Exercise=A175)*(WL_e1RM=D175),WL_Weight,"",0),""))</f>
        <v/>
      </c>
    </row>
    <row r="176">
      <c r="A176">
        <f>'Exercise Library'!A176</f>
        <v/>
      </c>
      <c r="B176" s="8">
        <f>IF(A176="","",IFERROR(MAXIFS(WL_Weight,WL_Exercise,A176),""))</f>
        <v/>
      </c>
      <c r="C176" s="7">
        <f>IF(OR(A176="",B176=""),"",IFERROR(XLOOKUP(1,(WL_Exercise=A176)*(WL_Weight=B176),WL_Date,"",0),""))</f>
        <v/>
      </c>
      <c r="D176" s="8">
        <f>IF(A176="","",IFERROR(MAXIFS(WL_e1RM,WL_Exercise,A176),""))</f>
        <v/>
      </c>
      <c r="E176" s="7">
        <f>IF(OR(A176="",D176=""),"",IFERROR(XLOOKUP(1,(WL_Exercise=A176)*(WL_e1RM=D176),WL_Date,"",0),""))</f>
        <v/>
      </c>
      <c r="F176">
        <f>IF(OR(A176="",D176=""),"",IFERROR(XLOOKUP(1,(WL_Exercise=A176)*(WL_e1RM=D176),WL_Reps,"",0),""))</f>
        <v/>
      </c>
      <c r="G176" s="8">
        <f>IF(OR(A176="",D176=""),"",IFERROR(XLOOKUP(1,(WL_Exercise=A176)*(WL_e1RM=D176),WL_Weight,"",0),""))</f>
        <v/>
      </c>
    </row>
    <row r="177">
      <c r="A177">
        <f>'Exercise Library'!A177</f>
        <v/>
      </c>
      <c r="B177" s="8">
        <f>IF(A177="","",IFERROR(MAXIFS(WL_Weight,WL_Exercise,A177),""))</f>
        <v/>
      </c>
      <c r="C177" s="7">
        <f>IF(OR(A177="",B177=""),"",IFERROR(XLOOKUP(1,(WL_Exercise=A177)*(WL_Weight=B177),WL_Date,"",0),""))</f>
        <v/>
      </c>
      <c r="D177" s="8">
        <f>IF(A177="","",IFERROR(MAXIFS(WL_e1RM,WL_Exercise,A177),""))</f>
        <v/>
      </c>
      <c r="E177" s="7">
        <f>IF(OR(A177="",D177=""),"",IFERROR(XLOOKUP(1,(WL_Exercise=A177)*(WL_e1RM=D177),WL_Date,"",0),""))</f>
        <v/>
      </c>
      <c r="F177">
        <f>IF(OR(A177="",D177=""),"",IFERROR(XLOOKUP(1,(WL_Exercise=A177)*(WL_e1RM=D177),WL_Reps,"",0),""))</f>
        <v/>
      </c>
      <c r="G177" s="8">
        <f>IF(OR(A177="",D177=""),"",IFERROR(XLOOKUP(1,(WL_Exercise=A177)*(WL_e1RM=D177),WL_Weight,"",0),""))</f>
        <v/>
      </c>
    </row>
    <row r="178">
      <c r="A178">
        <f>'Exercise Library'!A178</f>
        <v/>
      </c>
      <c r="B178" s="8">
        <f>IF(A178="","",IFERROR(MAXIFS(WL_Weight,WL_Exercise,A178),""))</f>
        <v/>
      </c>
      <c r="C178" s="7">
        <f>IF(OR(A178="",B178=""),"",IFERROR(XLOOKUP(1,(WL_Exercise=A178)*(WL_Weight=B178),WL_Date,"",0),""))</f>
        <v/>
      </c>
      <c r="D178" s="8">
        <f>IF(A178="","",IFERROR(MAXIFS(WL_e1RM,WL_Exercise,A178),""))</f>
        <v/>
      </c>
      <c r="E178" s="7">
        <f>IF(OR(A178="",D178=""),"",IFERROR(XLOOKUP(1,(WL_Exercise=A178)*(WL_e1RM=D178),WL_Date,"",0),""))</f>
        <v/>
      </c>
      <c r="F178">
        <f>IF(OR(A178="",D178=""),"",IFERROR(XLOOKUP(1,(WL_Exercise=A178)*(WL_e1RM=D178),WL_Reps,"",0),""))</f>
        <v/>
      </c>
      <c r="G178" s="8">
        <f>IF(OR(A178="",D178=""),"",IFERROR(XLOOKUP(1,(WL_Exercise=A178)*(WL_e1RM=D178),WL_Weight,"",0),""))</f>
        <v/>
      </c>
    </row>
    <row r="179">
      <c r="A179">
        <f>'Exercise Library'!A179</f>
        <v/>
      </c>
      <c r="B179" s="8">
        <f>IF(A179="","",IFERROR(MAXIFS(WL_Weight,WL_Exercise,A179),""))</f>
        <v/>
      </c>
      <c r="C179" s="7">
        <f>IF(OR(A179="",B179=""),"",IFERROR(XLOOKUP(1,(WL_Exercise=A179)*(WL_Weight=B179),WL_Date,"",0),""))</f>
        <v/>
      </c>
      <c r="D179" s="8">
        <f>IF(A179="","",IFERROR(MAXIFS(WL_e1RM,WL_Exercise,A179),""))</f>
        <v/>
      </c>
      <c r="E179" s="7">
        <f>IF(OR(A179="",D179=""),"",IFERROR(XLOOKUP(1,(WL_Exercise=A179)*(WL_e1RM=D179),WL_Date,"",0),""))</f>
        <v/>
      </c>
      <c r="F179">
        <f>IF(OR(A179="",D179=""),"",IFERROR(XLOOKUP(1,(WL_Exercise=A179)*(WL_e1RM=D179),WL_Reps,"",0),""))</f>
        <v/>
      </c>
      <c r="G179" s="8">
        <f>IF(OR(A179="",D179=""),"",IFERROR(XLOOKUP(1,(WL_Exercise=A179)*(WL_e1RM=D179),WL_Weight,"",0),""))</f>
        <v/>
      </c>
    </row>
    <row r="180">
      <c r="A180">
        <f>'Exercise Library'!A180</f>
        <v/>
      </c>
      <c r="B180" s="8">
        <f>IF(A180="","",IFERROR(MAXIFS(WL_Weight,WL_Exercise,A180),""))</f>
        <v/>
      </c>
      <c r="C180" s="7">
        <f>IF(OR(A180="",B180=""),"",IFERROR(XLOOKUP(1,(WL_Exercise=A180)*(WL_Weight=B180),WL_Date,"",0),""))</f>
        <v/>
      </c>
      <c r="D180" s="8">
        <f>IF(A180="","",IFERROR(MAXIFS(WL_e1RM,WL_Exercise,A180),""))</f>
        <v/>
      </c>
      <c r="E180" s="7">
        <f>IF(OR(A180="",D180=""),"",IFERROR(XLOOKUP(1,(WL_Exercise=A180)*(WL_e1RM=D180),WL_Date,"",0),""))</f>
        <v/>
      </c>
      <c r="F180">
        <f>IF(OR(A180="",D180=""),"",IFERROR(XLOOKUP(1,(WL_Exercise=A180)*(WL_e1RM=D180),WL_Reps,"",0),""))</f>
        <v/>
      </c>
      <c r="G180" s="8">
        <f>IF(OR(A180="",D180=""),"",IFERROR(XLOOKUP(1,(WL_Exercise=A180)*(WL_e1RM=D180),WL_Weight,"",0),""))</f>
        <v/>
      </c>
    </row>
    <row r="181">
      <c r="A181">
        <f>'Exercise Library'!A181</f>
        <v/>
      </c>
      <c r="B181" s="8">
        <f>IF(A181="","",IFERROR(MAXIFS(WL_Weight,WL_Exercise,A181),""))</f>
        <v/>
      </c>
      <c r="C181" s="7">
        <f>IF(OR(A181="",B181=""),"",IFERROR(XLOOKUP(1,(WL_Exercise=A181)*(WL_Weight=B181),WL_Date,"",0),""))</f>
        <v/>
      </c>
      <c r="D181" s="8">
        <f>IF(A181="","",IFERROR(MAXIFS(WL_e1RM,WL_Exercise,A181),""))</f>
        <v/>
      </c>
      <c r="E181" s="7">
        <f>IF(OR(A181="",D181=""),"",IFERROR(XLOOKUP(1,(WL_Exercise=A181)*(WL_e1RM=D181),WL_Date,"",0),""))</f>
        <v/>
      </c>
      <c r="F181">
        <f>IF(OR(A181="",D181=""),"",IFERROR(XLOOKUP(1,(WL_Exercise=A181)*(WL_e1RM=D181),WL_Reps,"",0),""))</f>
        <v/>
      </c>
      <c r="G181" s="8">
        <f>IF(OR(A181="",D181=""),"",IFERROR(XLOOKUP(1,(WL_Exercise=A181)*(WL_e1RM=D181),WL_Weight,"",0),""))</f>
        <v/>
      </c>
    </row>
    <row r="182">
      <c r="A182">
        <f>'Exercise Library'!A182</f>
        <v/>
      </c>
      <c r="B182" s="8">
        <f>IF(A182="","",IFERROR(MAXIFS(WL_Weight,WL_Exercise,A182),""))</f>
        <v/>
      </c>
      <c r="C182" s="7">
        <f>IF(OR(A182="",B182=""),"",IFERROR(XLOOKUP(1,(WL_Exercise=A182)*(WL_Weight=B182),WL_Date,"",0),""))</f>
        <v/>
      </c>
      <c r="D182" s="8">
        <f>IF(A182="","",IFERROR(MAXIFS(WL_e1RM,WL_Exercise,A182),""))</f>
        <v/>
      </c>
      <c r="E182" s="7">
        <f>IF(OR(A182="",D182=""),"",IFERROR(XLOOKUP(1,(WL_Exercise=A182)*(WL_e1RM=D182),WL_Date,"",0),""))</f>
        <v/>
      </c>
      <c r="F182">
        <f>IF(OR(A182="",D182=""),"",IFERROR(XLOOKUP(1,(WL_Exercise=A182)*(WL_e1RM=D182),WL_Reps,"",0),""))</f>
        <v/>
      </c>
      <c r="G182" s="8">
        <f>IF(OR(A182="",D182=""),"",IFERROR(XLOOKUP(1,(WL_Exercise=A182)*(WL_e1RM=D182),WL_Weight,"",0),""))</f>
        <v/>
      </c>
    </row>
    <row r="183">
      <c r="A183">
        <f>'Exercise Library'!A183</f>
        <v/>
      </c>
      <c r="B183" s="8">
        <f>IF(A183="","",IFERROR(MAXIFS(WL_Weight,WL_Exercise,A183),""))</f>
        <v/>
      </c>
      <c r="C183" s="7">
        <f>IF(OR(A183="",B183=""),"",IFERROR(XLOOKUP(1,(WL_Exercise=A183)*(WL_Weight=B183),WL_Date,"",0),""))</f>
        <v/>
      </c>
      <c r="D183" s="8">
        <f>IF(A183="","",IFERROR(MAXIFS(WL_e1RM,WL_Exercise,A183),""))</f>
        <v/>
      </c>
      <c r="E183" s="7">
        <f>IF(OR(A183="",D183=""),"",IFERROR(XLOOKUP(1,(WL_Exercise=A183)*(WL_e1RM=D183),WL_Date,"",0),""))</f>
        <v/>
      </c>
      <c r="F183">
        <f>IF(OR(A183="",D183=""),"",IFERROR(XLOOKUP(1,(WL_Exercise=A183)*(WL_e1RM=D183),WL_Reps,"",0),""))</f>
        <v/>
      </c>
      <c r="G183" s="8">
        <f>IF(OR(A183="",D183=""),"",IFERROR(XLOOKUP(1,(WL_Exercise=A183)*(WL_e1RM=D183),WL_Weight,"",0),""))</f>
        <v/>
      </c>
    </row>
    <row r="184">
      <c r="A184">
        <f>'Exercise Library'!A184</f>
        <v/>
      </c>
      <c r="B184" s="8">
        <f>IF(A184="","",IFERROR(MAXIFS(WL_Weight,WL_Exercise,A184),""))</f>
        <v/>
      </c>
      <c r="C184" s="7">
        <f>IF(OR(A184="",B184=""),"",IFERROR(XLOOKUP(1,(WL_Exercise=A184)*(WL_Weight=B184),WL_Date,"",0),""))</f>
        <v/>
      </c>
      <c r="D184" s="8">
        <f>IF(A184="","",IFERROR(MAXIFS(WL_e1RM,WL_Exercise,A184),""))</f>
        <v/>
      </c>
      <c r="E184" s="7">
        <f>IF(OR(A184="",D184=""),"",IFERROR(XLOOKUP(1,(WL_Exercise=A184)*(WL_e1RM=D184),WL_Date,"",0),""))</f>
        <v/>
      </c>
      <c r="F184">
        <f>IF(OR(A184="",D184=""),"",IFERROR(XLOOKUP(1,(WL_Exercise=A184)*(WL_e1RM=D184),WL_Reps,"",0),""))</f>
        <v/>
      </c>
      <c r="G184" s="8">
        <f>IF(OR(A184="",D184=""),"",IFERROR(XLOOKUP(1,(WL_Exercise=A184)*(WL_e1RM=D184),WL_Weight,"",0),""))</f>
        <v/>
      </c>
    </row>
    <row r="185">
      <c r="A185">
        <f>'Exercise Library'!A185</f>
        <v/>
      </c>
      <c r="B185" s="8">
        <f>IF(A185="","",IFERROR(MAXIFS(WL_Weight,WL_Exercise,A185),""))</f>
        <v/>
      </c>
      <c r="C185" s="7">
        <f>IF(OR(A185="",B185=""),"",IFERROR(XLOOKUP(1,(WL_Exercise=A185)*(WL_Weight=B185),WL_Date,"",0),""))</f>
        <v/>
      </c>
      <c r="D185" s="8">
        <f>IF(A185="","",IFERROR(MAXIFS(WL_e1RM,WL_Exercise,A185),""))</f>
        <v/>
      </c>
      <c r="E185" s="7">
        <f>IF(OR(A185="",D185=""),"",IFERROR(XLOOKUP(1,(WL_Exercise=A185)*(WL_e1RM=D185),WL_Date,"",0),""))</f>
        <v/>
      </c>
      <c r="F185">
        <f>IF(OR(A185="",D185=""),"",IFERROR(XLOOKUP(1,(WL_Exercise=A185)*(WL_e1RM=D185),WL_Reps,"",0),""))</f>
        <v/>
      </c>
      <c r="G185" s="8">
        <f>IF(OR(A185="",D185=""),"",IFERROR(XLOOKUP(1,(WL_Exercise=A185)*(WL_e1RM=D185),WL_Weight,"",0),""))</f>
        <v/>
      </c>
    </row>
    <row r="186">
      <c r="A186">
        <f>'Exercise Library'!A186</f>
        <v/>
      </c>
      <c r="B186" s="8">
        <f>IF(A186="","",IFERROR(MAXIFS(WL_Weight,WL_Exercise,A186),""))</f>
        <v/>
      </c>
      <c r="C186" s="7">
        <f>IF(OR(A186="",B186=""),"",IFERROR(XLOOKUP(1,(WL_Exercise=A186)*(WL_Weight=B186),WL_Date,"",0),""))</f>
        <v/>
      </c>
      <c r="D186" s="8">
        <f>IF(A186="","",IFERROR(MAXIFS(WL_e1RM,WL_Exercise,A186),""))</f>
        <v/>
      </c>
      <c r="E186" s="7">
        <f>IF(OR(A186="",D186=""),"",IFERROR(XLOOKUP(1,(WL_Exercise=A186)*(WL_e1RM=D186),WL_Date,"",0),""))</f>
        <v/>
      </c>
      <c r="F186">
        <f>IF(OR(A186="",D186=""),"",IFERROR(XLOOKUP(1,(WL_Exercise=A186)*(WL_e1RM=D186),WL_Reps,"",0),""))</f>
        <v/>
      </c>
      <c r="G186" s="8">
        <f>IF(OR(A186="",D186=""),"",IFERROR(XLOOKUP(1,(WL_Exercise=A186)*(WL_e1RM=D186),WL_Weight,"",0),""))</f>
        <v/>
      </c>
    </row>
    <row r="187">
      <c r="A187">
        <f>'Exercise Library'!A187</f>
        <v/>
      </c>
      <c r="B187" s="8">
        <f>IF(A187="","",IFERROR(MAXIFS(WL_Weight,WL_Exercise,A187),""))</f>
        <v/>
      </c>
      <c r="C187" s="7">
        <f>IF(OR(A187="",B187=""),"",IFERROR(XLOOKUP(1,(WL_Exercise=A187)*(WL_Weight=B187),WL_Date,"",0),""))</f>
        <v/>
      </c>
      <c r="D187" s="8">
        <f>IF(A187="","",IFERROR(MAXIFS(WL_e1RM,WL_Exercise,A187),""))</f>
        <v/>
      </c>
      <c r="E187" s="7">
        <f>IF(OR(A187="",D187=""),"",IFERROR(XLOOKUP(1,(WL_Exercise=A187)*(WL_e1RM=D187),WL_Date,"",0),""))</f>
        <v/>
      </c>
      <c r="F187">
        <f>IF(OR(A187="",D187=""),"",IFERROR(XLOOKUP(1,(WL_Exercise=A187)*(WL_e1RM=D187),WL_Reps,"",0),""))</f>
        <v/>
      </c>
      <c r="G187" s="8">
        <f>IF(OR(A187="",D187=""),"",IFERROR(XLOOKUP(1,(WL_Exercise=A187)*(WL_e1RM=D187),WL_Weight,"",0),""))</f>
        <v/>
      </c>
    </row>
    <row r="188">
      <c r="A188">
        <f>'Exercise Library'!A188</f>
        <v/>
      </c>
      <c r="B188" s="8">
        <f>IF(A188="","",IFERROR(MAXIFS(WL_Weight,WL_Exercise,A188),""))</f>
        <v/>
      </c>
      <c r="C188" s="7">
        <f>IF(OR(A188="",B188=""),"",IFERROR(XLOOKUP(1,(WL_Exercise=A188)*(WL_Weight=B188),WL_Date,"",0),""))</f>
        <v/>
      </c>
      <c r="D188" s="8">
        <f>IF(A188="","",IFERROR(MAXIFS(WL_e1RM,WL_Exercise,A188),""))</f>
        <v/>
      </c>
      <c r="E188" s="7">
        <f>IF(OR(A188="",D188=""),"",IFERROR(XLOOKUP(1,(WL_Exercise=A188)*(WL_e1RM=D188),WL_Date,"",0),""))</f>
        <v/>
      </c>
      <c r="F188">
        <f>IF(OR(A188="",D188=""),"",IFERROR(XLOOKUP(1,(WL_Exercise=A188)*(WL_e1RM=D188),WL_Reps,"",0),""))</f>
        <v/>
      </c>
      <c r="G188" s="8">
        <f>IF(OR(A188="",D188=""),"",IFERROR(XLOOKUP(1,(WL_Exercise=A188)*(WL_e1RM=D188),WL_Weight,"",0),""))</f>
        <v/>
      </c>
    </row>
    <row r="189">
      <c r="A189">
        <f>'Exercise Library'!A189</f>
        <v/>
      </c>
      <c r="B189" s="8">
        <f>IF(A189="","",IFERROR(MAXIFS(WL_Weight,WL_Exercise,A189),""))</f>
        <v/>
      </c>
      <c r="C189" s="7">
        <f>IF(OR(A189="",B189=""),"",IFERROR(XLOOKUP(1,(WL_Exercise=A189)*(WL_Weight=B189),WL_Date,"",0),""))</f>
        <v/>
      </c>
      <c r="D189" s="8">
        <f>IF(A189="","",IFERROR(MAXIFS(WL_e1RM,WL_Exercise,A189),""))</f>
        <v/>
      </c>
      <c r="E189" s="7">
        <f>IF(OR(A189="",D189=""),"",IFERROR(XLOOKUP(1,(WL_Exercise=A189)*(WL_e1RM=D189),WL_Date,"",0),""))</f>
        <v/>
      </c>
      <c r="F189">
        <f>IF(OR(A189="",D189=""),"",IFERROR(XLOOKUP(1,(WL_Exercise=A189)*(WL_e1RM=D189),WL_Reps,"",0),""))</f>
        <v/>
      </c>
      <c r="G189" s="8">
        <f>IF(OR(A189="",D189=""),"",IFERROR(XLOOKUP(1,(WL_Exercise=A189)*(WL_e1RM=D189),WL_Weight,"",0),""))</f>
        <v/>
      </c>
    </row>
    <row r="190">
      <c r="A190">
        <f>'Exercise Library'!A190</f>
        <v/>
      </c>
      <c r="B190" s="8">
        <f>IF(A190="","",IFERROR(MAXIFS(WL_Weight,WL_Exercise,A190),""))</f>
        <v/>
      </c>
      <c r="C190" s="7">
        <f>IF(OR(A190="",B190=""),"",IFERROR(XLOOKUP(1,(WL_Exercise=A190)*(WL_Weight=B190),WL_Date,"",0),""))</f>
        <v/>
      </c>
      <c r="D190" s="8">
        <f>IF(A190="","",IFERROR(MAXIFS(WL_e1RM,WL_Exercise,A190),""))</f>
        <v/>
      </c>
      <c r="E190" s="7">
        <f>IF(OR(A190="",D190=""),"",IFERROR(XLOOKUP(1,(WL_Exercise=A190)*(WL_e1RM=D190),WL_Date,"",0),""))</f>
        <v/>
      </c>
      <c r="F190">
        <f>IF(OR(A190="",D190=""),"",IFERROR(XLOOKUP(1,(WL_Exercise=A190)*(WL_e1RM=D190),WL_Reps,"",0),""))</f>
        <v/>
      </c>
      <c r="G190" s="8">
        <f>IF(OR(A190="",D190=""),"",IFERROR(XLOOKUP(1,(WL_Exercise=A190)*(WL_e1RM=D190),WL_Weight,"",0),""))</f>
        <v/>
      </c>
    </row>
    <row r="191">
      <c r="A191">
        <f>'Exercise Library'!A191</f>
        <v/>
      </c>
      <c r="B191" s="8">
        <f>IF(A191="","",IFERROR(MAXIFS(WL_Weight,WL_Exercise,A191),""))</f>
        <v/>
      </c>
      <c r="C191" s="7">
        <f>IF(OR(A191="",B191=""),"",IFERROR(XLOOKUP(1,(WL_Exercise=A191)*(WL_Weight=B191),WL_Date,"",0),""))</f>
        <v/>
      </c>
      <c r="D191" s="8">
        <f>IF(A191="","",IFERROR(MAXIFS(WL_e1RM,WL_Exercise,A191),""))</f>
        <v/>
      </c>
      <c r="E191" s="7">
        <f>IF(OR(A191="",D191=""),"",IFERROR(XLOOKUP(1,(WL_Exercise=A191)*(WL_e1RM=D191),WL_Date,"",0),""))</f>
        <v/>
      </c>
      <c r="F191">
        <f>IF(OR(A191="",D191=""),"",IFERROR(XLOOKUP(1,(WL_Exercise=A191)*(WL_e1RM=D191),WL_Reps,"",0),""))</f>
        <v/>
      </c>
      <c r="G191" s="8">
        <f>IF(OR(A191="",D191=""),"",IFERROR(XLOOKUP(1,(WL_Exercise=A191)*(WL_e1RM=D191),WL_Weight,"",0),""))</f>
        <v/>
      </c>
    </row>
    <row r="192">
      <c r="A192">
        <f>'Exercise Library'!A192</f>
        <v/>
      </c>
      <c r="B192" s="8">
        <f>IF(A192="","",IFERROR(MAXIFS(WL_Weight,WL_Exercise,A192),""))</f>
        <v/>
      </c>
      <c r="C192" s="7">
        <f>IF(OR(A192="",B192=""),"",IFERROR(XLOOKUP(1,(WL_Exercise=A192)*(WL_Weight=B192),WL_Date,"",0),""))</f>
        <v/>
      </c>
      <c r="D192" s="8">
        <f>IF(A192="","",IFERROR(MAXIFS(WL_e1RM,WL_Exercise,A192),""))</f>
        <v/>
      </c>
      <c r="E192" s="7">
        <f>IF(OR(A192="",D192=""),"",IFERROR(XLOOKUP(1,(WL_Exercise=A192)*(WL_e1RM=D192),WL_Date,"",0),""))</f>
        <v/>
      </c>
      <c r="F192">
        <f>IF(OR(A192="",D192=""),"",IFERROR(XLOOKUP(1,(WL_Exercise=A192)*(WL_e1RM=D192),WL_Reps,"",0),""))</f>
        <v/>
      </c>
      <c r="G192" s="8">
        <f>IF(OR(A192="",D192=""),"",IFERROR(XLOOKUP(1,(WL_Exercise=A192)*(WL_e1RM=D192),WL_Weight,"",0),""))</f>
        <v/>
      </c>
    </row>
    <row r="193">
      <c r="A193">
        <f>'Exercise Library'!A193</f>
        <v/>
      </c>
      <c r="B193" s="8">
        <f>IF(A193="","",IFERROR(MAXIFS(WL_Weight,WL_Exercise,A193),""))</f>
        <v/>
      </c>
      <c r="C193" s="7">
        <f>IF(OR(A193="",B193=""),"",IFERROR(XLOOKUP(1,(WL_Exercise=A193)*(WL_Weight=B193),WL_Date,"",0),""))</f>
        <v/>
      </c>
      <c r="D193" s="8">
        <f>IF(A193="","",IFERROR(MAXIFS(WL_e1RM,WL_Exercise,A193),""))</f>
        <v/>
      </c>
      <c r="E193" s="7">
        <f>IF(OR(A193="",D193=""),"",IFERROR(XLOOKUP(1,(WL_Exercise=A193)*(WL_e1RM=D193),WL_Date,"",0),""))</f>
        <v/>
      </c>
      <c r="F193">
        <f>IF(OR(A193="",D193=""),"",IFERROR(XLOOKUP(1,(WL_Exercise=A193)*(WL_e1RM=D193),WL_Reps,"",0),""))</f>
        <v/>
      </c>
      <c r="G193" s="8">
        <f>IF(OR(A193="",D193=""),"",IFERROR(XLOOKUP(1,(WL_Exercise=A193)*(WL_e1RM=D193),WL_Weight,"",0),""))</f>
        <v/>
      </c>
    </row>
    <row r="194">
      <c r="A194">
        <f>'Exercise Library'!A194</f>
        <v/>
      </c>
      <c r="B194" s="8">
        <f>IF(A194="","",IFERROR(MAXIFS(WL_Weight,WL_Exercise,A194),""))</f>
        <v/>
      </c>
      <c r="C194" s="7">
        <f>IF(OR(A194="",B194=""),"",IFERROR(XLOOKUP(1,(WL_Exercise=A194)*(WL_Weight=B194),WL_Date,"",0),""))</f>
        <v/>
      </c>
      <c r="D194" s="8">
        <f>IF(A194="","",IFERROR(MAXIFS(WL_e1RM,WL_Exercise,A194),""))</f>
        <v/>
      </c>
      <c r="E194" s="7">
        <f>IF(OR(A194="",D194=""),"",IFERROR(XLOOKUP(1,(WL_Exercise=A194)*(WL_e1RM=D194),WL_Date,"",0),""))</f>
        <v/>
      </c>
      <c r="F194">
        <f>IF(OR(A194="",D194=""),"",IFERROR(XLOOKUP(1,(WL_Exercise=A194)*(WL_e1RM=D194),WL_Reps,"",0),""))</f>
        <v/>
      </c>
      <c r="G194" s="8">
        <f>IF(OR(A194="",D194=""),"",IFERROR(XLOOKUP(1,(WL_Exercise=A194)*(WL_e1RM=D194),WL_Weight,"",0),""))</f>
        <v/>
      </c>
    </row>
    <row r="195">
      <c r="A195">
        <f>'Exercise Library'!A195</f>
        <v/>
      </c>
      <c r="B195" s="8">
        <f>IF(A195="","",IFERROR(MAXIFS(WL_Weight,WL_Exercise,A195),""))</f>
        <v/>
      </c>
      <c r="C195" s="7">
        <f>IF(OR(A195="",B195=""),"",IFERROR(XLOOKUP(1,(WL_Exercise=A195)*(WL_Weight=B195),WL_Date,"",0),""))</f>
        <v/>
      </c>
      <c r="D195" s="8">
        <f>IF(A195="","",IFERROR(MAXIFS(WL_e1RM,WL_Exercise,A195),""))</f>
        <v/>
      </c>
      <c r="E195" s="7">
        <f>IF(OR(A195="",D195=""),"",IFERROR(XLOOKUP(1,(WL_Exercise=A195)*(WL_e1RM=D195),WL_Date,"",0),""))</f>
        <v/>
      </c>
      <c r="F195">
        <f>IF(OR(A195="",D195=""),"",IFERROR(XLOOKUP(1,(WL_Exercise=A195)*(WL_e1RM=D195),WL_Reps,"",0),""))</f>
        <v/>
      </c>
      <c r="G195" s="8">
        <f>IF(OR(A195="",D195=""),"",IFERROR(XLOOKUP(1,(WL_Exercise=A195)*(WL_e1RM=D195),WL_Weight,"",0),""))</f>
        <v/>
      </c>
    </row>
    <row r="196">
      <c r="A196">
        <f>'Exercise Library'!A196</f>
        <v/>
      </c>
      <c r="B196" s="8">
        <f>IF(A196="","",IFERROR(MAXIFS(WL_Weight,WL_Exercise,A196),""))</f>
        <v/>
      </c>
      <c r="C196" s="7">
        <f>IF(OR(A196="",B196=""),"",IFERROR(XLOOKUP(1,(WL_Exercise=A196)*(WL_Weight=B196),WL_Date,"",0),""))</f>
        <v/>
      </c>
      <c r="D196" s="8">
        <f>IF(A196="","",IFERROR(MAXIFS(WL_e1RM,WL_Exercise,A196),""))</f>
        <v/>
      </c>
      <c r="E196" s="7">
        <f>IF(OR(A196="",D196=""),"",IFERROR(XLOOKUP(1,(WL_Exercise=A196)*(WL_e1RM=D196),WL_Date,"",0),""))</f>
        <v/>
      </c>
      <c r="F196">
        <f>IF(OR(A196="",D196=""),"",IFERROR(XLOOKUP(1,(WL_Exercise=A196)*(WL_e1RM=D196),WL_Reps,"",0),""))</f>
        <v/>
      </c>
      <c r="G196" s="8">
        <f>IF(OR(A196="",D196=""),"",IFERROR(XLOOKUP(1,(WL_Exercise=A196)*(WL_e1RM=D196),WL_Weight,"",0),""))</f>
        <v/>
      </c>
    </row>
    <row r="197">
      <c r="A197">
        <f>'Exercise Library'!A197</f>
        <v/>
      </c>
      <c r="B197" s="8">
        <f>IF(A197="","",IFERROR(MAXIFS(WL_Weight,WL_Exercise,A197),""))</f>
        <v/>
      </c>
      <c r="C197" s="7">
        <f>IF(OR(A197="",B197=""),"",IFERROR(XLOOKUP(1,(WL_Exercise=A197)*(WL_Weight=B197),WL_Date,"",0),""))</f>
        <v/>
      </c>
      <c r="D197" s="8">
        <f>IF(A197="","",IFERROR(MAXIFS(WL_e1RM,WL_Exercise,A197),""))</f>
        <v/>
      </c>
      <c r="E197" s="7">
        <f>IF(OR(A197="",D197=""),"",IFERROR(XLOOKUP(1,(WL_Exercise=A197)*(WL_e1RM=D197),WL_Date,"",0),""))</f>
        <v/>
      </c>
      <c r="F197">
        <f>IF(OR(A197="",D197=""),"",IFERROR(XLOOKUP(1,(WL_Exercise=A197)*(WL_e1RM=D197),WL_Reps,"",0),""))</f>
        <v/>
      </c>
      <c r="G197" s="8">
        <f>IF(OR(A197="",D197=""),"",IFERROR(XLOOKUP(1,(WL_Exercise=A197)*(WL_e1RM=D197),WL_Weight,"",0),""))</f>
        <v/>
      </c>
    </row>
    <row r="198">
      <c r="A198">
        <f>'Exercise Library'!A198</f>
        <v/>
      </c>
      <c r="B198" s="8">
        <f>IF(A198="","",IFERROR(MAXIFS(WL_Weight,WL_Exercise,A198),""))</f>
        <v/>
      </c>
      <c r="C198" s="7">
        <f>IF(OR(A198="",B198=""),"",IFERROR(XLOOKUP(1,(WL_Exercise=A198)*(WL_Weight=B198),WL_Date,"",0),""))</f>
        <v/>
      </c>
      <c r="D198" s="8">
        <f>IF(A198="","",IFERROR(MAXIFS(WL_e1RM,WL_Exercise,A198),""))</f>
        <v/>
      </c>
      <c r="E198" s="7">
        <f>IF(OR(A198="",D198=""),"",IFERROR(XLOOKUP(1,(WL_Exercise=A198)*(WL_e1RM=D198),WL_Date,"",0),""))</f>
        <v/>
      </c>
      <c r="F198">
        <f>IF(OR(A198="",D198=""),"",IFERROR(XLOOKUP(1,(WL_Exercise=A198)*(WL_e1RM=D198),WL_Reps,"",0),""))</f>
        <v/>
      </c>
      <c r="G198" s="8">
        <f>IF(OR(A198="",D198=""),"",IFERROR(XLOOKUP(1,(WL_Exercise=A198)*(WL_e1RM=D198),WL_Weight,"",0),""))</f>
        <v/>
      </c>
    </row>
    <row r="199">
      <c r="A199">
        <f>'Exercise Library'!A199</f>
        <v/>
      </c>
      <c r="B199" s="8">
        <f>IF(A199="","",IFERROR(MAXIFS(WL_Weight,WL_Exercise,A199),""))</f>
        <v/>
      </c>
      <c r="C199" s="7">
        <f>IF(OR(A199="",B199=""),"",IFERROR(XLOOKUP(1,(WL_Exercise=A199)*(WL_Weight=B199),WL_Date,"",0),""))</f>
        <v/>
      </c>
      <c r="D199" s="8">
        <f>IF(A199="","",IFERROR(MAXIFS(WL_e1RM,WL_Exercise,A199),""))</f>
        <v/>
      </c>
      <c r="E199" s="7">
        <f>IF(OR(A199="",D199=""),"",IFERROR(XLOOKUP(1,(WL_Exercise=A199)*(WL_e1RM=D199),WL_Date,"",0),""))</f>
        <v/>
      </c>
      <c r="F199">
        <f>IF(OR(A199="",D199=""),"",IFERROR(XLOOKUP(1,(WL_Exercise=A199)*(WL_e1RM=D199),WL_Reps,"",0),""))</f>
        <v/>
      </c>
      <c r="G199" s="8">
        <f>IF(OR(A199="",D199=""),"",IFERROR(XLOOKUP(1,(WL_Exercise=A199)*(WL_e1RM=D199),WL_Weight,"",0),""))</f>
        <v/>
      </c>
    </row>
    <row r="200">
      <c r="A200">
        <f>'Exercise Library'!A200</f>
        <v/>
      </c>
      <c r="B200" s="8">
        <f>IF(A200="","",IFERROR(MAXIFS(WL_Weight,WL_Exercise,A200),""))</f>
        <v/>
      </c>
      <c r="C200" s="7">
        <f>IF(OR(A200="",B200=""),"",IFERROR(XLOOKUP(1,(WL_Exercise=A200)*(WL_Weight=B200),WL_Date,"",0),""))</f>
        <v/>
      </c>
      <c r="D200" s="8">
        <f>IF(A200="","",IFERROR(MAXIFS(WL_e1RM,WL_Exercise,A200),""))</f>
        <v/>
      </c>
      <c r="E200" s="7">
        <f>IF(OR(A200="",D200=""),"",IFERROR(XLOOKUP(1,(WL_Exercise=A200)*(WL_e1RM=D200),WL_Date,"",0),""))</f>
        <v/>
      </c>
      <c r="F200">
        <f>IF(OR(A200="",D200=""),"",IFERROR(XLOOKUP(1,(WL_Exercise=A200)*(WL_e1RM=D200),WL_Reps,"",0),""))</f>
        <v/>
      </c>
      <c r="G200" s="8">
        <f>IF(OR(A200="",D200=""),"",IFERROR(XLOOKUP(1,(WL_Exercise=A200)*(WL_e1RM=D200),WL_Weight,"",0),""))</f>
        <v/>
      </c>
    </row>
    <row r="201">
      <c r="A201">
        <f>'Exercise Library'!A201</f>
        <v/>
      </c>
      <c r="B201" s="8">
        <f>IF(A201="","",IFERROR(MAXIFS(WL_Weight,WL_Exercise,A201),""))</f>
        <v/>
      </c>
      <c r="C201" s="7">
        <f>IF(OR(A201="",B201=""),"",IFERROR(XLOOKUP(1,(WL_Exercise=A201)*(WL_Weight=B201),WL_Date,"",0),""))</f>
        <v/>
      </c>
      <c r="D201" s="8">
        <f>IF(A201="","",IFERROR(MAXIFS(WL_e1RM,WL_Exercise,A201),""))</f>
        <v/>
      </c>
      <c r="E201" s="7">
        <f>IF(OR(A201="",D201=""),"",IFERROR(XLOOKUP(1,(WL_Exercise=A201)*(WL_e1RM=D201),WL_Date,"",0),""))</f>
        <v/>
      </c>
      <c r="F201">
        <f>IF(OR(A201="",D201=""),"",IFERROR(XLOOKUP(1,(WL_Exercise=A201)*(WL_e1RM=D201),WL_Reps,"",0),""))</f>
        <v/>
      </c>
      <c r="G201" s="8">
        <f>IF(OR(A201="",D201=""),"",IFERROR(XLOOKUP(1,(WL_Exercise=A201)*(WL_e1RM=D201),WL_Weight,"",0),""))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12" customWidth="1" min="7" max="7"/>
    <col width="30" customWidth="1" min="8" max="8"/>
  </cols>
  <sheetData>
    <row r="1">
      <c r="A1" s="2" t="inlineStr">
        <is>
          <t>Date</t>
        </is>
      </c>
      <c r="B1" s="2" t="inlineStr">
        <is>
          <t>Waist</t>
        </is>
      </c>
      <c r="C1" s="2" t="inlineStr">
        <is>
          <t>Chest</t>
        </is>
      </c>
      <c r="D1" s="2" t="inlineStr">
        <is>
          <t>Arms</t>
        </is>
      </c>
      <c r="E1" s="2" t="inlineStr">
        <is>
          <t>Thighs</t>
        </is>
      </c>
      <c r="F1" s="2" t="inlineStr">
        <is>
          <t>Hips</t>
        </is>
      </c>
      <c r="G1" s="2" t="inlineStr">
        <is>
          <t>Body Fat %</t>
        </is>
      </c>
      <c r="H1" s="2" t="inlineStr">
        <is>
          <t>Notes</t>
        </is>
      </c>
    </row>
    <row r="2">
      <c r="A2" s="7" t="n"/>
      <c r="G2" s="12" t="n"/>
    </row>
    <row r="3">
      <c r="A3" s="7" t="n"/>
      <c r="G3" s="12" t="n"/>
    </row>
    <row r="4">
      <c r="A4" s="7" t="n"/>
      <c r="G4" s="12" t="n"/>
    </row>
    <row r="5">
      <c r="A5" s="7" t="n"/>
      <c r="G5" s="12" t="n"/>
    </row>
    <row r="6">
      <c r="A6" s="7" t="n"/>
      <c r="G6" s="12" t="n"/>
    </row>
    <row r="7">
      <c r="A7" s="7" t="n"/>
      <c r="G7" s="12" t="n"/>
    </row>
    <row r="8">
      <c r="A8" s="7" t="n"/>
      <c r="G8" s="12" t="n"/>
    </row>
    <row r="9">
      <c r="A9" s="7" t="n"/>
      <c r="G9" s="12" t="n"/>
    </row>
    <row r="10">
      <c r="A10" s="7" t="n"/>
      <c r="G10" s="12" t="n"/>
    </row>
    <row r="11">
      <c r="A11" s="7" t="n"/>
      <c r="G11" s="12" t="n"/>
    </row>
    <row r="12">
      <c r="A12" s="7" t="n"/>
      <c r="G12" s="12" t="n"/>
    </row>
    <row r="13">
      <c r="A13" s="7" t="n"/>
      <c r="G13" s="12" t="n"/>
    </row>
    <row r="14">
      <c r="A14" s="7" t="n"/>
      <c r="G14" s="12" t="n"/>
    </row>
    <row r="15">
      <c r="A15" s="7" t="n"/>
      <c r="G15" s="12" t="n"/>
    </row>
    <row r="16">
      <c r="A16" s="7" t="n"/>
      <c r="G16" s="12" t="n"/>
    </row>
    <row r="17">
      <c r="A17" s="7" t="n"/>
      <c r="G17" s="12" t="n"/>
    </row>
    <row r="18">
      <c r="A18" s="7" t="n"/>
      <c r="G18" s="12" t="n"/>
    </row>
    <row r="19">
      <c r="A19" s="7" t="n"/>
      <c r="G19" s="12" t="n"/>
    </row>
    <row r="20">
      <c r="A20" s="7" t="n"/>
      <c r="G20" s="12" t="n"/>
    </row>
    <row r="21">
      <c r="A21" s="7" t="n"/>
      <c r="G21" s="12" t="n"/>
    </row>
    <row r="22">
      <c r="A22" s="7" t="n"/>
      <c r="G22" s="12" t="n"/>
    </row>
    <row r="23">
      <c r="A23" s="7" t="n"/>
      <c r="G23" s="12" t="n"/>
    </row>
    <row r="24">
      <c r="A24" s="7" t="n"/>
      <c r="G24" s="12" t="n"/>
    </row>
    <row r="25">
      <c r="A25" s="7" t="n"/>
      <c r="G25" s="12" t="n"/>
    </row>
    <row r="26">
      <c r="A26" s="7" t="n"/>
      <c r="G26" s="12" t="n"/>
    </row>
    <row r="27">
      <c r="A27" s="7" t="n"/>
      <c r="G27" s="12" t="n"/>
    </row>
    <row r="28">
      <c r="A28" s="7" t="n"/>
      <c r="G28" s="12" t="n"/>
    </row>
    <row r="29">
      <c r="A29" s="7" t="n"/>
      <c r="G29" s="12" t="n"/>
    </row>
    <row r="30">
      <c r="A30" s="7" t="n"/>
      <c r="G30" s="12" t="n"/>
    </row>
    <row r="31">
      <c r="A31" s="7" t="n"/>
      <c r="G31" s="12" t="n"/>
    </row>
    <row r="32">
      <c r="A32" s="7" t="n"/>
      <c r="G32" s="12" t="n"/>
    </row>
    <row r="33">
      <c r="A33" s="7" t="n"/>
      <c r="G33" s="12" t="n"/>
    </row>
    <row r="34">
      <c r="A34" s="7" t="n"/>
      <c r="G34" s="12" t="n"/>
    </row>
    <row r="35">
      <c r="A35" s="7" t="n"/>
      <c r="G35" s="12" t="n"/>
    </row>
    <row r="36">
      <c r="A36" s="7" t="n"/>
      <c r="G36" s="12" t="n"/>
    </row>
    <row r="37">
      <c r="A37" s="7" t="n"/>
      <c r="G37" s="12" t="n"/>
    </row>
    <row r="38">
      <c r="A38" s="7" t="n"/>
      <c r="G38" s="12" t="n"/>
    </row>
    <row r="39">
      <c r="A39" s="7" t="n"/>
      <c r="G39" s="12" t="n"/>
    </row>
    <row r="40">
      <c r="A40" s="7" t="n"/>
      <c r="G40" s="12" t="n"/>
    </row>
    <row r="41">
      <c r="A41" s="7" t="n"/>
      <c r="G41" s="12" t="n"/>
    </row>
    <row r="42">
      <c r="A42" s="7" t="n"/>
      <c r="G42" s="12" t="n"/>
    </row>
    <row r="43">
      <c r="A43" s="7" t="n"/>
      <c r="G43" s="12" t="n"/>
    </row>
    <row r="44">
      <c r="A44" s="7" t="n"/>
      <c r="G44" s="12" t="n"/>
    </row>
    <row r="45">
      <c r="A45" s="7" t="n"/>
      <c r="G45" s="12" t="n"/>
    </row>
    <row r="46">
      <c r="A46" s="7" t="n"/>
      <c r="G46" s="12" t="n"/>
    </row>
    <row r="47">
      <c r="A47" s="7" t="n"/>
      <c r="G47" s="12" t="n"/>
    </row>
    <row r="48">
      <c r="A48" s="7" t="n"/>
      <c r="G48" s="12" t="n"/>
    </row>
    <row r="49">
      <c r="A49" s="7" t="n"/>
      <c r="G49" s="12" t="n"/>
    </row>
    <row r="50">
      <c r="A50" s="7" t="n"/>
      <c r="G50" s="12" t="n"/>
    </row>
    <row r="51">
      <c r="A51" s="7" t="n"/>
      <c r="G51" s="12" t="n"/>
    </row>
    <row r="52">
      <c r="A52" s="7" t="n"/>
      <c r="G52" s="12" t="n"/>
    </row>
    <row r="53">
      <c r="A53" s="7" t="n"/>
      <c r="G53" s="12" t="n"/>
    </row>
    <row r="54">
      <c r="A54" s="7" t="n"/>
      <c r="G54" s="12" t="n"/>
    </row>
    <row r="55">
      <c r="A55" s="7" t="n"/>
      <c r="G55" s="12" t="n"/>
    </row>
    <row r="56">
      <c r="A56" s="7" t="n"/>
      <c r="G56" s="12" t="n"/>
    </row>
    <row r="57">
      <c r="A57" s="7" t="n"/>
      <c r="G57" s="12" t="n"/>
    </row>
    <row r="58">
      <c r="A58" s="7" t="n"/>
      <c r="G58" s="12" t="n"/>
    </row>
    <row r="59">
      <c r="A59" s="7" t="n"/>
      <c r="G59" s="12" t="n"/>
    </row>
    <row r="60">
      <c r="A60" s="7" t="n"/>
      <c r="G60" s="12" t="n"/>
    </row>
    <row r="61">
      <c r="A61" s="7" t="n"/>
      <c r="G61" s="12" t="n"/>
    </row>
    <row r="62">
      <c r="A62" s="7" t="n"/>
      <c r="G62" s="12" t="n"/>
    </row>
    <row r="63">
      <c r="A63" s="7" t="n"/>
      <c r="G63" s="12" t="n"/>
    </row>
    <row r="64">
      <c r="A64" s="7" t="n"/>
      <c r="G64" s="12" t="n"/>
    </row>
    <row r="65">
      <c r="A65" s="7" t="n"/>
      <c r="G65" s="12" t="n"/>
    </row>
    <row r="66">
      <c r="A66" s="7" t="n"/>
      <c r="G66" s="12" t="n"/>
    </row>
    <row r="67">
      <c r="A67" s="7" t="n"/>
      <c r="G67" s="12" t="n"/>
    </row>
    <row r="68">
      <c r="A68" s="7" t="n"/>
      <c r="G68" s="12" t="n"/>
    </row>
    <row r="69">
      <c r="A69" s="7" t="n"/>
      <c r="G69" s="12" t="n"/>
    </row>
    <row r="70">
      <c r="A70" s="7" t="n"/>
      <c r="G70" s="12" t="n"/>
    </row>
    <row r="71">
      <c r="A71" s="7" t="n"/>
      <c r="G71" s="12" t="n"/>
    </row>
    <row r="72">
      <c r="A72" s="7" t="n"/>
      <c r="G72" s="12" t="n"/>
    </row>
    <row r="73">
      <c r="A73" s="7" t="n"/>
      <c r="G73" s="12" t="n"/>
    </row>
    <row r="74">
      <c r="A74" s="7" t="n"/>
      <c r="G74" s="12" t="n"/>
    </row>
    <row r="75">
      <c r="A75" s="7" t="n"/>
      <c r="G75" s="12" t="n"/>
    </row>
    <row r="76">
      <c r="A76" s="7" t="n"/>
      <c r="G76" s="12" t="n"/>
    </row>
    <row r="77">
      <c r="A77" s="7" t="n"/>
      <c r="G77" s="12" t="n"/>
    </row>
    <row r="78">
      <c r="A78" s="7" t="n"/>
      <c r="G78" s="12" t="n"/>
    </row>
    <row r="79">
      <c r="A79" s="7" t="n"/>
      <c r="G79" s="12" t="n"/>
    </row>
    <row r="80">
      <c r="A80" s="7" t="n"/>
      <c r="G80" s="12" t="n"/>
    </row>
    <row r="81">
      <c r="A81" s="7" t="n"/>
      <c r="G81" s="12" t="n"/>
    </row>
    <row r="82">
      <c r="A82" s="7" t="n"/>
      <c r="G82" s="12" t="n"/>
    </row>
    <row r="83">
      <c r="A83" s="7" t="n"/>
      <c r="G83" s="12" t="n"/>
    </row>
    <row r="84">
      <c r="A84" s="7" t="n"/>
      <c r="G84" s="12" t="n"/>
    </row>
    <row r="85">
      <c r="A85" s="7" t="n"/>
      <c r="G85" s="12" t="n"/>
    </row>
    <row r="86">
      <c r="A86" s="7" t="n"/>
      <c r="G86" s="12" t="n"/>
    </row>
    <row r="87">
      <c r="A87" s="7" t="n"/>
      <c r="G87" s="12" t="n"/>
    </row>
    <row r="88">
      <c r="A88" s="7" t="n"/>
      <c r="G88" s="12" t="n"/>
    </row>
    <row r="89">
      <c r="A89" s="7" t="n"/>
      <c r="G89" s="12" t="n"/>
    </row>
    <row r="90">
      <c r="A90" s="7" t="n"/>
      <c r="G90" s="12" t="n"/>
    </row>
    <row r="91">
      <c r="A91" s="7" t="n"/>
      <c r="G91" s="12" t="n"/>
    </row>
    <row r="92">
      <c r="A92" s="7" t="n"/>
      <c r="G92" s="12" t="n"/>
    </row>
    <row r="93">
      <c r="A93" s="7" t="n"/>
      <c r="G93" s="12" t="n"/>
    </row>
    <row r="94">
      <c r="A94" s="7" t="n"/>
      <c r="G94" s="12" t="n"/>
    </row>
    <row r="95">
      <c r="A95" s="7" t="n"/>
      <c r="G95" s="12" t="n"/>
    </row>
    <row r="96">
      <c r="A96" s="7" t="n"/>
      <c r="G96" s="12" t="n"/>
    </row>
    <row r="97">
      <c r="A97" s="7" t="n"/>
      <c r="G97" s="12" t="n"/>
    </row>
    <row r="98">
      <c r="A98" s="7" t="n"/>
      <c r="G98" s="12" t="n"/>
    </row>
    <row r="99">
      <c r="A99" s="7" t="n"/>
      <c r="G99" s="12" t="n"/>
    </row>
    <row r="100">
      <c r="A100" s="7" t="n"/>
      <c r="G100" s="12" t="n"/>
    </row>
    <row r="101">
      <c r="A101" s="7" t="n"/>
      <c r="G101" s="12" t="n"/>
    </row>
    <row r="102">
      <c r="A102" s="7" t="n"/>
      <c r="G102" s="12" t="n"/>
    </row>
    <row r="103">
      <c r="A103" s="7" t="n"/>
      <c r="G103" s="12" t="n"/>
    </row>
    <row r="104">
      <c r="A104" s="7" t="n"/>
      <c r="G104" s="12" t="n"/>
    </row>
    <row r="105">
      <c r="A105" s="7" t="n"/>
      <c r="G105" s="12" t="n"/>
    </row>
    <row r="106">
      <c r="A106" s="7" t="n"/>
      <c r="G106" s="12" t="n"/>
    </row>
    <row r="107">
      <c r="A107" s="7" t="n"/>
      <c r="G107" s="12" t="n"/>
    </row>
    <row r="108">
      <c r="A108" s="7" t="n"/>
      <c r="G108" s="12" t="n"/>
    </row>
    <row r="109">
      <c r="A109" s="7" t="n"/>
      <c r="G109" s="12" t="n"/>
    </row>
    <row r="110">
      <c r="A110" s="7" t="n"/>
      <c r="G110" s="12" t="n"/>
    </row>
    <row r="111">
      <c r="A111" s="7" t="n"/>
      <c r="G111" s="12" t="n"/>
    </row>
    <row r="112">
      <c r="A112" s="7" t="n"/>
      <c r="G112" s="12" t="n"/>
    </row>
    <row r="113">
      <c r="A113" s="7" t="n"/>
      <c r="G113" s="12" t="n"/>
    </row>
    <row r="114">
      <c r="A114" s="7" t="n"/>
      <c r="G114" s="12" t="n"/>
    </row>
    <row r="115">
      <c r="A115" s="7" t="n"/>
      <c r="G115" s="12" t="n"/>
    </row>
    <row r="116">
      <c r="A116" s="7" t="n"/>
      <c r="G116" s="12" t="n"/>
    </row>
    <row r="117">
      <c r="A117" s="7" t="n"/>
      <c r="G117" s="12" t="n"/>
    </row>
    <row r="118">
      <c r="A118" s="7" t="n"/>
      <c r="G118" s="12" t="n"/>
    </row>
    <row r="119">
      <c r="A119" s="7" t="n"/>
      <c r="G119" s="12" t="n"/>
    </row>
    <row r="120">
      <c r="A120" s="7" t="n"/>
      <c r="G120" s="12" t="n"/>
    </row>
    <row r="121">
      <c r="A121" s="7" t="n"/>
      <c r="G121" s="12" t="n"/>
    </row>
    <row r="122">
      <c r="A122" s="7" t="n"/>
      <c r="G122" s="12" t="n"/>
    </row>
    <row r="123">
      <c r="A123" s="7" t="n"/>
      <c r="G123" s="12" t="n"/>
    </row>
    <row r="124">
      <c r="A124" s="7" t="n"/>
      <c r="G124" s="12" t="n"/>
    </row>
    <row r="125">
      <c r="A125" s="7" t="n"/>
      <c r="G125" s="12" t="n"/>
    </row>
    <row r="126">
      <c r="A126" s="7" t="n"/>
      <c r="G126" s="12" t="n"/>
    </row>
    <row r="127">
      <c r="A127" s="7" t="n"/>
      <c r="G127" s="12" t="n"/>
    </row>
    <row r="128">
      <c r="A128" s="7" t="n"/>
      <c r="G128" s="12" t="n"/>
    </row>
    <row r="129">
      <c r="A129" s="7" t="n"/>
      <c r="G129" s="12" t="n"/>
    </row>
    <row r="130">
      <c r="A130" s="7" t="n"/>
      <c r="G130" s="12" t="n"/>
    </row>
    <row r="131">
      <c r="A131" s="7" t="n"/>
      <c r="G131" s="12" t="n"/>
    </row>
    <row r="132">
      <c r="A132" s="7" t="n"/>
      <c r="G132" s="12" t="n"/>
    </row>
    <row r="133">
      <c r="A133" s="7" t="n"/>
      <c r="G133" s="12" t="n"/>
    </row>
    <row r="134">
      <c r="A134" s="7" t="n"/>
      <c r="G134" s="12" t="n"/>
    </row>
    <row r="135">
      <c r="A135" s="7" t="n"/>
      <c r="G135" s="12" t="n"/>
    </row>
    <row r="136">
      <c r="A136" s="7" t="n"/>
      <c r="G136" s="12" t="n"/>
    </row>
    <row r="137">
      <c r="A137" s="7" t="n"/>
      <c r="G137" s="12" t="n"/>
    </row>
    <row r="138">
      <c r="A138" s="7" t="n"/>
      <c r="G138" s="12" t="n"/>
    </row>
    <row r="139">
      <c r="A139" s="7" t="n"/>
      <c r="G139" s="12" t="n"/>
    </row>
    <row r="140">
      <c r="A140" s="7" t="n"/>
      <c r="G140" s="12" t="n"/>
    </row>
    <row r="141">
      <c r="A141" s="7" t="n"/>
      <c r="G141" s="12" t="n"/>
    </row>
    <row r="142">
      <c r="A142" s="7" t="n"/>
      <c r="G142" s="12" t="n"/>
    </row>
    <row r="143">
      <c r="A143" s="7" t="n"/>
      <c r="G143" s="12" t="n"/>
    </row>
    <row r="144">
      <c r="A144" s="7" t="n"/>
      <c r="G144" s="12" t="n"/>
    </row>
    <row r="145">
      <c r="A145" s="7" t="n"/>
      <c r="G145" s="12" t="n"/>
    </row>
    <row r="146">
      <c r="A146" s="7" t="n"/>
      <c r="G146" s="12" t="n"/>
    </row>
    <row r="147">
      <c r="A147" s="7" t="n"/>
      <c r="G147" s="12" t="n"/>
    </row>
    <row r="148">
      <c r="A148" s="7" t="n"/>
      <c r="G148" s="12" t="n"/>
    </row>
    <row r="149">
      <c r="A149" s="7" t="n"/>
      <c r="G149" s="12" t="n"/>
    </row>
    <row r="150">
      <c r="A150" s="7" t="n"/>
      <c r="G150" s="12" t="n"/>
    </row>
    <row r="151">
      <c r="A151" s="7" t="n"/>
      <c r="G151" s="12" t="n"/>
    </row>
    <row r="152">
      <c r="A152" s="7" t="n"/>
      <c r="G152" s="12" t="n"/>
    </row>
    <row r="153">
      <c r="A153" s="7" t="n"/>
      <c r="G153" s="12" t="n"/>
    </row>
    <row r="154">
      <c r="A154" s="7" t="n"/>
      <c r="G154" s="12" t="n"/>
    </row>
    <row r="155">
      <c r="A155" s="7" t="n"/>
      <c r="G155" s="12" t="n"/>
    </row>
    <row r="156">
      <c r="A156" s="7" t="n"/>
      <c r="G156" s="12" t="n"/>
    </row>
    <row r="157">
      <c r="A157" s="7" t="n"/>
      <c r="G157" s="12" t="n"/>
    </row>
    <row r="158">
      <c r="A158" s="7" t="n"/>
      <c r="G158" s="12" t="n"/>
    </row>
    <row r="159">
      <c r="A159" s="7" t="n"/>
      <c r="G159" s="12" t="n"/>
    </row>
    <row r="160">
      <c r="A160" s="7" t="n"/>
      <c r="G160" s="12" t="n"/>
    </row>
    <row r="161">
      <c r="A161" s="7" t="n"/>
      <c r="G161" s="12" t="n"/>
    </row>
    <row r="162">
      <c r="A162" s="7" t="n"/>
      <c r="G162" s="12" t="n"/>
    </row>
    <row r="163">
      <c r="A163" s="7" t="n"/>
      <c r="G163" s="12" t="n"/>
    </row>
    <row r="164">
      <c r="A164" s="7" t="n"/>
      <c r="G164" s="12" t="n"/>
    </row>
    <row r="165">
      <c r="A165" s="7" t="n"/>
      <c r="G165" s="12" t="n"/>
    </row>
    <row r="166">
      <c r="A166" s="7" t="n"/>
      <c r="G166" s="12" t="n"/>
    </row>
    <row r="167">
      <c r="A167" s="7" t="n"/>
      <c r="G167" s="12" t="n"/>
    </row>
    <row r="168">
      <c r="A168" s="7" t="n"/>
      <c r="G168" s="12" t="n"/>
    </row>
    <row r="169">
      <c r="A169" s="7" t="n"/>
      <c r="G169" s="12" t="n"/>
    </row>
    <row r="170">
      <c r="A170" s="7" t="n"/>
      <c r="G170" s="12" t="n"/>
    </row>
    <row r="171">
      <c r="A171" s="7" t="n"/>
      <c r="G171" s="12" t="n"/>
    </row>
    <row r="172">
      <c r="A172" s="7" t="n"/>
      <c r="G172" s="12" t="n"/>
    </row>
    <row r="173">
      <c r="A173" s="7" t="n"/>
      <c r="G173" s="12" t="n"/>
    </row>
    <row r="174">
      <c r="A174" s="7" t="n"/>
      <c r="G174" s="12" t="n"/>
    </row>
    <row r="175">
      <c r="A175" s="7" t="n"/>
      <c r="G175" s="12" t="n"/>
    </row>
    <row r="176">
      <c r="A176" s="7" t="n"/>
      <c r="G176" s="12" t="n"/>
    </row>
    <row r="177">
      <c r="A177" s="7" t="n"/>
      <c r="G177" s="12" t="n"/>
    </row>
    <row r="178">
      <c r="A178" s="7" t="n"/>
      <c r="G178" s="12" t="n"/>
    </row>
    <row r="179">
      <c r="A179" s="7" t="n"/>
      <c r="G179" s="12" t="n"/>
    </row>
    <row r="180">
      <c r="A180" s="7" t="n"/>
      <c r="G180" s="12" t="n"/>
    </row>
    <row r="181">
      <c r="A181" s="7" t="n"/>
      <c r="G181" s="12" t="n"/>
    </row>
    <row r="182">
      <c r="A182" s="7" t="n"/>
      <c r="G182" s="12" t="n"/>
    </row>
    <row r="183">
      <c r="A183" s="7" t="n"/>
      <c r="G183" s="12" t="n"/>
    </row>
    <row r="184">
      <c r="A184" s="7" t="n"/>
      <c r="G184" s="12" t="n"/>
    </row>
    <row r="185">
      <c r="A185" s="7" t="n"/>
      <c r="G185" s="12" t="n"/>
    </row>
    <row r="186">
      <c r="A186" s="7" t="n"/>
      <c r="G186" s="12" t="n"/>
    </row>
    <row r="187">
      <c r="A187" s="7" t="n"/>
      <c r="G187" s="12" t="n"/>
    </row>
    <row r="188">
      <c r="A188" s="7" t="n"/>
      <c r="G188" s="12" t="n"/>
    </row>
    <row r="189">
      <c r="A189" s="7" t="n"/>
      <c r="G189" s="12" t="n"/>
    </row>
    <row r="190">
      <c r="A190" s="7" t="n"/>
      <c r="G190" s="12" t="n"/>
    </row>
    <row r="191">
      <c r="A191" s="7" t="n"/>
      <c r="G191" s="12" t="n"/>
    </row>
    <row r="192">
      <c r="A192" s="7" t="n"/>
      <c r="G192" s="12" t="n"/>
    </row>
    <row r="193">
      <c r="A193" s="7" t="n"/>
      <c r="G193" s="12" t="n"/>
    </row>
    <row r="194">
      <c r="A194" s="7" t="n"/>
      <c r="G194" s="12" t="n"/>
    </row>
    <row r="195">
      <c r="A195" s="7" t="n"/>
      <c r="G195" s="12" t="n"/>
    </row>
    <row r="196">
      <c r="A196" s="7" t="n"/>
      <c r="G196" s="12" t="n"/>
    </row>
    <row r="197">
      <c r="A197" s="7" t="n"/>
      <c r="G197" s="12" t="n"/>
    </row>
    <row r="198">
      <c r="A198" s="7" t="n"/>
      <c r="G198" s="12" t="n"/>
    </row>
    <row r="199">
      <c r="A199" s="7" t="n"/>
      <c r="G199" s="12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9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16" max="16"/>
    <col width="14" customWidth="1" min="17" max="17"/>
  </cols>
  <sheetData>
    <row r="1">
      <c r="A1" s="1" t="inlineStr">
        <is>
          <t>Dashboard</t>
        </is>
      </c>
      <c r="P1" s="13" t="inlineStr">
        <is>
          <t>Date</t>
        </is>
      </c>
      <c r="Q1" s="13" t="inlineStr">
        <is>
          <t>Total Volume</t>
        </is>
      </c>
    </row>
    <row r="2">
      <c r="A2" s="14" t="inlineStr">
        <is>
          <t>Charts pull live from Daily Log and Workout Log. Add data to see lines populate.</t>
        </is>
      </c>
      <c r="P2" s="7">
        <f>TODAY()-89</f>
        <v/>
      </c>
      <c r="Q2">
        <f>IFERROR(SUMIFS(WL_Volume,WL_Date,P2),0)</f>
        <v/>
      </c>
    </row>
    <row r="3">
      <c r="P3" s="7">
        <f>TODAY()-88</f>
        <v/>
      </c>
      <c r="Q3">
        <f>IFERROR(SUMIFS(WL_Volume,WL_Date,P3),0)</f>
        <v/>
      </c>
    </row>
    <row r="4">
      <c r="P4" s="7">
        <f>TODAY()-87</f>
        <v/>
      </c>
      <c r="Q4">
        <f>IFERROR(SUMIFS(WL_Volume,WL_Date,P4),0)</f>
        <v/>
      </c>
    </row>
    <row r="5">
      <c r="P5" s="7">
        <f>TODAY()-86</f>
        <v/>
      </c>
      <c r="Q5">
        <f>IFERROR(SUMIFS(WL_Volume,WL_Date,P5),0)</f>
        <v/>
      </c>
    </row>
    <row r="6">
      <c r="P6" s="7">
        <f>TODAY()-85</f>
        <v/>
      </c>
      <c r="Q6">
        <f>IFERROR(SUMIFS(WL_Volume,WL_Date,P6),0)</f>
        <v/>
      </c>
    </row>
    <row r="7">
      <c r="P7" s="7">
        <f>TODAY()-84</f>
        <v/>
      </c>
      <c r="Q7">
        <f>IFERROR(SUMIFS(WL_Volume,WL_Date,P7),0)</f>
        <v/>
      </c>
    </row>
    <row r="8">
      <c r="P8" s="7">
        <f>TODAY()-83</f>
        <v/>
      </c>
      <c r="Q8">
        <f>IFERROR(SUMIFS(WL_Volume,WL_Date,P8),0)</f>
        <v/>
      </c>
    </row>
    <row r="9">
      <c r="P9" s="7">
        <f>TODAY()-82</f>
        <v/>
      </c>
      <c r="Q9">
        <f>IFERROR(SUMIFS(WL_Volume,WL_Date,P9),0)</f>
        <v/>
      </c>
    </row>
    <row r="10">
      <c r="P10" s="7">
        <f>TODAY()-81</f>
        <v/>
      </c>
      <c r="Q10">
        <f>IFERROR(SUMIFS(WL_Volume,WL_Date,P10),0)</f>
        <v/>
      </c>
    </row>
    <row r="11">
      <c r="P11" s="7">
        <f>TODAY()-80</f>
        <v/>
      </c>
      <c r="Q11">
        <f>IFERROR(SUMIFS(WL_Volume,WL_Date,P11),0)</f>
        <v/>
      </c>
    </row>
    <row r="12">
      <c r="P12" s="7">
        <f>TODAY()-79</f>
        <v/>
      </c>
      <c r="Q12">
        <f>IFERROR(SUMIFS(WL_Volume,WL_Date,P12),0)</f>
        <v/>
      </c>
    </row>
    <row r="13">
      <c r="P13" s="7">
        <f>TODAY()-78</f>
        <v/>
      </c>
      <c r="Q13">
        <f>IFERROR(SUMIFS(WL_Volume,WL_Date,P13),0)</f>
        <v/>
      </c>
    </row>
    <row r="14">
      <c r="P14" s="7">
        <f>TODAY()-77</f>
        <v/>
      </c>
      <c r="Q14">
        <f>IFERROR(SUMIFS(WL_Volume,WL_Date,P14),0)</f>
        <v/>
      </c>
    </row>
    <row r="15">
      <c r="P15" s="7">
        <f>TODAY()-76</f>
        <v/>
      </c>
      <c r="Q15">
        <f>IFERROR(SUMIFS(WL_Volume,WL_Date,P15),0)</f>
        <v/>
      </c>
    </row>
    <row r="16">
      <c r="P16" s="7">
        <f>TODAY()-75</f>
        <v/>
      </c>
      <c r="Q16">
        <f>IFERROR(SUMIFS(WL_Volume,WL_Date,P16),0)</f>
        <v/>
      </c>
    </row>
    <row r="17">
      <c r="P17" s="7">
        <f>TODAY()-74</f>
        <v/>
      </c>
      <c r="Q17">
        <f>IFERROR(SUMIFS(WL_Volume,WL_Date,P17),0)</f>
        <v/>
      </c>
    </row>
    <row r="18">
      <c r="P18" s="7">
        <f>TODAY()-73</f>
        <v/>
      </c>
      <c r="Q18">
        <f>IFERROR(SUMIFS(WL_Volume,WL_Date,P18),0)</f>
        <v/>
      </c>
    </row>
    <row r="19">
      <c r="P19" s="7">
        <f>TODAY()-72</f>
        <v/>
      </c>
      <c r="Q19">
        <f>IFERROR(SUMIFS(WL_Volume,WL_Date,P19),0)</f>
        <v/>
      </c>
    </row>
    <row r="20">
      <c r="P20" s="7">
        <f>TODAY()-71</f>
        <v/>
      </c>
      <c r="Q20">
        <f>IFERROR(SUMIFS(WL_Volume,WL_Date,P20),0)</f>
        <v/>
      </c>
    </row>
    <row r="21">
      <c r="P21" s="7">
        <f>TODAY()-70</f>
        <v/>
      </c>
      <c r="Q21">
        <f>IFERROR(SUMIFS(WL_Volume,WL_Date,P21),0)</f>
        <v/>
      </c>
    </row>
    <row r="22">
      <c r="P22" s="7">
        <f>TODAY()-69</f>
        <v/>
      </c>
      <c r="Q22">
        <f>IFERROR(SUMIFS(WL_Volume,WL_Date,P22),0)</f>
        <v/>
      </c>
    </row>
    <row r="23">
      <c r="P23" s="7">
        <f>TODAY()-68</f>
        <v/>
      </c>
      <c r="Q23">
        <f>IFERROR(SUMIFS(WL_Volume,WL_Date,P23),0)</f>
        <v/>
      </c>
    </row>
    <row r="24">
      <c r="P24" s="7">
        <f>TODAY()-67</f>
        <v/>
      </c>
      <c r="Q24">
        <f>IFERROR(SUMIFS(WL_Volume,WL_Date,P24),0)</f>
        <v/>
      </c>
    </row>
    <row r="25">
      <c r="P25" s="7">
        <f>TODAY()-66</f>
        <v/>
      </c>
      <c r="Q25">
        <f>IFERROR(SUMIFS(WL_Volume,WL_Date,P25),0)</f>
        <v/>
      </c>
    </row>
    <row r="26">
      <c r="P26" s="7">
        <f>TODAY()-65</f>
        <v/>
      </c>
      <c r="Q26">
        <f>IFERROR(SUMIFS(WL_Volume,WL_Date,P26),0)</f>
        <v/>
      </c>
    </row>
    <row r="27">
      <c r="P27" s="7">
        <f>TODAY()-64</f>
        <v/>
      </c>
      <c r="Q27">
        <f>IFERROR(SUMIFS(WL_Volume,WL_Date,P27),0)</f>
        <v/>
      </c>
    </row>
    <row r="28">
      <c r="P28" s="7">
        <f>TODAY()-63</f>
        <v/>
      </c>
      <c r="Q28">
        <f>IFERROR(SUMIFS(WL_Volume,WL_Date,P28),0)</f>
        <v/>
      </c>
    </row>
    <row r="29">
      <c r="P29" s="7">
        <f>TODAY()-62</f>
        <v/>
      </c>
      <c r="Q29">
        <f>IFERROR(SUMIFS(WL_Volume,WL_Date,P29),0)</f>
        <v/>
      </c>
    </row>
    <row r="30">
      <c r="P30" s="7">
        <f>TODAY()-61</f>
        <v/>
      </c>
      <c r="Q30">
        <f>IFERROR(SUMIFS(WL_Volume,WL_Date,P30),0)</f>
        <v/>
      </c>
    </row>
    <row r="31">
      <c r="P31" s="7">
        <f>TODAY()-60</f>
        <v/>
      </c>
      <c r="Q31">
        <f>IFERROR(SUMIFS(WL_Volume,WL_Date,P31),0)</f>
        <v/>
      </c>
    </row>
    <row r="32">
      <c r="P32" s="7">
        <f>TODAY()-59</f>
        <v/>
      </c>
      <c r="Q32">
        <f>IFERROR(SUMIFS(WL_Volume,WL_Date,P32),0)</f>
        <v/>
      </c>
    </row>
    <row r="33">
      <c r="P33" s="7">
        <f>TODAY()-58</f>
        <v/>
      </c>
      <c r="Q33">
        <f>IFERROR(SUMIFS(WL_Volume,WL_Date,P33),0)</f>
        <v/>
      </c>
    </row>
    <row r="34">
      <c r="P34" s="7">
        <f>TODAY()-57</f>
        <v/>
      </c>
      <c r="Q34">
        <f>IFERROR(SUMIFS(WL_Volume,WL_Date,P34),0)</f>
        <v/>
      </c>
    </row>
    <row r="35">
      <c r="P35" s="7">
        <f>TODAY()-56</f>
        <v/>
      </c>
      <c r="Q35">
        <f>IFERROR(SUMIFS(WL_Volume,WL_Date,P35),0)</f>
        <v/>
      </c>
    </row>
    <row r="36">
      <c r="P36" s="7">
        <f>TODAY()-55</f>
        <v/>
      </c>
      <c r="Q36">
        <f>IFERROR(SUMIFS(WL_Volume,WL_Date,P36),0)</f>
        <v/>
      </c>
    </row>
    <row r="37">
      <c r="P37" s="7">
        <f>TODAY()-54</f>
        <v/>
      </c>
      <c r="Q37">
        <f>IFERROR(SUMIFS(WL_Volume,WL_Date,P37),0)</f>
        <v/>
      </c>
    </row>
    <row r="38">
      <c r="P38" s="7">
        <f>TODAY()-53</f>
        <v/>
      </c>
      <c r="Q38">
        <f>IFERROR(SUMIFS(WL_Volume,WL_Date,P38),0)</f>
        <v/>
      </c>
    </row>
    <row r="39">
      <c r="P39" s="7">
        <f>TODAY()-52</f>
        <v/>
      </c>
      <c r="Q39">
        <f>IFERROR(SUMIFS(WL_Volume,WL_Date,P39),0)</f>
        <v/>
      </c>
    </row>
    <row r="40">
      <c r="P40" s="7">
        <f>TODAY()-51</f>
        <v/>
      </c>
      <c r="Q40">
        <f>IFERROR(SUMIFS(WL_Volume,WL_Date,P40),0)</f>
        <v/>
      </c>
    </row>
    <row r="41">
      <c r="P41" s="7">
        <f>TODAY()-50</f>
        <v/>
      </c>
      <c r="Q41">
        <f>IFERROR(SUMIFS(WL_Volume,WL_Date,P41),0)</f>
        <v/>
      </c>
    </row>
    <row r="42">
      <c r="P42" s="7">
        <f>TODAY()-49</f>
        <v/>
      </c>
      <c r="Q42">
        <f>IFERROR(SUMIFS(WL_Volume,WL_Date,P42),0)</f>
        <v/>
      </c>
    </row>
    <row r="43">
      <c r="P43" s="7">
        <f>TODAY()-48</f>
        <v/>
      </c>
      <c r="Q43">
        <f>IFERROR(SUMIFS(WL_Volume,WL_Date,P43),0)</f>
        <v/>
      </c>
    </row>
    <row r="44">
      <c r="P44" s="7">
        <f>TODAY()-47</f>
        <v/>
      </c>
      <c r="Q44">
        <f>IFERROR(SUMIFS(WL_Volume,WL_Date,P44),0)</f>
        <v/>
      </c>
    </row>
    <row r="45">
      <c r="P45" s="7">
        <f>TODAY()-46</f>
        <v/>
      </c>
      <c r="Q45">
        <f>IFERROR(SUMIFS(WL_Volume,WL_Date,P45),0)</f>
        <v/>
      </c>
    </row>
    <row r="46">
      <c r="P46" s="7">
        <f>TODAY()-45</f>
        <v/>
      </c>
      <c r="Q46">
        <f>IFERROR(SUMIFS(WL_Volume,WL_Date,P46),0)</f>
        <v/>
      </c>
    </row>
    <row r="47">
      <c r="P47" s="7">
        <f>TODAY()-44</f>
        <v/>
      </c>
      <c r="Q47">
        <f>IFERROR(SUMIFS(WL_Volume,WL_Date,P47),0)</f>
        <v/>
      </c>
    </row>
    <row r="48">
      <c r="P48" s="7">
        <f>TODAY()-43</f>
        <v/>
      </c>
      <c r="Q48">
        <f>IFERROR(SUMIFS(WL_Volume,WL_Date,P48),0)</f>
        <v/>
      </c>
    </row>
    <row r="49">
      <c r="P49" s="7">
        <f>TODAY()-42</f>
        <v/>
      </c>
      <c r="Q49">
        <f>IFERROR(SUMIFS(WL_Volume,WL_Date,P49),0)</f>
        <v/>
      </c>
    </row>
    <row r="50">
      <c r="P50" s="7">
        <f>TODAY()-41</f>
        <v/>
      </c>
      <c r="Q50">
        <f>IFERROR(SUMIFS(WL_Volume,WL_Date,P50),0)</f>
        <v/>
      </c>
    </row>
    <row r="51">
      <c r="P51" s="7">
        <f>TODAY()-40</f>
        <v/>
      </c>
      <c r="Q51">
        <f>IFERROR(SUMIFS(WL_Volume,WL_Date,P51),0)</f>
        <v/>
      </c>
    </row>
    <row r="52">
      <c r="P52" s="7">
        <f>TODAY()-39</f>
        <v/>
      </c>
      <c r="Q52">
        <f>IFERROR(SUMIFS(WL_Volume,WL_Date,P52),0)</f>
        <v/>
      </c>
    </row>
    <row r="53">
      <c r="P53" s="7">
        <f>TODAY()-38</f>
        <v/>
      </c>
      <c r="Q53">
        <f>IFERROR(SUMIFS(WL_Volume,WL_Date,P53),0)</f>
        <v/>
      </c>
    </row>
    <row r="54">
      <c r="P54" s="7">
        <f>TODAY()-37</f>
        <v/>
      </c>
      <c r="Q54">
        <f>IFERROR(SUMIFS(WL_Volume,WL_Date,P54),0)</f>
        <v/>
      </c>
    </row>
    <row r="55">
      <c r="P55" s="7">
        <f>TODAY()-36</f>
        <v/>
      </c>
      <c r="Q55">
        <f>IFERROR(SUMIFS(WL_Volume,WL_Date,P55),0)</f>
        <v/>
      </c>
    </row>
    <row r="56">
      <c r="P56" s="7">
        <f>TODAY()-35</f>
        <v/>
      </c>
      <c r="Q56">
        <f>IFERROR(SUMIFS(WL_Volume,WL_Date,P56),0)</f>
        <v/>
      </c>
    </row>
    <row r="57">
      <c r="P57" s="7">
        <f>TODAY()-34</f>
        <v/>
      </c>
      <c r="Q57">
        <f>IFERROR(SUMIFS(WL_Volume,WL_Date,P57),0)</f>
        <v/>
      </c>
    </row>
    <row r="58">
      <c r="P58" s="7">
        <f>TODAY()-33</f>
        <v/>
      </c>
      <c r="Q58">
        <f>IFERROR(SUMIFS(WL_Volume,WL_Date,P58),0)</f>
        <v/>
      </c>
    </row>
    <row r="59">
      <c r="P59" s="7">
        <f>TODAY()-32</f>
        <v/>
      </c>
      <c r="Q59">
        <f>IFERROR(SUMIFS(WL_Volume,WL_Date,P59),0)</f>
        <v/>
      </c>
    </row>
    <row r="60">
      <c r="P60" s="7">
        <f>TODAY()-31</f>
        <v/>
      </c>
      <c r="Q60">
        <f>IFERROR(SUMIFS(WL_Volume,WL_Date,P60),0)</f>
        <v/>
      </c>
    </row>
    <row r="61">
      <c r="P61" s="7">
        <f>TODAY()-30</f>
        <v/>
      </c>
      <c r="Q61">
        <f>IFERROR(SUMIFS(WL_Volume,WL_Date,P61),0)</f>
        <v/>
      </c>
    </row>
    <row r="62">
      <c r="P62" s="7">
        <f>TODAY()-29</f>
        <v/>
      </c>
      <c r="Q62">
        <f>IFERROR(SUMIFS(WL_Volume,WL_Date,P62),0)</f>
        <v/>
      </c>
    </row>
    <row r="63">
      <c r="P63" s="7">
        <f>TODAY()-28</f>
        <v/>
      </c>
      <c r="Q63">
        <f>IFERROR(SUMIFS(WL_Volume,WL_Date,P63),0)</f>
        <v/>
      </c>
    </row>
    <row r="64">
      <c r="P64" s="7">
        <f>TODAY()-27</f>
        <v/>
      </c>
      <c r="Q64">
        <f>IFERROR(SUMIFS(WL_Volume,WL_Date,P64),0)</f>
        <v/>
      </c>
    </row>
    <row r="65">
      <c r="P65" s="7">
        <f>TODAY()-26</f>
        <v/>
      </c>
      <c r="Q65">
        <f>IFERROR(SUMIFS(WL_Volume,WL_Date,P65),0)</f>
        <v/>
      </c>
    </row>
    <row r="66">
      <c r="P66" s="7">
        <f>TODAY()-25</f>
        <v/>
      </c>
      <c r="Q66">
        <f>IFERROR(SUMIFS(WL_Volume,WL_Date,P66),0)</f>
        <v/>
      </c>
    </row>
    <row r="67">
      <c r="P67" s="7">
        <f>TODAY()-24</f>
        <v/>
      </c>
      <c r="Q67">
        <f>IFERROR(SUMIFS(WL_Volume,WL_Date,P67),0)</f>
        <v/>
      </c>
    </row>
    <row r="68">
      <c r="P68" s="7">
        <f>TODAY()-23</f>
        <v/>
      </c>
      <c r="Q68">
        <f>IFERROR(SUMIFS(WL_Volume,WL_Date,P68),0)</f>
        <v/>
      </c>
    </row>
    <row r="69">
      <c r="P69" s="7">
        <f>TODAY()-22</f>
        <v/>
      </c>
      <c r="Q69">
        <f>IFERROR(SUMIFS(WL_Volume,WL_Date,P69),0)</f>
        <v/>
      </c>
    </row>
    <row r="70">
      <c r="P70" s="7">
        <f>TODAY()-21</f>
        <v/>
      </c>
      <c r="Q70">
        <f>IFERROR(SUMIFS(WL_Volume,WL_Date,P70),0)</f>
        <v/>
      </c>
    </row>
    <row r="71">
      <c r="P71" s="7">
        <f>TODAY()-20</f>
        <v/>
      </c>
      <c r="Q71">
        <f>IFERROR(SUMIFS(WL_Volume,WL_Date,P71),0)</f>
        <v/>
      </c>
    </row>
    <row r="72">
      <c r="P72" s="7">
        <f>TODAY()-19</f>
        <v/>
      </c>
      <c r="Q72">
        <f>IFERROR(SUMIFS(WL_Volume,WL_Date,P72),0)</f>
        <v/>
      </c>
    </row>
    <row r="73">
      <c r="P73" s="7">
        <f>TODAY()-18</f>
        <v/>
      </c>
      <c r="Q73">
        <f>IFERROR(SUMIFS(WL_Volume,WL_Date,P73),0)</f>
        <v/>
      </c>
    </row>
    <row r="74">
      <c r="P74" s="7">
        <f>TODAY()-17</f>
        <v/>
      </c>
      <c r="Q74">
        <f>IFERROR(SUMIFS(WL_Volume,WL_Date,P74),0)</f>
        <v/>
      </c>
    </row>
    <row r="75">
      <c r="P75" s="7">
        <f>TODAY()-16</f>
        <v/>
      </c>
      <c r="Q75">
        <f>IFERROR(SUMIFS(WL_Volume,WL_Date,P75),0)</f>
        <v/>
      </c>
    </row>
    <row r="76">
      <c r="P76" s="7">
        <f>TODAY()-15</f>
        <v/>
      </c>
      <c r="Q76">
        <f>IFERROR(SUMIFS(WL_Volume,WL_Date,P76),0)</f>
        <v/>
      </c>
    </row>
    <row r="77">
      <c r="P77" s="7">
        <f>TODAY()-14</f>
        <v/>
      </c>
      <c r="Q77">
        <f>IFERROR(SUMIFS(WL_Volume,WL_Date,P77),0)</f>
        <v/>
      </c>
    </row>
    <row r="78">
      <c r="P78" s="7">
        <f>TODAY()-13</f>
        <v/>
      </c>
      <c r="Q78">
        <f>IFERROR(SUMIFS(WL_Volume,WL_Date,P78),0)</f>
        <v/>
      </c>
    </row>
    <row r="79">
      <c r="P79" s="7">
        <f>TODAY()-12</f>
        <v/>
      </c>
      <c r="Q79">
        <f>IFERROR(SUMIFS(WL_Volume,WL_Date,P79),0)</f>
        <v/>
      </c>
    </row>
    <row r="80">
      <c r="P80" s="7">
        <f>TODAY()-11</f>
        <v/>
      </c>
      <c r="Q80">
        <f>IFERROR(SUMIFS(WL_Volume,WL_Date,P80),0)</f>
        <v/>
      </c>
    </row>
    <row r="81">
      <c r="P81" s="7">
        <f>TODAY()-10</f>
        <v/>
      </c>
      <c r="Q81">
        <f>IFERROR(SUMIFS(WL_Volume,WL_Date,P81),0)</f>
        <v/>
      </c>
    </row>
    <row r="82">
      <c r="P82" s="7">
        <f>TODAY()-9</f>
        <v/>
      </c>
      <c r="Q82">
        <f>IFERROR(SUMIFS(WL_Volume,WL_Date,P82),0)</f>
        <v/>
      </c>
    </row>
    <row r="83">
      <c r="P83" s="7">
        <f>TODAY()-8</f>
        <v/>
      </c>
      <c r="Q83">
        <f>IFERROR(SUMIFS(WL_Volume,WL_Date,P83),0)</f>
        <v/>
      </c>
    </row>
    <row r="84">
      <c r="P84" s="7">
        <f>TODAY()-7</f>
        <v/>
      </c>
      <c r="Q84">
        <f>IFERROR(SUMIFS(WL_Volume,WL_Date,P84),0)</f>
        <v/>
      </c>
    </row>
    <row r="85">
      <c r="P85" s="7">
        <f>TODAY()-6</f>
        <v/>
      </c>
      <c r="Q85">
        <f>IFERROR(SUMIFS(WL_Volume,WL_Date,P85),0)</f>
        <v/>
      </c>
    </row>
    <row r="86">
      <c r="P86" s="7">
        <f>TODAY()-5</f>
        <v/>
      </c>
      <c r="Q86">
        <f>IFERROR(SUMIFS(WL_Volume,WL_Date,P86),0)</f>
        <v/>
      </c>
    </row>
    <row r="87">
      <c r="P87" s="7">
        <f>TODAY()-4</f>
        <v/>
      </c>
      <c r="Q87">
        <f>IFERROR(SUMIFS(WL_Volume,WL_Date,P87),0)</f>
        <v/>
      </c>
    </row>
    <row r="88">
      <c r="P88" s="7">
        <f>TODAY()-3</f>
        <v/>
      </c>
      <c r="Q88">
        <f>IFERROR(SUMIFS(WL_Volume,WL_Date,P88),0)</f>
        <v/>
      </c>
    </row>
    <row r="89">
      <c r="P89" s="7">
        <f>TODAY()-2</f>
        <v/>
      </c>
      <c r="Q89">
        <f>IFERROR(SUMIFS(WL_Volume,WL_Date,P89),0)</f>
        <v/>
      </c>
    </row>
    <row r="90">
      <c r="P90" s="7">
        <f>TODAY()-1</f>
        <v/>
      </c>
      <c r="Q90">
        <f>IFERROR(SUMIFS(WL_Volume,WL_Date,P90),0)</f>
        <v/>
      </c>
    </row>
    <row r="91">
      <c r="P91" s="7">
        <f>TODAY()-0</f>
        <v/>
      </c>
      <c r="Q91">
        <f>IFERROR(SUMIFS(WL_Volume,WL_Date,P91),0)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69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6" customWidth="1" min="3" max="3"/>
    <col width="8" customWidth="1" min="4" max="4"/>
    <col width="5" customWidth="1" min="5" max="5"/>
    <col width="8" customWidth="1" min="6" max="6"/>
    <col width="28" customWidth="1" min="7" max="7"/>
    <col width="12" customWidth="1" min="10" max="10"/>
    <col width="14" customWidth="1" min="11" max="11"/>
    <col width="18" customWidth="1" min="12" max="12"/>
  </cols>
  <sheetData>
    <row r="1">
      <c r="A1" s="13" t="inlineStr">
        <is>
          <t>Pick exercise:</t>
        </is>
      </c>
      <c r="B1" s="15" t="inlineStr">
        <is>
          <t>Decline Push-Up</t>
        </is>
      </c>
    </row>
    <row r="3">
      <c r="A3" s="13" t="inlineStr">
        <is>
          <t>Last performed:</t>
        </is>
      </c>
      <c r="B3" s="7">
        <f>IFERROR(MAXIFS(WL_Date,WL_Exercise,B1),"never")</f>
        <v/>
      </c>
    </row>
    <row r="4">
      <c r="A4" s="13" t="inlineStr">
        <is>
          <t>Last session:</t>
        </is>
      </c>
      <c r="B4">
        <f>IFERROR(TEXTJOIN(", ",TRUE,IF((WL_Exercise=B1)*(WL_Date=B3),WL_Reps&amp;"×"&amp;WL_Weight,"")),"")</f>
        <v/>
      </c>
    </row>
    <row r="5">
      <c r="A5" s="13" t="inlineStr">
        <is>
          <t>Heaviest ever:</t>
        </is>
      </c>
      <c r="B5">
        <f>IFERROR(MAXIFS(WL_Weight,WL_Exercise,B1),"")</f>
        <v/>
      </c>
    </row>
    <row r="6">
      <c r="A6" s="13" t="inlineStr">
        <is>
          <t>Best e1RM:</t>
        </is>
      </c>
      <c r="B6">
        <f>IFERROR(MAXIFS(WL_e1RM,WL_Exercise,B1),"")</f>
        <v/>
      </c>
    </row>
    <row r="8">
      <c r="A8" s="13" t="inlineStr">
        <is>
          <t>Full history (most recent first):</t>
        </is>
      </c>
    </row>
    <row r="9">
      <c r="A9" s="2" t="inlineStr">
        <is>
          <t>Date</t>
        </is>
      </c>
      <c r="B9" s="2" t="inlineStr">
        <is>
          <t>Set</t>
        </is>
      </c>
      <c r="C9" s="2" t="inlineStr">
        <is>
          <t>Reps</t>
        </is>
      </c>
      <c r="D9" s="2" t="inlineStr">
        <is>
          <t>Weight</t>
        </is>
      </c>
      <c r="E9" s="2" t="inlineStr">
        <is>
          <t>RPE</t>
        </is>
      </c>
      <c r="F9" s="2" t="inlineStr">
        <is>
          <t>e1RM</t>
        </is>
      </c>
      <c r="G9" s="2" t="inlineStr">
        <is>
          <t>Notes</t>
        </is>
      </c>
      <c r="H9" s="2" t="n"/>
      <c r="I9" s="2" t="n"/>
      <c r="J9" s="2" t="inlineStr">
        <is>
          <t>Date</t>
        </is>
      </c>
      <c r="K9" s="2" t="inlineStr">
        <is>
          <t>Top-Set Weight</t>
        </is>
      </c>
      <c r="L9" s="2" t="inlineStr">
        <is>
          <t>Best e1RM (that day)</t>
        </is>
      </c>
    </row>
    <row r="10">
      <c r="A10">
        <f>IFERROR(SORT(FILTER(CHOOSECOLS('Workout Log'!A2:I5001,1,3,4,5,6,9,7),WL_Exercise=B1),1,-1),"No sets logged yet for this exercise.")</f>
        <v/>
      </c>
      <c r="J10" s="7">
        <f>IFERROR(LARGE(IF(WL_Exercise=B1,WL_Date),1),"")</f>
        <v/>
      </c>
      <c r="K10" s="8">
        <f>IF(J10="","",IFERROR(MAXIFS(WL_Weight,WL_Exercise,B1,WL_Date,J10),""))</f>
        <v/>
      </c>
      <c r="L10" s="8">
        <f>IF(J10="","",IFERROR(MAXIFS(WL_e1RM,WL_Exercise,B1,WL_Date,J10),""))</f>
        <v/>
      </c>
    </row>
    <row r="11">
      <c r="J11" s="7">
        <f>IFERROR(LARGE(IF(WL_Exercise=B1,WL_Date),2),"")</f>
        <v/>
      </c>
      <c r="K11" s="8">
        <f>IF(J11="","",IFERROR(MAXIFS(WL_Weight,WL_Exercise,B1,WL_Date,J11),""))</f>
        <v/>
      </c>
      <c r="L11" s="8">
        <f>IF(J11="","",IFERROR(MAXIFS(WL_e1RM,WL_Exercise,B1,WL_Date,J11),""))</f>
        <v/>
      </c>
    </row>
    <row r="12">
      <c r="J12" s="7">
        <f>IFERROR(LARGE(IF(WL_Exercise=B1,WL_Date),3),"")</f>
        <v/>
      </c>
      <c r="K12" s="8">
        <f>IF(J12="","",IFERROR(MAXIFS(WL_Weight,WL_Exercise,B1,WL_Date,J12),""))</f>
        <v/>
      </c>
      <c r="L12" s="8">
        <f>IF(J12="","",IFERROR(MAXIFS(WL_e1RM,WL_Exercise,B1,WL_Date,J12),""))</f>
        <v/>
      </c>
    </row>
    <row r="13">
      <c r="J13" s="7">
        <f>IFERROR(LARGE(IF(WL_Exercise=B1,WL_Date),4),"")</f>
        <v/>
      </c>
      <c r="K13" s="8">
        <f>IF(J13="","",IFERROR(MAXIFS(WL_Weight,WL_Exercise,B1,WL_Date,J13),""))</f>
        <v/>
      </c>
      <c r="L13" s="8">
        <f>IF(J13="","",IFERROR(MAXIFS(WL_e1RM,WL_Exercise,B1,WL_Date,J13),""))</f>
        <v/>
      </c>
    </row>
    <row r="14">
      <c r="J14" s="7">
        <f>IFERROR(LARGE(IF(WL_Exercise=B1,WL_Date),5),"")</f>
        <v/>
      </c>
      <c r="K14" s="8">
        <f>IF(J14="","",IFERROR(MAXIFS(WL_Weight,WL_Exercise,B1,WL_Date,J14),""))</f>
        <v/>
      </c>
      <c r="L14" s="8">
        <f>IF(J14="","",IFERROR(MAXIFS(WL_e1RM,WL_Exercise,B1,WL_Date,J14),""))</f>
        <v/>
      </c>
    </row>
    <row r="15">
      <c r="J15" s="7">
        <f>IFERROR(LARGE(IF(WL_Exercise=B1,WL_Date),6),"")</f>
        <v/>
      </c>
      <c r="K15" s="8">
        <f>IF(J15="","",IFERROR(MAXIFS(WL_Weight,WL_Exercise,B1,WL_Date,J15),""))</f>
        <v/>
      </c>
      <c r="L15" s="8">
        <f>IF(J15="","",IFERROR(MAXIFS(WL_e1RM,WL_Exercise,B1,WL_Date,J15),""))</f>
        <v/>
      </c>
    </row>
    <row r="16">
      <c r="J16" s="7">
        <f>IFERROR(LARGE(IF(WL_Exercise=B1,WL_Date),7),"")</f>
        <v/>
      </c>
      <c r="K16" s="8">
        <f>IF(J16="","",IFERROR(MAXIFS(WL_Weight,WL_Exercise,B1,WL_Date,J16),""))</f>
        <v/>
      </c>
      <c r="L16" s="8">
        <f>IF(J16="","",IFERROR(MAXIFS(WL_e1RM,WL_Exercise,B1,WL_Date,J16),""))</f>
        <v/>
      </c>
    </row>
    <row r="17">
      <c r="J17" s="7">
        <f>IFERROR(LARGE(IF(WL_Exercise=B1,WL_Date),8),"")</f>
        <v/>
      </c>
      <c r="K17" s="8">
        <f>IF(J17="","",IFERROR(MAXIFS(WL_Weight,WL_Exercise,B1,WL_Date,J17),""))</f>
        <v/>
      </c>
      <c r="L17" s="8">
        <f>IF(J17="","",IFERROR(MAXIFS(WL_e1RM,WL_Exercise,B1,WL_Date,J17),""))</f>
        <v/>
      </c>
    </row>
    <row r="18">
      <c r="J18" s="7">
        <f>IFERROR(LARGE(IF(WL_Exercise=B1,WL_Date),9),"")</f>
        <v/>
      </c>
      <c r="K18" s="8">
        <f>IF(J18="","",IFERROR(MAXIFS(WL_Weight,WL_Exercise,B1,WL_Date,J18),""))</f>
        <v/>
      </c>
      <c r="L18" s="8">
        <f>IF(J18="","",IFERROR(MAXIFS(WL_e1RM,WL_Exercise,B1,WL_Date,J18),""))</f>
        <v/>
      </c>
    </row>
    <row r="19">
      <c r="J19" s="7">
        <f>IFERROR(LARGE(IF(WL_Exercise=B1,WL_Date),10),"")</f>
        <v/>
      </c>
      <c r="K19" s="8">
        <f>IF(J19="","",IFERROR(MAXIFS(WL_Weight,WL_Exercise,B1,WL_Date,J19),""))</f>
        <v/>
      </c>
      <c r="L19" s="8">
        <f>IF(J19="","",IFERROR(MAXIFS(WL_e1RM,WL_Exercise,B1,WL_Date,J19),""))</f>
        <v/>
      </c>
    </row>
    <row r="20">
      <c r="J20" s="7">
        <f>IFERROR(LARGE(IF(WL_Exercise=B1,WL_Date),11),"")</f>
        <v/>
      </c>
      <c r="K20" s="8">
        <f>IF(J20="","",IFERROR(MAXIFS(WL_Weight,WL_Exercise,B1,WL_Date,J20),""))</f>
        <v/>
      </c>
      <c r="L20" s="8">
        <f>IF(J20="","",IFERROR(MAXIFS(WL_e1RM,WL_Exercise,B1,WL_Date,J20),""))</f>
        <v/>
      </c>
    </row>
    <row r="21">
      <c r="J21" s="7">
        <f>IFERROR(LARGE(IF(WL_Exercise=B1,WL_Date),12),"")</f>
        <v/>
      </c>
      <c r="K21" s="8">
        <f>IF(J21="","",IFERROR(MAXIFS(WL_Weight,WL_Exercise,B1,WL_Date,J21),""))</f>
        <v/>
      </c>
      <c r="L21" s="8">
        <f>IF(J21="","",IFERROR(MAXIFS(WL_e1RM,WL_Exercise,B1,WL_Date,J21),""))</f>
        <v/>
      </c>
    </row>
    <row r="22">
      <c r="J22" s="7">
        <f>IFERROR(LARGE(IF(WL_Exercise=B1,WL_Date),13),"")</f>
        <v/>
      </c>
      <c r="K22" s="8">
        <f>IF(J22="","",IFERROR(MAXIFS(WL_Weight,WL_Exercise,B1,WL_Date,J22),""))</f>
        <v/>
      </c>
      <c r="L22" s="8">
        <f>IF(J22="","",IFERROR(MAXIFS(WL_e1RM,WL_Exercise,B1,WL_Date,J22),""))</f>
        <v/>
      </c>
    </row>
    <row r="23">
      <c r="J23" s="7">
        <f>IFERROR(LARGE(IF(WL_Exercise=B1,WL_Date),14),"")</f>
        <v/>
      </c>
      <c r="K23" s="8">
        <f>IF(J23="","",IFERROR(MAXIFS(WL_Weight,WL_Exercise,B1,WL_Date,J23),""))</f>
        <v/>
      </c>
      <c r="L23" s="8">
        <f>IF(J23="","",IFERROR(MAXIFS(WL_e1RM,WL_Exercise,B1,WL_Date,J23),""))</f>
        <v/>
      </c>
    </row>
    <row r="24">
      <c r="J24" s="7">
        <f>IFERROR(LARGE(IF(WL_Exercise=B1,WL_Date),15),"")</f>
        <v/>
      </c>
      <c r="K24" s="8">
        <f>IF(J24="","",IFERROR(MAXIFS(WL_Weight,WL_Exercise,B1,WL_Date,J24),""))</f>
        <v/>
      </c>
      <c r="L24" s="8">
        <f>IF(J24="","",IFERROR(MAXIFS(WL_e1RM,WL_Exercise,B1,WL_Date,J24),""))</f>
        <v/>
      </c>
    </row>
    <row r="25">
      <c r="J25" s="7">
        <f>IFERROR(LARGE(IF(WL_Exercise=B1,WL_Date),16),"")</f>
        <v/>
      </c>
      <c r="K25" s="8">
        <f>IF(J25="","",IFERROR(MAXIFS(WL_Weight,WL_Exercise,B1,WL_Date,J25),""))</f>
        <v/>
      </c>
      <c r="L25" s="8">
        <f>IF(J25="","",IFERROR(MAXIFS(WL_e1RM,WL_Exercise,B1,WL_Date,J25),""))</f>
        <v/>
      </c>
    </row>
    <row r="26">
      <c r="J26" s="7">
        <f>IFERROR(LARGE(IF(WL_Exercise=B1,WL_Date),17),"")</f>
        <v/>
      </c>
      <c r="K26" s="8">
        <f>IF(J26="","",IFERROR(MAXIFS(WL_Weight,WL_Exercise,B1,WL_Date,J26),""))</f>
        <v/>
      </c>
      <c r="L26" s="8">
        <f>IF(J26="","",IFERROR(MAXIFS(WL_e1RM,WL_Exercise,B1,WL_Date,J26),""))</f>
        <v/>
      </c>
    </row>
    <row r="27">
      <c r="J27" s="7">
        <f>IFERROR(LARGE(IF(WL_Exercise=B1,WL_Date),18),"")</f>
        <v/>
      </c>
      <c r="K27" s="8">
        <f>IF(J27="","",IFERROR(MAXIFS(WL_Weight,WL_Exercise,B1,WL_Date,J27),""))</f>
        <v/>
      </c>
      <c r="L27" s="8">
        <f>IF(J27="","",IFERROR(MAXIFS(WL_e1RM,WL_Exercise,B1,WL_Date,J27),""))</f>
        <v/>
      </c>
    </row>
    <row r="28">
      <c r="J28" s="7">
        <f>IFERROR(LARGE(IF(WL_Exercise=B1,WL_Date),19),"")</f>
        <v/>
      </c>
      <c r="K28" s="8">
        <f>IF(J28="","",IFERROR(MAXIFS(WL_Weight,WL_Exercise,B1,WL_Date,J28),""))</f>
        <v/>
      </c>
      <c r="L28" s="8">
        <f>IF(J28="","",IFERROR(MAXIFS(WL_e1RM,WL_Exercise,B1,WL_Date,J28),""))</f>
        <v/>
      </c>
    </row>
    <row r="29">
      <c r="J29" s="7">
        <f>IFERROR(LARGE(IF(WL_Exercise=B1,WL_Date),20),"")</f>
        <v/>
      </c>
      <c r="K29" s="8">
        <f>IF(J29="","",IFERROR(MAXIFS(WL_Weight,WL_Exercise,B1,WL_Date,J29),""))</f>
        <v/>
      </c>
      <c r="L29" s="8">
        <f>IF(J29="","",IFERROR(MAXIFS(WL_e1RM,WL_Exercise,B1,WL_Date,J29),""))</f>
        <v/>
      </c>
    </row>
    <row r="30">
      <c r="J30" s="7">
        <f>IFERROR(LARGE(IF(WL_Exercise=B1,WL_Date),21),"")</f>
        <v/>
      </c>
      <c r="K30" s="8">
        <f>IF(J30="","",IFERROR(MAXIFS(WL_Weight,WL_Exercise,B1,WL_Date,J30),""))</f>
        <v/>
      </c>
      <c r="L30" s="8">
        <f>IF(J30="","",IFERROR(MAXIFS(WL_e1RM,WL_Exercise,B1,WL_Date,J30),""))</f>
        <v/>
      </c>
    </row>
    <row r="31">
      <c r="J31" s="7">
        <f>IFERROR(LARGE(IF(WL_Exercise=B1,WL_Date),22),"")</f>
        <v/>
      </c>
      <c r="K31" s="8">
        <f>IF(J31="","",IFERROR(MAXIFS(WL_Weight,WL_Exercise,B1,WL_Date,J31),""))</f>
        <v/>
      </c>
      <c r="L31" s="8">
        <f>IF(J31="","",IFERROR(MAXIFS(WL_e1RM,WL_Exercise,B1,WL_Date,J31),""))</f>
        <v/>
      </c>
    </row>
    <row r="32">
      <c r="J32" s="7">
        <f>IFERROR(LARGE(IF(WL_Exercise=B1,WL_Date),23),"")</f>
        <v/>
      </c>
      <c r="K32" s="8">
        <f>IF(J32="","",IFERROR(MAXIFS(WL_Weight,WL_Exercise,B1,WL_Date,J32),""))</f>
        <v/>
      </c>
      <c r="L32" s="8">
        <f>IF(J32="","",IFERROR(MAXIFS(WL_e1RM,WL_Exercise,B1,WL_Date,J32),""))</f>
        <v/>
      </c>
    </row>
    <row r="33">
      <c r="J33" s="7">
        <f>IFERROR(LARGE(IF(WL_Exercise=B1,WL_Date),24),"")</f>
        <v/>
      </c>
      <c r="K33" s="8">
        <f>IF(J33="","",IFERROR(MAXIFS(WL_Weight,WL_Exercise,B1,WL_Date,J33),""))</f>
        <v/>
      </c>
      <c r="L33" s="8">
        <f>IF(J33="","",IFERROR(MAXIFS(WL_e1RM,WL_Exercise,B1,WL_Date,J33),""))</f>
        <v/>
      </c>
    </row>
    <row r="34">
      <c r="J34" s="7">
        <f>IFERROR(LARGE(IF(WL_Exercise=B1,WL_Date),25),"")</f>
        <v/>
      </c>
      <c r="K34" s="8">
        <f>IF(J34="","",IFERROR(MAXIFS(WL_Weight,WL_Exercise,B1,WL_Date,J34),""))</f>
        <v/>
      </c>
      <c r="L34" s="8">
        <f>IF(J34="","",IFERROR(MAXIFS(WL_e1RM,WL_Exercise,B1,WL_Date,J34),""))</f>
        <v/>
      </c>
    </row>
    <row r="35">
      <c r="J35" s="7">
        <f>IFERROR(LARGE(IF(WL_Exercise=B1,WL_Date),26),"")</f>
        <v/>
      </c>
      <c r="K35" s="8">
        <f>IF(J35="","",IFERROR(MAXIFS(WL_Weight,WL_Exercise,B1,WL_Date,J35),""))</f>
        <v/>
      </c>
      <c r="L35" s="8">
        <f>IF(J35="","",IFERROR(MAXIFS(WL_e1RM,WL_Exercise,B1,WL_Date,J35),""))</f>
        <v/>
      </c>
    </row>
    <row r="36">
      <c r="J36" s="7">
        <f>IFERROR(LARGE(IF(WL_Exercise=B1,WL_Date),27),"")</f>
        <v/>
      </c>
      <c r="K36" s="8">
        <f>IF(J36="","",IFERROR(MAXIFS(WL_Weight,WL_Exercise,B1,WL_Date,J36),""))</f>
        <v/>
      </c>
      <c r="L36" s="8">
        <f>IF(J36="","",IFERROR(MAXIFS(WL_e1RM,WL_Exercise,B1,WL_Date,J36),""))</f>
        <v/>
      </c>
    </row>
    <row r="37">
      <c r="J37" s="7">
        <f>IFERROR(LARGE(IF(WL_Exercise=B1,WL_Date),28),"")</f>
        <v/>
      </c>
      <c r="K37" s="8">
        <f>IF(J37="","",IFERROR(MAXIFS(WL_Weight,WL_Exercise,B1,WL_Date,J37),""))</f>
        <v/>
      </c>
      <c r="L37" s="8">
        <f>IF(J37="","",IFERROR(MAXIFS(WL_e1RM,WL_Exercise,B1,WL_Date,J37),""))</f>
        <v/>
      </c>
    </row>
    <row r="38">
      <c r="J38" s="7">
        <f>IFERROR(LARGE(IF(WL_Exercise=B1,WL_Date),29),"")</f>
        <v/>
      </c>
      <c r="K38" s="8">
        <f>IF(J38="","",IFERROR(MAXIFS(WL_Weight,WL_Exercise,B1,WL_Date,J38),""))</f>
        <v/>
      </c>
      <c r="L38" s="8">
        <f>IF(J38="","",IFERROR(MAXIFS(WL_e1RM,WL_Exercise,B1,WL_Date,J38),""))</f>
        <v/>
      </c>
    </row>
    <row r="39">
      <c r="J39" s="7">
        <f>IFERROR(LARGE(IF(WL_Exercise=B1,WL_Date),30),"")</f>
        <v/>
      </c>
      <c r="K39" s="8">
        <f>IF(J39="","",IFERROR(MAXIFS(WL_Weight,WL_Exercise,B1,WL_Date,J39),""))</f>
        <v/>
      </c>
      <c r="L39" s="8">
        <f>IF(J39="","",IFERROR(MAXIFS(WL_e1RM,WL_Exercise,B1,WL_Date,J39),""))</f>
        <v/>
      </c>
    </row>
    <row r="40">
      <c r="J40" s="7">
        <f>IFERROR(LARGE(IF(WL_Exercise=B1,WL_Date),31),"")</f>
        <v/>
      </c>
      <c r="K40" s="8">
        <f>IF(J40="","",IFERROR(MAXIFS(WL_Weight,WL_Exercise,B1,WL_Date,J40),""))</f>
        <v/>
      </c>
      <c r="L40" s="8">
        <f>IF(J40="","",IFERROR(MAXIFS(WL_e1RM,WL_Exercise,B1,WL_Date,J40),""))</f>
        <v/>
      </c>
    </row>
    <row r="41">
      <c r="J41" s="7">
        <f>IFERROR(LARGE(IF(WL_Exercise=B1,WL_Date),32),"")</f>
        <v/>
      </c>
      <c r="K41" s="8">
        <f>IF(J41="","",IFERROR(MAXIFS(WL_Weight,WL_Exercise,B1,WL_Date,J41),""))</f>
        <v/>
      </c>
      <c r="L41" s="8">
        <f>IF(J41="","",IFERROR(MAXIFS(WL_e1RM,WL_Exercise,B1,WL_Date,J41),""))</f>
        <v/>
      </c>
    </row>
    <row r="42">
      <c r="J42" s="7">
        <f>IFERROR(LARGE(IF(WL_Exercise=B1,WL_Date),33),"")</f>
        <v/>
      </c>
      <c r="K42" s="8">
        <f>IF(J42="","",IFERROR(MAXIFS(WL_Weight,WL_Exercise,B1,WL_Date,J42),""))</f>
        <v/>
      </c>
      <c r="L42" s="8">
        <f>IF(J42="","",IFERROR(MAXIFS(WL_e1RM,WL_Exercise,B1,WL_Date,J42),""))</f>
        <v/>
      </c>
    </row>
    <row r="43">
      <c r="J43" s="7">
        <f>IFERROR(LARGE(IF(WL_Exercise=B1,WL_Date),34),"")</f>
        <v/>
      </c>
      <c r="K43" s="8">
        <f>IF(J43="","",IFERROR(MAXIFS(WL_Weight,WL_Exercise,B1,WL_Date,J43),""))</f>
        <v/>
      </c>
      <c r="L43" s="8">
        <f>IF(J43="","",IFERROR(MAXIFS(WL_e1RM,WL_Exercise,B1,WL_Date,J43),""))</f>
        <v/>
      </c>
    </row>
    <row r="44">
      <c r="J44" s="7">
        <f>IFERROR(LARGE(IF(WL_Exercise=B1,WL_Date),35),"")</f>
        <v/>
      </c>
      <c r="K44" s="8">
        <f>IF(J44="","",IFERROR(MAXIFS(WL_Weight,WL_Exercise,B1,WL_Date,J44),""))</f>
        <v/>
      </c>
      <c r="L44" s="8">
        <f>IF(J44="","",IFERROR(MAXIFS(WL_e1RM,WL_Exercise,B1,WL_Date,J44),""))</f>
        <v/>
      </c>
    </row>
    <row r="45">
      <c r="J45" s="7">
        <f>IFERROR(LARGE(IF(WL_Exercise=B1,WL_Date),36),"")</f>
        <v/>
      </c>
      <c r="K45" s="8">
        <f>IF(J45="","",IFERROR(MAXIFS(WL_Weight,WL_Exercise,B1,WL_Date,J45),""))</f>
        <v/>
      </c>
      <c r="L45" s="8">
        <f>IF(J45="","",IFERROR(MAXIFS(WL_e1RM,WL_Exercise,B1,WL_Date,J45),""))</f>
        <v/>
      </c>
    </row>
    <row r="46">
      <c r="J46" s="7">
        <f>IFERROR(LARGE(IF(WL_Exercise=B1,WL_Date),37),"")</f>
        <v/>
      </c>
      <c r="K46" s="8">
        <f>IF(J46="","",IFERROR(MAXIFS(WL_Weight,WL_Exercise,B1,WL_Date,J46),""))</f>
        <v/>
      </c>
      <c r="L46" s="8">
        <f>IF(J46="","",IFERROR(MAXIFS(WL_e1RM,WL_Exercise,B1,WL_Date,J46),""))</f>
        <v/>
      </c>
    </row>
    <row r="47">
      <c r="J47" s="7">
        <f>IFERROR(LARGE(IF(WL_Exercise=B1,WL_Date),38),"")</f>
        <v/>
      </c>
      <c r="K47" s="8">
        <f>IF(J47="","",IFERROR(MAXIFS(WL_Weight,WL_Exercise,B1,WL_Date,J47),""))</f>
        <v/>
      </c>
      <c r="L47" s="8">
        <f>IF(J47="","",IFERROR(MAXIFS(WL_e1RM,WL_Exercise,B1,WL_Date,J47),""))</f>
        <v/>
      </c>
    </row>
    <row r="48">
      <c r="J48" s="7">
        <f>IFERROR(LARGE(IF(WL_Exercise=B1,WL_Date),39),"")</f>
        <v/>
      </c>
      <c r="K48" s="8">
        <f>IF(J48="","",IFERROR(MAXIFS(WL_Weight,WL_Exercise,B1,WL_Date,J48),""))</f>
        <v/>
      </c>
      <c r="L48" s="8">
        <f>IF(J48="","",IFERROR(MAXIFS(WL_e1RM,WL_Exercise,B1,WL_Date,J48),""))</f>
        <v/>
      </c>
    </row>
    <row r="49">
      <c r="J49" s="7">
        <f>IFERROR(LARGE(IF(WL_Exercise=B1,WL_Date),40),"")</f>
        <v/>
      </c>
      <c r="K49" s="8">
        <f>IF(J49="","",IFERROR(MAXIFS(WL_Weight,WL_Exercise,B1,WL_Date,J49),""))</f>
        <v/>
      </c>
      <c r="L49" s="8">
        <f>IF(J49="","",IFERROR(MAXIFS(WL_e1RM,WL_Exercise,B1,WL_Date,J49),""))</f>
        <v/>
      </c>
    </row>
    <row r="50">
      <c r="J50" s="7">
        <f>IFERROR(LARGE(IF(WL_Exercise=B1,WL_Date),41),"")</f>
        <v/>
      </c>
      <c r="K50" s="8">
        <f>IF(J50="","",IFERROR(MAXIFS(WL_Weight,WL_Exercise,B1,WL_Date,J50),""))</f>
        <v/>
      </c>
      <c r="L50" s="8">
        <f>IF(J50="","",IFERROR(MAXIFS(WL_e1RM,WL_Exercise,B1,WL_Date,J50),""))</f>
        <v/>
      </c>
    </row>
    <row r="51">
      <c r="J51" s="7">
        <f>IFERROR(LARGE(IF(WL_Exercise=B1,WL_Date),42),"")</f>
        <v/>
      </c>
      <c r="K51" s="8">
        <f>IF(J51="","",IFERROR(MAXIFS(WL_Weight,WL_Exercise,B1,WL_Date,J51),""))</f>
        <v/>
      </c>
      <c r="L51" s="8">
        <f>IF(J51="","",IFERROR(MAXIFS(WL_e1RM,WL_Exercise,B1,WL_Date,J51),""))</f>
        <v/>
      </c>
    </row>
    <row r="52">
      <c r="J52" s="7">
        <f>IFERROR(LARGE(IF(WL_Exercise=B1,WL_Date),43),"")</f>
        <v/>
      </c>
      <c r="K52" s="8">
        <f>IF(J52="","",IFERROR(MAXIFS(WL_Weight,WL_Exercise,B1,WL_Date,J52),""))</f>
        <v/>
      </c>
      <c r="L52" s="8">
        <f>IF(J52="","",IFERROR(MAXIFS(WL_e1RM,WL_Exercise,B1,WL_Date,J52),""))</f>
        <v/>
      </c>
    </row>
    <row r="53">
      <c r="J53" s="7">
        <f>IFERROR(LARGE(IF(WL_Exercise=B1,WL_Date),44),"")</f>
        <v/>
      </c>
      <c r="K53" s="8">
        <f>IF(J53="","",IFERROR(MAXIFS(WL_Weight,WL_Exercise,B1,WL_Date,J53),""))</f>
        <v/>
      </c>
      <c r="L53" s="8">
        <f>IF(J53="","",IFERROR(MAXIFS(WL_e1RM,WL_Exercise,B1,WL_Date,J53),""))</f>
        <v/>
      </c>
    </row>
    <row r="54">
      <c r="J54" s="7">
        <f>IFERROR(LARGE(IF(WL_Exercise=B1,WL_Date),45),"")</f>
        <v/>
      </c>
      <c r="K54" s="8">
        <f>IF(J54="","",IFERROR(MAXIFS(WL_Weight,WL_Exercise,B1,WL_Date,J54),""))</f>
        <v/>
      </c>
      <c r="L54" s="8">
        <f>IF(J54="","",IFERROR(MAXIFS(WL_e1RM,WL_Exercise,B1,WL_Date,J54),""))</f>
        <v/>
      </c>
    </row>
    <row r="55">
      <c r="J55" s="7">
        <f>IFERROR(LARGE(IF(WL_Exercise=B1,WL_Date),46),"")</f>
        <v/>
      </c>
      <c r="K55" s="8">
        <f>IF(J55="","",IFERROR(MAXIFS(WL_Weight,WL_Exercise,B1,WL_Date,J55),""))</f>
        <v/>
      </c>
      <c r="L55" s="8">
        <f>IF(J55="","",IFERROR(MAXIFS(WL_e1RM,WL_Exercise,B1,WL_Date,J55),""))</f>
        <v/>
      </c>
    </row>
    <row r="56">
      <c r="J56" s="7">
        <f>IFERROR(LARGE(IF(WL_Exercise=B1,WL_Date),47),"")</f>
        <v/>
      </c>
      <c r="K56" s="8">
        <f>IF(J56="","",IFERROR(MAXIFS(WL_Weight,WL_Exercise,B1,WL_Date,J56),""))</f>
        <v/>
      </c>
      <c r="L56" s="8">
        <f>IF(J56="","",IFERROR(MAXIFS(WL_e1RM,WL_Exercise,B1,WL_Date,J56),""))</f>
        <v/>
      </c>
    </row>
    <row r="57">
      <c r="J57" s="7">
        <f>IFERROR(LARGE(IF(WL_Exercise=B1,WL_Date),48),"")</f>
        <v/>
      </c>
      <c r="K57" s="8">
        <f>IF(J57="","",IFERROR(MAXIFS(WL_Weight,WL_Exercise,B1,WL_Date,J57),""))</f>
        <v/>
      </c>
      <c r="L57" s="8">
        <f>IF(J57="","",IFERROR(MAXIFS(WL_e1RM,WL_Exercise,B1,WL_Date,J57),""))</f>
        <v/>
      </c>
    </row>
    <row r="58">
      <c r="J58" s="7">
        <f>IFERROR(LARGE(IF(WL_Exercise=B1,WL_Date),49),"")</f>
        <v/>
      </c>
      <c r="K58" s="8">
        <f>IF(J58="","",IFERROR(MAXIFS(WL_Weight,WL_Exercise,B1,WL_Date,J58),""))</f>
        <v/>
      </c>
      <c r="L58" s="8">
        <f>IF(J58="","",IFERROR(MAXIFS(WL_e1RM,WL_Exercise,B1,WL_Date,J58),""))</f>
        <v/>
      </c>
    </row>
    <row r="59">
      <c r="J59" s="7">
        <f>IFERROR(LARGE(IF(WL_Exercise=B1,WL_Date),50),"")</f>
        <v/>
      </c>
      <c r="K59" s="8">
        <f>IF(J59="","",IFERROR(MAXIFS(WL_Weight,WL_Exercise,B1,WL_Date,J59),""))</f>
        <v/>
      </c>
      <c r="L59" s="8">
        <f>IF(J59="","",IFERROR(MAXIFS(WL_e1RM,WL_Exercise,B1,WL_Date,J59),""))</f>
        <v/>
      </c>
    </row>
    <row r="60">
      <c r="J60" s="7">
        <f>IFERROR(LARGE(IF(WL_Exercise=B1,WL_Date),51),"")</f>
        <v/>
      </c>
      <c r="K60" s="8">
        <f>IF(J60="","",IFERROR(MAXIFS(WL_Weight,WL_Exercise,B1,WL_Date,J60),""))</f>
        <v/>
      </c>
      <c r="L60" s="8">
        <f>IF(J60="","",IFERROR(MAXIFS(WL_e1RM,WL_Exercise,B1,WL_Date,J60),""))</f>
        <v/>
      </c>
    </row>
    <row r="61">
      <c r="J61" s="7">
        <f>IFERROR(LARGE(IF(WL_Exercise=B1,WL_Date),52),"")</f>
        <v/>
      </c>
      <c r="K61" s="8">
        <f>IF(J61="","",IFERROR(MAXIFS(WL_Weight,WL_Exercise,B1,WL_Date,J61),""))</f>
        <v/>
      </c>
      <c r="L61" s="8">
        <f>IF(J61="","",IFERROR(MAXIFS(WL_e1RM,WL_Exercise,B1,WL_Date,J61),""))</f>
        <v/>
      </c>
    </row>
    <row r="62">
      <c r="J62" s="7">
        <f>IFERROR(LARGE(IF(WL_Exercise=B1,WL_Date),53),"")</f>
        <v/>
      </c>
      <c r="K62" s="8">
        <f>IF(J62="","",IFERROR(MAXIFS(WL_Weight,WL_Exercise,B1,WL_Date,J62),""))</f>
        <v/>
      </c>
      <c r="L62" s="8">
        <f>IF(J62="","",IFERROR(MAXIFS(WL_e1RM,WL_Exercise,B1,WL_Date,J62),""))</f>
        <v/>
      </c>
    </row>
    <row r="63">
      <c r="J63" s="7">
        <f>IFERROR(LARGE(IF(WL_Exercise=B1,WL_Date),54),"")</f>
        <v/>
      </c>
      <c r="K63" s="8">
        <f>IF(J63="","",IFERROR(MAXIFS(WL_Weight,WL_Exercise,B1,WL_Date,J63),""))</f>
        <v/>
      </c>
      <c r="L63" s="8">
        <f>IF(J63="","",IFERROR(MAXIFS(WL_e1RM,WL_Exercise,B1,WL_Date,J63),""))</f>
        <v/>
      </c>
    </row>
    <row r="64">
      <c r="J64" s="7">
        <f>IFERROR(LARGE(IF(WL_Exercise=B1,WL_Date),55),"")</f>
        <v/>
      </c>
      <c r="K64" s="8">
        <f>IF(J64="","",IFERROR(MAXIFS(WL_Weight,WL_Exercise,B1,WL_Date,J64),""))</f>
        <v/>
      </c>
      <c r="L64" s="8">
        <f>IF(J64="","",IFERROR(MAXIFS(WL_e1RM,WL_Exercise,B1,WL_Date,J64),""))</f>
        <v/>
      </c>
    </row>
    <row r="65">
      <c r="J65" s="7">
        <f>IFERROR(LARGE(IF(WL_Exercise=B1,WL_Date),56),"")</f>
        <v/>
      </c>
      <c r="K65" s="8">
        <f>IF(J65="","",IFERROR(MAXIFS(WL_Weight,WL_Exercise,B1,WL_Date,J65),""))</f>
        <v/>
      </c>
      <c r="L65" s="8">
        <f>IF(J65="","",IFERROR(MAXIFS(WL_e1RM,WL_Exercise,B1,WL_Date,J65),""))</f>
        <v/>
      </c>
    </row>
    <row r="66">
      <c r="J66" s="7">
        <f>IFERROR(LARGE(IF(WL_Exercise=B1,WL_Date),57),"")</f>
        <v/>
      </c>
      <c r="K66" s="8">
        <f>IF(J66="","",IFERROR(MAXIFS(WL_Weight,WL_Exercise,B1,WL_Date,J66),""))</f>
        <v/>
      </c>
      <c r="L66" s="8">
        <f>IF(J66="","",IFERROR(MAXIFS(WL_e1RM,WL_Exercise,B1,WL_Date,J66),""))</f>
        <v/>
      </c>
    </row>
    <row r="67">
      <c r="J67" s="7">
        <f>IFERROR(LARGE(IF(WL_Exercise=B1,WL_Date),58),"")</f>
        <v/>
      </c>
      <c r="K67" s="8">
        <f>IF(J67="","",IFERROR(MAXIFS(WL_Weight,WL_Exercise,B1,WL_Date,J67),""))</f>
        <v/>
      </c>
      <c r="L67" s="8">
        <f>IF(J67="","",IFERROR(MAXIFS(WL_e1RM,WL_Exercise,B1,WL_Date,J67),""))</f>
        <v/>
      </c>
    </row>
    <row r="68">
      <c r="J68" s="7">
        <f>IFERROR(LARGE(IF(WL_Exercise=B1,WL_Date),59),"")</f>
        <v/>
      </c>
      <c r="K68" s="8">
        <f>IF(J68="","",IFERROR(MAXIFS(WL_Weight,WL_Exercise,B1,WL_Date,J68),""))</f>
        <v/>
      </c>
      <c r="L68" s="8">
        <f>IF(J68="","",IFERROR(MAXIFS(WL_e1RM,WL_Exercise,B1,WL_Date,J68),""))</f>
        <v/>
      </c>
    </row>
    <row r="69">
      <c r="J69" s="7">
        <f>IFERROR(LARGE(IF(WL_Exercise=B1,WL_Date),60),"")</f>
        <v/>
      </c>
      <c r="K69" s="8">
        <f>IF(J69="","",IFERROR(MAXIFS(WL_Weight,WL_Exercise,B1,WL_Date,J69),""))</f>
        <v/>
      </c>
      <c r="L69" s="8">
        <f>IF(J69="","",IFERROR(MAXIFS(WL_e1RM,WL_Exercise,B1,WL_Date,J69),""))</f>
        <v/>
      </c>
    </row>
  </sheetData>
  <dataValidations count="1">
    <dataValidation sqref="B1" showDropDown="0" showInputMessage="0" showErrorMessage="0" allowBlank="0" type="list">
      <formula1>='Exercise Library'!$A$2:$A$201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2026-05-14T23:55:57Z</dcterms:created>
  <dcterms:modified xsi:type="dcterms:W3CDTF">2026-05-14T23:55:57Z</dcterms:modified>
</cp:coreProperties>
</file>